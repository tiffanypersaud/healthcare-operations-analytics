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ffany/Desktop/"/>
    </mc:Choice>
  </mc:AlternateContent>
  <xr:revisionPtr revIDLastSave="0" documentId="13_ncr:1_{4DAC286A-F8F3-7942-8DCC-000588B83CD7}" xr6:coauthVersionLast="47" xr6:coauthVersionMax="47" xr10:uidLastSave="{00000000-0000-0000-0000-000000000000}"/>
  <bookViews>
    <workbookView xWindow="39460" yWindow="2440" windowWidth="28040" windowHeight="17180" firstSheet="1" activeTab="7" xr2:uid="{DF23CD1C-0AC6-804A-A547-25E2B297AB2D}"/>
  </bookViews>
  <sheets>
    <sheet name="Data_Raw" sheetId="1" r:id="rId1"/>
    <sheet name="Executive_KPIs" sheetId="2" r:id="rId2"/>
    <sheet name="Pivot_Costs" sheetId="6" r:id="rId3"/>
    <sheet name="Pivot_Efficiency_LOS" sheetId="7" r:id="rId4"/>
    <sheet name="Pivot_Readmissions" sheetId="8" r:id="rId5"/>
    <sheet name="Pivot_Satisfaction" sheetId="9" r:id="rId6"/>
    <sheet name="Pivot_Capacity" sheetId="10" r:id="rId7"/>
    <sheet name="Admit_Month" sheetId="12" r:id="rId8"/>
  </sheets>
  <calcPr calcId="191029"/>
  <pivotCaches>
    <pivotCache cacheId="17" r:id="rId9"/>
    <pivotCache cacheId="3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2" i="1"/>
</calcChain>
</file>

<file path=xl/sharedStrings.xml><?xml version="1.0" encoding="utf-8"?>
<sst xmlns="http://schemas.openxmlformats.org/spreadsheetml/2006/main" count="12202" uniqueCount="2486">
  <si>
    <t>encounter_id</t>
  </si>
  <si>
    <t>patient_id</t>
  </si>
  <si>
    <t>hospital</t>
  </si>
  <si>
    <t>region</t>
  </si>
  <si>
    <t>admit_date</t>
  </si>
  <si>
    <t>discharge_date</t>
  </si>
  <si>
    <t>department</t>
  </si>
  <si>
    <t>admission_type</t>
  </si>
  <si>
    <t>diagnosis_group</t>
  </si>
  <si>
    <t>age</t>
  </si>
  <si>
    <t>age_group</t>
  </si>
  <si>
    <t>gender</t>
  </si>
  <si>
    <t>payer_type</t>
  </si>
  <si>
    <t>length_of_stay_days</t>
  </si>
  <si>
    <t>treatment_cost_usd</t>
  </si>
  <si>
    <t>readmission_30d_flag</t>
  </si>
  <si>
    <t>patient_satisfaction_score</t>
  </si>
  <si>
    <t>bed_occupancy_rate</t>
  </si>
  <si>
    <t>ENC100000</t>
  </si>
  <si>
    <t>PT18032</t>
  </si>
  <si>
    <t>St. Catherine Hospital</t>
  </si>
  <si>
    <t>Midwest</t>
  </si>
  <si>
    <t>Pediatrics</t>
  </si>
  <si>
    <t>Elective</t>
  </si>
  <si>
    <t>Cancer</t>
  </si>
  <si>
    <t>35-49</t>
  </si>
  <si>
    <t>Male</t>
  </si>
  <si>
    <t>Commercial</t>
  </si>
  <si>
    <t>ENC100001</t>
  </si>
  <si>
    <t>PT79655</t>
  </si>
  <si>
    <t>Riverside Medical Center</t>
  </si>
  <si>
    <t>Cardiac</t>
  </si>
  <si>
    <t>Female</t>
  </si>
  <si>
    <t>ENC100002</t>
  </si>
  <si>
    <t>PT68910</t>
  </si>
  <si>
    <t>Northeast</t>
  </si>
  <si>
    <t>Surgery</t>
  </si>
  <si>
    <t>Respiratory</t>
  </si>
  <si>
    <t>50-64</t>
  </si>
  <si>
    <t>Medicare</t>
  </si>
  <si>
    <t>ENC100003</t>
  </si>
  <si>
    <t>PT49498</t>
  </si>
  <si>
    <t>West</t>
  </si>
  <si>
    <t>General Medicine</t>
  </si>
  <si>
    <t>Urgent</t>
  </si>
  <si>
    <t>Neurological</t>
  </si>
  <si>
    <t>13-17</t>
  </si>
  <si>
    <t>ENC100004</t>
  </si>
  <si>
    <t>PT48970</t>
  </si>
  <si>
    <t>South</t>
  </si>
  <si>
    <t>Emergency</t>
  </si>
  <si>
    <t>Pediatric</t>
  </si>
  <si>
    <t>Self-Pay</t>
  </si>
  <si>
    <t>ENC100005</t>
  </si>
  <si>
    <t>PT87272</t>
  </si>
  <si>
    <t>GI</t>
  </si>
  <si>
    <t>ENC100006</t>
  </si>
  <si>
    <t>PT17735</t>
  </si>
  <si>
    <t>Lakeside Health</t>
  </si>
  <si>
    <t>ICU</t>
  </si>
  <si>
    <t>ENC100007</t>
  </si>
  <si>
    <t>PT72762</t>
  </si>
  <si>
    <t>Metro Regional</t>
  </si>
  <si>
    <t>Neurology</t>
  </si>
  <si>
    <t>Infectious</t>
  </si>
  <si>
    <t>75+</t>
  </si>
  <si>
    <t>ENC100008</t>
  </si>
  <si>
    <t>PT28132</t>
  </si>
  <si>
    <t>Orthopedics</t>
  </si>
  <si>
    <t>ENC100009</t>
  </si>
  <si>
    <t>PT18475</t>
  </si>
  <si>
    <t>Oncology</t>
  </si>
  <si>
    <t>ENC100010</t>
  </si>
  <si>
    <t>PT57382</t>
  </si>
  <si>
    <t>ENC100011</t>
  </si>
  <si>
    <t>PT97805</t>
  </si>
  <si>
    <t>ENC100012</t>
  </si>
  <si>
    <t>PT76216</t>
  </si>
  <si>
    <t>18-34</t>
  </si>
  <si>
    <t>ENC100013</t>
  </si>
  <si>
    <t>PT78501</t>
  </si>
  <si>
    <t>Other</t>
  </si>
  <si>
    <t>Medicaid</t>
  </si>
  <si>
    <t>ENC100014</t>
  </si>
  <si>
    <t>PT74572</t>
  </si>
  <si>
    <t>ENC100015</t>
  </si>
  <si>
    <t>PT80745</t>
  </si>
  <si>
    <t>ENC100016</t>
  </si>
  <si>
    <t>PT56189</t>
  </si>
  <si>
    <t>ENC100017</t>
  </si>
  <si>
    <t>PT21530</t>
  </si>
  <si>
    <t>ENC100018</t>
  </si>
  <si>
    <t>PT85576</t>
  </si>
  <si>
    <t>ENC100019</t>
  </si>
  <si>
    <t>PT50534</t>
  </si>
  <si>
    <t>ENC100020</t>
  </si>
  <si>
    <t>PT55031</t>
  </si>
  <si>
    <t>ENC100021</t>
  </si>
  <si>
    <t>PT43371</t>
  </si>
  <si>
    <t>Cardiology</t>
  </si>
  <si>
    <t>Injury</t>
  </si>
  <si>
    <t>ENC100022</t>
  </si>
  <si>
    <t>PT26429</t>
  </si>
  <si>
    <t>0-12</t>
  </si>
  <si>
    <t>ENC100023</t>
  </si>
  <si>
    <t>PT93407</t>
  </si>
  <si>
    <t>ENC100024</t>
  </si>
  <si>
    <t>PT80340</t>
  </si>
  <si>
    <t>ENC100025</t>
  </si>
  <si>
    <t>PT67947</t>
  </si>
  <si>
    <t>ENC100026</t>
  </si>
  <si>
    <t>PT46216</t>
  </si>
  <si>
    <t>ENC100027</t>
  </si>
  <si>
    <t>PT84047</t>
  </si>
  <si>
    <t>ENC100028</t>
  </si>
  <si>
    <t>PT59088</t>
  </si>
  <si>
    <t>OB/GYN</t>
  </si>
  <si>
    <t>Maternal</t>
  </si>
  <si>
    <t>ENC100029</t>
  </si>
  <si>
    <t>PT49906</t>
  </si>
  <si>
    <t>ENC100030</t>
  </si>
  <si>
    <t>PT50540</t>
  </si>
  <si>
    <t>Northgate General</t>
  </si>
  <si>
    <t>ENC100031</t>
  </si>
  <si>
    <t>PT30451</t>
  </si>
  <si>
    <t>ENC100032</t>
  </si>
  <si>
    <t>PT18292</t>
  </si>
  <si>
    <t>ENC100033</t>
  </si>
  <si>
    <t>PT59912</t>
  </si>
  <si>
    <t>ENC100034</t>
  </si>
  <si>
    <t>PT89909</t>
  </si>
  <si>
    <t>ENC100035</t>
  </si>
  <si>
    <t>PT15743</t>
  </si>
  <si>
    <t>ENC100036</t>
  </si>
  <si>
    <t>PT87245</t>
  </si>
  <si>
    <t>ENC100037</t>
  </si>
  <si>
    <t>PT84485</t>
  </si>
  <si>
    <t>ENC100038</t>
  </si>
  <si>
    <t>PT34908</t>
  </si>
  <si>
    <t>ENC100039</t>
  </si>
  <si>
    <t>PT66849</t>
  </si>
  <si>
    <t>ENC100040</t>
  </si>
  <si>
    <t>PT24870</t>
  </si>
  <si>
    <t>ENC100041</t>
  </si>
  <si>
    <t>PT78227</t>
  </si>
  <si>
    <t>ENC100042</t>
  </si>
  <si>
    <t>PT73046</t>
  </si>
  <si>
    <t>ENC100043</t>
  </si>
  <si>
    <t>PT41906</t>
  </si>
  <si>
    <t>ENC100044</t>
  </si>
  <si>
    <t>PT16112</t>
  </si>
  <si>
    <t>ENC100045</t>
  </si>
  <si>
    <t>PT97361</t>
  </si>
  <si>
    <t>ENC100046</t>
  </si>
  <si>
    <t>PT50111</t>
  </si>
  <si>
    <t>ENC100047</t>
  </si>
  <si>
    <t>PT90380</t>
  </si>
  <si>
    <t>ENC100048</t>
  </si>
  <si>
    <t>PT71012</t>
  </si>
  <si>
    <t>ENC100049</t>
  </si>
  <si>
    <t>PT80053</t>
  </si>
  <si>
    <t>ENC100050</t>
  </si>
  <si>
    <t>PT78390</t>
  </si>
  <si>
    <t>ENC100051</t>
  </si>
  <si>
    <t>PT27517</t>
  </si>
  <si>
    <t>ENC100052</t>
  </si>
  <si>
    <t>PT42751</t>
  </si>
  <si>
    <t>ENC100053</t>
  </si>
  <si>
    <t>PT52004</t>
  </si>
  <si>
    <t>65-74</t>
  </si>
  <si>
    <t>ENC100054</t>
  </si>
  <si>
    <t>PT54800</t>
  </si>
  <si>
    <t>ENC100055</t>
  </si>
  <si>
    <t>PT13942</t>
  </si>
  <si>
    <t>ENC100056</t>
  </si>
  <si>
    <t>PT59190</t>
  </si>
  <si>
    <t>ENC100057</t>
  </si>
  <si>
    <t>PT23885</t>
  </si>
  <si>
    <t>ENC100058</t>
  </si>
  <si>
    <t>PT76903</t>
  </si>
  <si>
    <t>ENC100059</t>
  </si>
  <si>
    <t>PT71473</t>
  </si>
  <si>
    <t>ENC100060</t>
  </si>
  <si>
    <t>PT93026</t>
  </si>
  <si>
    <t>ENC100061</t>
  </si>
  <si>
    <t>PT77027</t>
  </si>
  <si>
    <t>ENC100062</t>
  </si>
  <si>
    <t>PT42997</t>
  </si>
  <si>
    <t>ENC100063</t>
  </si>
  <si>
    <t>PT97074</t>
  </si>
  <si>
    <t>ENC100064</t>
  </si>
  <si>
    <t>PT46976</t>
  </si>
  <si>
    <t>ENC100065</t>
  </si>
  <si>
    <t>PT39323</t>
  </si>
  <si>
    <t>ENC100066</t>
  </si>
  <si>
    <t>PT91497</t>
  </si>
  <si>
    <t>ENC100067</t>
  </si>
  <si>
    <t>PT43341</t>
  </si>
  <si>
    <t>ENC100068</t>
  </si>
  <si>
    <t>PT16870</t>
  </si>
  <si>
    <t>ENC100069</t>
  </si>
  <si>
    <t>PT52259</t>
  </si>
  <si>
    <t>ENC100070</t>
  </si>
  <si>
    <t>PT81610</t>
  </si>
  <si>
    <t>ENC100071</t>
  </si>
  <si>
    <t>PT27052</t>
  </si>
  <si>
    <t>ENC100072</t>
  </si>
  <si>
    <t>PT51664</t>
  </si>
  <si>
    <t>ENC100073</t>
  </si>
  <si>
    <t>PT21692</t>
  </si>
  <si>
    <t>ENC100074</t>
  </si>
  <si>
    <t>PT71782</t>
  </si>
  <si>
    <t>ENC100075</t>
  </si>
  <si>
    <t>PT52812</t>
  </si>
  <si>
    <t>ENC100076</t>
  </si>
  <si>
    <t>PT39717</t>
  </si>
  <si>
    <t>ENC100077</t>
  </si>
  <si>
    <t>PT30421</t>
  </si>
  <si>
    <t>ENC100078</t>
  </si>
  <si>
    <t>PT60804</t>
  </si>
  <si>
    <t>ENC100079</t>
  </si>
  <si>
    <t>PT70282</t>
  </si>
  <si>
    <t>ENC100080</t>
  </si>
  <si>
    <t>PT94626</t>
  </si>
  <si>
    <t>ENC100081</t>
  </si>
  <si>
    <t>PT49343</t>
  </si>
  <si>
    <t>ENC100082</t>
  </si>
  <si>
    <t>PT24461</t>
  </si>
  <si>
    <t>ENC100083</t>
  </si>
  <si>
    <t>PT84940</t>
  </si>
  <si>
    <t>ENC100084</t>
  </si>
  <si>
    <t>PT66678</t>
  </si>
  <si>
    <t>ENC100085</t>
  </si>
  <si>
    <t>PT73023</t>
  </si>
  <si>
    <t>ENC100086</t>
  </si>
  <si>
    <t>PT18750</t>
  </si>
  <si>
    <t>ENC100087</t>
  </si>
  <si>
    <t>PT38112</t>
  </si>
  <si>
    <t>ENC100088</t>
  </si>
  <si>
    <t>PT79105</t>
  </si>
  <si>
    <t>ENC100089</t>
  </si>
  <si>
    <t>PT84902</t>
  </si>
  <si>
    <t>ENC100090</t>
  </si>
  <si>
    <t>PT49169</t>
  </si>
  <si>
    <t>ENC100091</t>
  </si>
  <si>
    <t>PT82427</t>
  </si>
  <si>
    <t>ENC100092</t>
  </si>
  <si>
    <t>PT85751</t>
  </si>
  <si>
    <t>ENC100093</t>
  </si>
  <si>
    <t>PT44872</t>
  </si>
  <si>
    <t>ENC100094</t>
  </si>
  <si>
    <t>PT90826</t>
  </si>
  <si>
    <t>ENC100095</t>
  </si>
  <si>
    <t>PT35949</t>
  </si>
  <si>
    <t>ENC100096</t>
  </si>
  <si>
    <t>PT31559</t>
  </si>
  <si>
    <t>ENC100097</t>
  </si>
  <si>
    <t>PT71423</t>
  </si>
  <si>
    <t>ENC100098</t>
  </si>
  <si>
    <t>PT67307</t>
  </si>
  <si>
    <t>ENC100099</t>
  </si>
  <si>
    <t>PT22577</t>
  </si>
  <si>
    <t>ENC100100</t>
  </si>
  <si>
    <t>PT84945</t>
  </si>
  <si>
    <t>ENC100101</t>
  </si>
  <si>
    <t>PT27991</t>
  </si>
  <si>
    <t>ENC100102</t>
  </si>
  <si>
    <t>PT82440</t>
  </si>
  <si>
    <t>ENC100103</t>
  </si>
  <si>
    <t>PT10662</t>
  </si>
  <si>
    <t>ENC100104</t>
  </si>
  <si>
    <t>PT81715</t>
  </si>
  <si>
    <t>ENC100105</t>
  </si>
  <si>
    <t>PT80822</t>
  </si>
  <si>
    <t>ENC100106</t>
  </si>
  <si>
    <t>PT80232</t>
  </si>
  <si>
    <t>ENC100107</t>
  </si>
  <si>
    <t>PT69835</t>
  </si>
  <si>
    <t>ENC100108</t>
  </si>
  <si>
    <t>PT52440</t>
  </si>
  <si>
    <t>ENC100109</t>
  </si>
  <si>
    <t>PT73464</t>
  </si>
  <si>
    <t>ENC100110</t>
  </si>
  <si>
    <t>PT34940</t>
  </si>
  <si>
    <t>ENC100111</t>
  </si>
  <si>
    <t>PT80264</t>
  </si>
  <si>
    <t>ENC100112</t>
  </si>
  <si>
    <t>PT60007</t>
  </si>
  <si>
    <t>ENC100113</t>
  </si>
  <si>
    <t>PT51301</t>
  </si>
  <si>
    <t>ENC100114</t>
  </si>
  <si>
    <t>PT55504</t>
  </si>
  <si>
    <t>ENC100115</t>
  </si>
  <si>
    <t>PT61186</t>
  </si>
  <si>
    <t>ENC100116</t>
  </si>
  <si>
    <t>PT13353</t>
  </si>
  <si>
    <t>ENC100117</t>
  </si>
  <si>
    <t>PT22581</t>
  </si>
  <si>
    <t>ENC100118</t>
  </si>
  <si>
    <t>PT32093</t>
  </si>
  <si>
    <t>ENC100119</t>
  </si>
  <si>
    <t>PT20307</t>
  </si>
  <si>
    <t>ENC100120</t>
  </si>
  <si>
    <t>PT49564</t>
  </si>
  <si>
    <t>ENC100121</t>
  </si>
  <si>
    <t>PT70155</t>
  </si>
  <si>
    <t>ENC100122</t>
  </si>
  <si>
    <t>PT68897</t>
  </si>
  <si>
    <t>ENC100123</t>
  </si>
  <si>
    <t>PT52398</t>
  </si>
  <si>
    <t>ENC100124</t>
  </si>
  <si>
    <t>PT86956</t>
  </si>
  <si>
    <t>ENC100125</t>
  </si>
  <si>
    <t>PT60870</t>
  </si>
  <si>
    <t>ENC100126</t>
  </si>
  <si>
    <t>PT17127</t>
  </si>
  <si>
    <t>ENC100127</t>
  </si>
  <si>
    <t>PT78849</t>
  </si>
  <si>
    <t>ENC100128</t>
  </si>
  <si>
    <t>PT61713</t>
  </si>
  <si>
    <t>ENC100129</t>
  </si>
  <si>
    <t>PT67124</t>
  </si>
  <si>
    <t>ENC100130</t>
  </si>
  <si>
    <t>PT60883</t>
  </si>
  <si>
    <t>ENC100131</t>
  </si>
  <si>
    <t>PT59821</t>
  </si>
  <si>
    <t>ENC100132</t>
  </si>
  <si>
    <t>PT18150</t>
  </si>
  <si>
    <t>ENC100133</t>
  </si>
  <si>
    <t>PT60328</t>
  </si>
  <si>
    <t>ENC100134</t>
  </si>
  <si>
    <t>PT81541</t>
  </si>
  <si>
    <t>ENC100135</t>
  </si>
  <si>
    <t>PT37355</t>
  </si>
  <si>
    <t>ENC100136</t>
  </si>
  <si>
    <t>PT64254</t>
  </si>
  <si>
    <t>ENC100137</t>
  </si>
  <si>
    <t>PT12773</t>
  </si>
  <si>
    <t>ENC100138</t>
  </si>
  <si>
    <t>PT41274</t>
  </si>
  <si>
    <t>ENC100139</t>
  </si>
  <si>
    <t>PT49304</t>
  </si>
  <si>
    <t>ENC100140</t>
  </si>
  <si>
    <t>PT98445</t>
  </si>
  <si>
    <t>ENC100141</t>
  </si>
  <si>
    <t>PT29312</t>
  </si>
  <si>
    <t>ENC100142</t>
  </si>
  <si>
    <t>PT34889</t>
  </si>
  <si>
    <t>ENC100143</t>
  </si>
  <si>
    <t>PT46767</t>
  </si>
  <si>
    <t>ENC100144</t>
  </si>
  <si>
    <t>PT99338</t>
  </si>
  <si>
    <t>ENC100145</t>
  </si>
  <si>
    <t>PT86805</t>
  </si>
  <si>
    <t>ENC100146</t>
  </si>
  <si>
    <t>PT13122</t>
  </si>
  <si>
    <t>ENC100147</t>
  </si>
  <si>
    <t>PT31054</t>
  </si>
  <si>
    <t>ENC100148</t>
  </si>
  <si>
    <t>PT83949</t>
  </si>
  <si>
    <t>ENC100149</t>
  </si>
  <si>
    <t>PT15247</t>
  </si>
  <si>
    <t>ENC100150</t>
  </si>
  <si>
    <t>PT87009</t>
  </si>
  <si>
    <t>ENC100151</t>
  </si>
  <si>
    <t>PT35324</t>
  </si>
  <si>
    <t>ENC100152</t>
  </si>
  <si>
    <t>PT92587</t>
  </si>
  <si>
    <t>ENC100153</t>
  </si>
  <si>
    <t>PT36423</t>
  </si>
  <si>
    <t>ENC100154</t>
  </si>
  <si>
    <t>PT49088</t>
  </si>
  <si>
    <t>ENC100155</t>
  </si>
  <si>
    <t>PT69571</t>
  </si>
  <si>
    <t>ENC100156</t>
  </si>
  <si>
    <t>PT21365</t>
  </si>
  <si>
    <t>ENC100157</t>
  </si>
  <si>
    <t>PT60132</t>
  </si>
  <si>
    <t>ENC100158</t>
  </si>
  <si>
    <t>PT55450</t>
  </si>
  <si>
    <t>ENC100159</t>
  </si>
  <si>
    <t>PT80550</t>
  </si>
  <si>
    <t>ENC100160</t>
  </si>
  <si>
    <t>PT99648</t>
  </si>
  <si>
    <t>ENC100161</t>
  </si>
  <si>
    <t>PT69787</t>
  </si>
  <si>
    <t>ENC100162</t>
  </si>
  <si>
    <t>PT46826</t>
  </si>
  <si>
    <t>ENC100163</t>
  </si>
  <si>
    <t>PT46574</t>
  </si>
  <si>
    <t>ENC100164</t>
  </si>
  <si>
    <t>PT47615</t>
  </si>
  <si>
    <t>ENC100165</t>
  </si>
  <si>
    <t>PT83261</t>
  </si>
  <si>
    <t>ENC100166</t>
  </si>
  <si>
    <t>PT38909</t>
  </si>
  <si>
    <t>ENC100167</t>
  </si>
  <si>
    <t>PT25027</t>
  </si>
  <si>
    <t>ENC100168</t>
  </si>
  <si>
    <t>PT40085</t>
  </si>
  <si>
    <t>ENC100169</t>
  </si>
  <si>
    <t>PT12044</t>
  </si>
  <si>
    <t>ENC100170</t>
  </si>
  <si>
    <t>PT19552</t>
  </si>
  <si>
    <t>ENC100171</t>
  </si>
  <si>
    <t>PT18104</t>
  </si>
  <si>
    <t>ENC100172</t>
  </si>
  <si>
    <t>PT79438</t>
  </si>
  <si>
    <t>ENC100173</t>
  </si>
  <si>
    <t>PT75011</t>
  </si>
  <si>
    <t>ENC100174</t>
  </si>
  <si>
    <t>PT72708</t>
  </si>
  <si>
    <t>ENC100175</t>
  </si>
  <si>
    <t>PT51568</t>
  </si>
  <si>
    <t>ENC100176</t>
  </si>
  <si>
    <t>PT74534</t>
  </si>
  <si>
    <t>ENC100177</t>
  </si>
  <si>
    <t>PT24514</t>
  </si>
  <si>
    <t>ENC100178</t>
  </si>
  <si>
    <t>PT91055</t>
  </si>
  <si>
    <t>ENC100179</t>
  </si>
  <si>
    <t>PT55093</t>
  </si>
  <si>
    <t>ENC100180</t>
  </si>
  <si>
    <t>PT94423</t>
  </si>
  <si>
    <t>ENC100181</t>
  </si>
  <si>
    <t>PT23707</t>
  </si>
  <si>
    <t>ENC100182</t>
  </si>
  <si>
    <t>PT54759</t>
  </si>
  <si>
    <t>ENC100183</t>
  </si>
  <si>
    <t>PT72668</t>
  </si>
  <si>
    <t>ENC100184</t>
  </si>
  <si>
    <t>PT54605</t>
  </si>
  <si>
    <t>ENC100185</t>
  </si>
  <si>
    <t>PT50153</t>
  </si>
  <si>
    <t>ENC100186</t>
  </si>
  <si>
    <t>PT24959</t>
  </si>
  <si>
    <t>ENC100187</t>
  </si>
  <si>
    <t>PT44291</t>
  </si>
  <si>
    <t>ENC100188</t>
  </si>
  <si>
    <t>PT31488</t>
  </si>
  <si>
    <t>ENC100189</t>
  </si>
  <si>
    <t>PT37135</t>
  </si>
  <si>
    <t>ENC100190</t>
  </si>
  <si>
    <t>PT71532</t>
  </si>
  <si>
    <t>ENC100191</t>
  </si>
  <si>
    <t>PT66724</t>
  </si>
  <si>
    <t>ENC100192</t>
  </si>
  <si>
    <t>PT64647</t>
  </si>
  <si>
    <t>ENC100193</t>
  </si>
  <si>
    <t>PT42562</t>
  </si>
  <si>
    <t>ENC100194</t>
  </si>
  <si>
    <t>PT96371</t>
  </si>
  <si>
    <t>ENC100195</t>
  </si>
  <si>
    <t>PT17888</t>
  </si>
  <si>
    <t>ENC100196</t>
  </si>
  <si>
    <t>PT40832</t>
  </si>
  <si>
    <t>ENC100197</t>
  </si>
  <si>
    <t>PT20620</t>
  </si>
  <si>
    <t>ENC100198</t>
  </si>
  <si>
    <t>PT40504</t>
  </si>
  <si>
    <t>ENC100199</t>
  </si>
  <si>
    <t>PT96569</t>
  </si>
  <si>
    <t>ENC100200</t>
  </si>
  <si>
    <t>PT42963</t>
  </si>
  <si>
    <t>ENC100201</t>
  </si>
  <si>
    <t>PT91771</t>
  </si>
  <si>
    <t>ENC100202</t>
  </si>
  <si>
    <t>PT54555</t>
  </si>
  <si>
    <t>ENC100203</t>
  </si>
  <si>
    <t>PT72972</t>
  </si>
  <si>
    <t>ENC100204</t>
  </si>
  <si>
    <t>PT51167</t>
  </si>
  <si>
    <t>ENC100205</t>
  </si>
  <si>
    <t>PT33928</t>
  </si>
  <si>
    <t>ENC100206</t>
  </si>
  <si>
    <t>PT78779</t>
  </si>
  <si>
    <t>ENC100207</t>
  </si>
  <si>
    <t>PT97224</t>
  </si>
  <si>
    <t>ENC100208</t>
  </si>
  <si>
    <t>PT33716</t>
  </si>
  <si>
    <t>ENC100209</t>
  </si>
  <si>
    <t>PT80086</t>
  </si>
  <si>
    <t>ENC100210</t>
  </si>
  <si>
    <t>PT33502</t>
  </si>
  <si>
    <t>ENC100211</t>
  </si>
  <si>
    <t>PT74519</t>
  </si>
  <si>
    <t>ENC100212</t>
  </si>
  <si>
    <t>PT81009</t>
  </si>
  <si>
    <t>ENC100213</t>
  </si>
  <si>
    <t>PT50442</t>
  </si>
  <si>
    <t>ENC100214</t>
  </si>
  <si>
    <t>PT76322</t>
  </si>
  <si>
    <t>ENC100215</t>
  </si>
  <si>
    <t>PT34501</t>
  </si>
  <si>
    <t>ENC100216</t>
  </si>
  <si>
    <t>PT17132</t>
  </si>
  <si>
    <t>ENC100217</t>
  </si>
  <si>
    <t>PT18675</t>
  </si>
  <si>
    <t>ENC100218</t>
  </si>
  <si>
    <t>PT50231</t>
  </si>
  <si>
    <t>ENC100219</t>
  </si>
  <si>
    <t>PT91233</t>
  </si>
  <si>
    <t>ENC100220</t>
  </si>
  <si>
    <t>PT21481</t>
  </si>
  <si>
    <t>ENC100221</t>
  </si>
  <si>
    <t>PT51019</t>
  </si>
  <si>
    <t>ENC100222</t>
  </si>
  <si>
    <t>PT73362</t>
  </si>
  <si>
    <t>ENC100223</t>
  </si>
  <si>
    <t>PT28212</t>
  </si>
  <si>
    <t>ENC100224</t>
  </si>
  <si>
    <t>PT74944</t>
  </si>
  <si>
    <t>ENC100225</t>
  </si>
  <si>
    <t>PT37535</t>
  </si>
  <si>
    <t>ENC100226</t>
  </si>
  <si>
    <t>PT82778</t>
  </si>
  <si>
    <t>ENC100227</t>
  </si>
  <si>
    <t>PT62129</t>
  </si>
  <si>
    <t>ENC100228</t>
  </si>
  <si>
    <t>PT59221</t>
  </si>
  <si>
    <t>ENC100229</t>
  </si>
  <si>
    <t>PT25909</t>
  </si>
  <si>
    <t>ENC100230</t>
  </si>
  <si>
    <t>PT51688</t>
  </si>
  <si>
    <t>ENC100231</t>
  </si>
  <si>
    <t>PT87094</t>
  </si>
  <si>
    <t>ENC100232</t>
  </si>
  <si>
    <t>PT11757</t>
  </si>
  <si>
    <t>ENC100233</t>
  </si>
  <si>
    <t>PT78265</t>
  </si>
  <si>
    <t>ENC100234</t>
  </si>
  <si>
    <t>PT54348</t>
  </si>
  <si>
    <t>ENC100235</t>
  </si>
  <si>
    <t>PT74750</t>
  </si>
  <si>
    <t>ENC100236</t>
  </si>
  <si>
    <t>PT69696</t>
  </si>
  <si>
    <t>ENC100237</t>
  </si>
  <si>
    <t>PT48887</t>
  </si>
  <si>
    <t>ENC100238</t>
  </si>
  <si>
    <t>PT37779</t>
  </si>
  <si>
    <t>ENC100239</t>
  </si>
  <si>
    <t>PT66457</t>
  </si>
  <si>
    <t>ENC100240</t>
  </si>
  <si>
    <t>PT22620</t>
  </si>
  <si>
    <t>ENC100241</t>
  </si>
  <si>
    <t>PT62568</t>
  </si>
  <si>
    <t>ENC100242</t>
  </si>
  <si>
    <t>PT18522</t>
  </si>
  <si>
    <t>ENC100243</t>
  </si>
  <si>
    <t>PT68485</t>
  </si>
  <si>
    <t>ENC100244</t>
  </si>
  <si>
    <t>PT66586</t>
  </si>
  <si>
    <t>ENC100245</t>
  </si>
  <si>
    <t>PT17599</t>
  </si>
  <si>
    <t>ENC100246</t>
  </si>
  <si>
    <t>PT78173</t>
  </si>
  <si>
    <t>ENC100247</t>
  </si>
  <si>
    <t>PT47422</t>
  </si>
  <si>
    <t>ENC100248</t>
  </si>
  <si>
    <t>PT80818</t>
  </si>
  <si>
    <t>ENC100249</t>
  </si>
  <si>
    <t>PT13745</t>
  </si>
  <si>
    <t>ENC100250</t>
  </si>
  <si>
    <t>PT26150</t>
  </si>
  <si>
    <t>ENC100251</t>
  </si>
  <si>
    <t>PT54458</t>
  </si>
  <si>
    <t>ENC100252</t>
  </si>
  <si>
    <t>PT26940</t>
  </si>
  <si>
    <t>ENC100253</t>
  </si>
  <si>
    <t>PT39687</t>
  </si>
  <si>
    <t>ENC100254</t>
  </si>
  <si>
    <t>PT69453</t>
  </si>
  <si>
    <t>ENC100255</t>
  </si>
  <si>
    <t>PT23007</t>
  </si>
  <si>
    <t>ENC100256</t>
  </si>
  <si>
    <t>PT70992</t>
  </si>
  <si>
    <t>ENC100257</t>
  </si>
  <si>
    <t>PT19306</t>
  </si>
  <si>
    <t>ENC100258</t>
  </si>
  <si>
    <t>PT25766</t>
  </si>
  <si>
    <t>ENC100259</t>
  </si>
  <si>
    <t>PT62887</t>
  </si>
  <si>
    <t>ENC100260</t>
  </si>
  <si>
    <t>PT81412</t>
  </si>
  <si>
    <t>ENC100261</t>
  </si>
  <si>
    <t>PT25353</t>
  </si>
  <si>
    <t>ENC100262</t>
  </si>
  <si>
    <t>PT36999</t>
  </si>
  <si>
    <t>ENC100263</t>
  </si>
  <si>
    <t>PT93259</t>
  </si>
  <si>
    <t>ENC100264</t>
  </si>
  <si>
    <t>PT99070</t>
  </si>
  <si>
    <t>ENC100265</t>
  </si>
  <si>
    <t>PT62294</t>
  </si>
  <si>
    <t>ENC100266</t>
  </si>
  <si>
    <t>PT50232</t>
  </si>
  <si>
    <t>ENC100267</t>
  </si>
  <si>
    <t>PT41217</t>
  </si>
  <si>
    <t>ENC100268</t>
  </si>
  <si>
    <t>PT65120</t>
  </si>
  <si>
    <t>ENC100269</t>
  </si>
  <si>
    <t>PT63181</t>
  </si>
  <si>
    <t>ENC100270</t>
  </si>
  <si>
    <t>PT36527</t>
  </si>
  <si>
    <t>ENC100271</t>
  </si>
  <si>
    <t>PT12052</t>
  </si>
  <si>
    <t>ENC100272</t>
  </si>
  <si>
    <t>PT23634</t>
  </si>
  <si>
    <t>ENC100273</t>
  </si>
  <si>
    <t>PT96269</t>
  </si>
  <si>
    <t>ENC100274</t>
  </si>
  <si>
    <t>PT47633</t>
  </si>
  <si>
    <t>ENC100275</t>
  </si>
  <si>
    <t>PT53406</t>
  </si>
  <si>
    <t>ENC100276</t>
  </si>
  <si>
    <t>PT52039</t>
  </si>
  <si>
    <t>ENC100277</t>
  </si>
  <si>
    <t>PT80445</t>
  </si>
  <si>
    <t>ENC100278</t>
  </si>
  <si>
    <t>PT15846</t>
  </si>
  <si>
    <t>ENC100279</t>
  </si>
  <si>
    <t>PT17445</t>
  </si>
  <si>
    <t>ENC100280</t>
  </si>
  <si>
    <t>PT34825</t>
  </si>
  <si>
    <t>ENC100281</t>
  </si>
  <si>
    <t>PT53798</t>
  </si>
  <si>
    <t>ENC100282</t>
  </si>
  <si>
    <t>PT70400</t>
  </si>
  <si>
    <t>ENC100283</t>
  </si>
  <si>
    <t>PT54163</t>
  </si>
  <si>
    <t>ENC100284</t>
  </si>
  <si>
    <t>PT49704</t>
  </si>
  <si>
    <t>ENC100285</t>
  </si>
  <si>
    <t>PT94403</t>
  </si>
  <si>
    <t>ENC100286</t>
  </si>
  <si>
    <t>PT24491</t>
  </si>
  <si>
    <t>ENC100287</t>
  </si>
  <si>
    <t>PT61454</t>
  </si>
  <si>
    <t>ENC100288</t>
  </si>
  <si>
    <t>PT58801</t>
  </si>
  <si>
    <t>ENC100289</t>
  </si>
  <si>
    <t>PT52613</t>
  </si>
  <si>
    <t>ENC100290</t>
  </si>
  <si>
    <t>PT82682</t>
  </si>
  <si>
    <t>ENC100291</t>
  </si>
  <si>
    <t>PT34027</t>
  </si>
  <si>
    <t>ENC100292</t>
  </si>
  <si>
    <t>PT95838</t>
  </si>
  <si>
    <t>ENC100293</t>
  </si>
  <si>
    <t>PT39840</t>
  </si>
  <si>
    <t>ENC100294</t>
  </si>
  <si>
    <t>PT59049</t>
  </si>
  <si>
    <t>ENC100295</t>
  </si>
  <si>
    <t>PT56859</t>
  </si>
  <si>
    <t>ENC100296</t>
  </si>
  <si>
    <t>PT86479</t>
  </si>
  <si>
    <t>ENC100297</t>
  </si>
  <si>
    <t>PT49501</t>
  </si>
  <si>
    <t>ENC100298</t>
  </si>
  <si>
    <t>PT35610</t>
  </si>
  <si>
    <t>ENC100299</t>
  </si>
  <si>
    <t>PT11945</t>
  </si>
  <si>
    <t>ENC100300</t>
  </si>
  <si>
    <t>PT42730</t>
  </si>
  <si>
    <t>ENC100301</t>
  </si>
  <si>
    <t>PT84365</t>
  </si>
  <si>
    <t>ENC100302</t>
  </si>
  <si>
    <t>PT10892</t>
  </si>
  <si>
    <t>ENC100303</t>
  </si>
  <si>
    <t>PT90653</t>
  </si>
  <si>
    <t>ENC100304</t>
  </si>
  <si>
    <t>PT58853</t>
  </si>
  <si>
    <t>ENC100305</t>
  </si>
  <si>
    <t>PT22622</t>
  </si>
  <si>
    <t>ENC100306</t>
  </si>
  <si>
    <t>PT37195</t>
  </si>
  <si>
    <t>ENC100307</t>
  </si>
  <si>
    <t>PT59862</t>
  </si>
  <si>
    <t>ENC100308</t>
  </si>
  <si>
    <t>PT38411</t>
  </si>
  <si>
    <t>ENC100309</t>
  </si>
  <si>
    <t>PT19771</t>
  </si>
  <si>
    <t>ENC100310</t>
  </si>
  <si>
    <t>PT69938</t>
  </si>
  <si>
    <t>ENC100311</t>
  </si>
  <si>
    <t>PT70500</t>
  </si>
  <si>
    <t>ENC100312</t>
  </si>
  <si>
    <t>PT20698</t>
  </si>
  <si>
    <t>ENC100313</t>
  </si>
  <si>
    <t>PT35310</t>
  </si>
  <si>
    <t>ENC100314</t>
  </si>
  <si>
    <t>PT31948</t>
  </si>
  <si>
    <t>ENC100315</t>
  </si>
  <si>
    <t>PT69347</t>
  </si>
  <si>
    <t>ENC100316</t>
  </si>
  <si>
    <t>PT75725</t>
  </si>
  <si>
    <t>ENC100317</t>
  </si>
  <si>
    <t>PT75428</t>
  </si>
  <si>
    <t>ENC100318</t>
  </si>
  <si>
    <t>PT94487</t>
  </si>
  <si>
    <t>ENC100319</t>
  </si>
  <si>
    <t>PT79177</t>
  </si>
  <si>
    <t>ENC100320</t>
  </si>
  <si>
    <t>PT38860</t>
  </si>
  <si>
    <t>ENC100321</t>
  </si>
  <si>
    <t>PT19696</t>
  </si>
  <si>
    <t>ENC100322</t>
  </si>
  <si>
    <t>PT65317</t>
  </si>
  <si>
    <t>ENC100323</t>
  </si>
  <si>
    <t>PT92440</t>
  </si>
  <si>
    <t>ENC100324</t>
  </si>
  <si>
    <t>PT97763</t>
  </si>
  <si>
    <t>ENC100325</t>
  </si>
  <si>
    <t>PT30719</t>
  </si>
  <si>
    <t>ENC100326</t>
  </si>
  <si>
    <t>PT31280</t>
  </si>
  <si>
    <t>ENC100327</t>
  </si>
  <si>
    <t>PT13367</t>
  </si>
  <si>
    <t>ENC100328</t>
  </si>
  <si>
    <t>PT22713</t>
  </si>
  <si>
    <t>ENC100329</t>
  </si>
  <si>
    <t>PT59936</t>
  </si>
  <si>
    <t>ENC100330</t>
  </si>
  <si>
    <t>PT59211</t>
  </si>
  <si>
    <t>ENC100331</t>
  </si>
  <si>
    <t>PT43382</t>
  </si>
  <si>
    <t>ENC100332</t>
  </si>
  <si>
    <t>PT37895</t>
  </si>
  <si>
    <t>ENC100333</t>
  </si>
  <si>
    <t>PT84680</t>
  </si>
  <si>
    <t>ENC100334</t>
  </si>
  <si>
    <t>PT51402</t>
  </si>
  <si>
    <t>ENC100335</t>
  </si>
  <si>
    <t>PT82741</t>
  </si>
  <si>
    <t>ENC100336</t>
  </si>
  <si>
    <t>PT96688</t>
  </si>
  <si>
    <t>ENC100337</t>
  </si>
  <si>
    <t>PT38542</t>
  </si>
  <si>
    <t>ENC100338</t>
  </si>
  <si>
    <t>PT28246</t>
  </si>
  <si>
    <t>ENC100339</t>
  </si>
  <si>
    <t>PT95759</t>
  </si>
  <si>
    <t>ENC100340</t>
  </si>
  <si>
    <t>PT67134</t>
  </si>
  <si>
    <t>ENC100341</t>
  </si>
  <si>
    <t>PT36182</t>
  </si>
  <si>
    <t>ENC100342</t>
  </si>
  <si>
    <t>PT65966</t>
  </si>
  <si>
    <t>ENC100343</t>
  </si>
  <si>
    <t>PT56354</t>
  </si>
  <si>
    <t>ENC100344</t>
  </si>
  <si>
    <t>PT91496</t>
  </si>
  <si>
    <t>ENC100345</t>
  </si>
  <si>
    <t>PT33036</t>
  </si>
  <si>
    <t>ENC100346</t>
  </si>
  <si>
    <t>PT99223</t>
  </si>
  <si>
    <t>ENC100347</t>
  </si>
  <si>
    <t>PT94242</t>
  </si>
  <si>
    <t>ENC100348</t>
  </si>
  <si>
    <t>PT26262</t>
  </si>
  <si>
    <t>ENC100349</t>
  </si>
  <si>
    <t>PT24814</t>
  </si>
  <si>
    <t>ENC100350</t>
  </si>
  <si>
    <t>PT57983</t>
  </si>
  <si>
    <t>ENC100351</t>
  </si>
  <si>
    <t>PT14041</t>
  </si>
  <si>
    <t>ENC100352</t>
  </si>
  <si>
    <t>PT36891</t>
  </si>
  <si>
    <t>ENC100353</t>
  </si>
  <si>
    <t>PT49158</t>
  </si>
  <si>
    <t>ENC100354</t>
  </si>
  <si>
    <t>PT97242</t>
  </si>
  <si>
    <t>ENC100355</t>
  </si>
  <si>
    <t>PT99312</t>
  </si>
  <si>
    <t>ENC100356</t>
  </si>
  <si>
    <t>PT23638</t>
  </si>
  <si>
    <t>ENC100357</t>
  </si>
  <si>
    <t>PT90250</t>
  </si>
  <si>
    <t>ENC100358</t>
  </si>
  <si>
    <t>PT18183</t>
  </si>
  <si>
    <t>ENC100359</t>
  </si>
  <si>
    <t>PT77373</t>
  </si>
  <si>
    <t>ENC100360</t>
  </si>
  <si>
    <t>PT86106</t>
  </si>
  <si>
    <t>ENC100361</t>
  </si>
  <si>
    <t>PT90170</t>
  </si>
  <si>
    <t>ENC100362</t>
  </si>
  <si>
    <t>PT30107</t>
  </si>
  <si>
    <t>ENC100363</t>
  </si>
  <si>
    <t>PT90409</t>
  </si>
  <si>
    <t>ENC100364</t>
  </si>
  <si>
    <t>PT20438</t>
  </si>
  <si>
    <t>ENC100365</t>
  </si>
  <si>
    <t>PT56696</t>
  </si>
  <si>
    <t>ENC100366</t>
  </si>
  <si>
    <t>PT52258</t>
  </si>
  <si>
    <t>ENC100367</t>
  </si>
  <si>
    <t>PT38433</t>
  </si>
  <si>
    <t>ENC100368</t>
  </si>
  <si>
    <t>PT11990</t>
  </si>
  <si>
    <t>ENC100369</t>
  </si>
  <si>
    <t>PT79480</t>
  </si>
  <si>
    <t>ENC100370</t>
  </si>
  <si>
    <t>PT40202</t>
  </si>
  <si>
    <t>ENC100371</t>
  </si>
  <si>
    <t>PT69548</t>
  </si>
  <si>
    <t>ENC100372</t>
  </si>
  <si>
    <t>PT46919</t>
  </si>
  <si>
    <t>ENC100373</t>
  </si>
  <si>
    <t>PT43628</t>
  </si>
  <si>
    <t>ENC100374</t>
  </si>
  <si>
    <t>PT89765</t>
  </si>
  <si>
    <t>ENC100375</t>
  </si>
  <si>
    <t>PT18501</t>
  </si>
  <si>
    <t>ENC100376</t>
  </si>
  <si>
    <t>PT76294</t>
  </si>
  <si>
    <t>ENC100377</t>
  </si>
  <si>
    <t>PT77210</t>
  </si>
  <si>
    <t>ENC100378</t>
  </si>
  <si>
    <t>PT44198</t>
  </si>
  <si>
    <t>ENC100379</t>
  </si>
  <si>
    <t>PT33621</t>
  </si>
  <si>
    <t>ENC100380</t>
  </si>
  <si>
    <t>PT10477</t>
  </si>
  <si>
    <t>ENC100381</t>
  </si>
  <si>
    <t>PT94312</t>
  </si>
  <si>
    <t>ENC100382</t>
  </si>
  <si>
    <t>PT95294</t>
  </si>
  <si>
    <t>ENC100383</t>
  </si>
  <si>
    <t>PT31687</t>
  </si>
  <si>
    <t>ENC100384</t>
  </si>
  <si>
    <t>PT12871</t>
  </si>
  <si>
    <t>ENC100385</t>
  </si>
  <si>
    <t>PT21048</t>
  </si>
  <si>
    <t>ENC100386</t>
  </si>
  <si>
    <t>PT16087</t>
  </si>
  <si>
    <t>ENC100387</t>
  </si>
  <si>
    <t>PT84799</t>
  </si>
  <si>
    <t>ENC100388</t>
  </si>
  <si>
    <t>PT90271</t>
  </si>
  <si>
    <t>ENC100389</t>
  </si>
  <si>
    <t>PT23795</t>
  </si>
  <si>
    <t>ENC100390</t>
  </si>
  <si>
    <t>PT77205</t>
  </si>
  <si>
    <t>ENC100391</t>
  </si>
  <si>
    <t>PT26133</t>
  </si>
  <si>
    <t>ENC100392</t>
  </si>
  <si>
    <t>PT43048</t>
  </si>
  <si>
    <t>ENC100393</t>
  </si>
  <si>
    <t>PT63943</t>
  </si>
  <si>
    <t>ENC100394</t>
  </si>
  <si>
    <t>PT74792</t>
  </si>
  <si>
    <t>ENC100395</t>
  </si>
  <si>
    <t>PT88709</t>
  </si>
  <si>
    <t>ENC100396</t>
  </si>
  <si>
    <t>PT14030</t>
  </si>
  <si>
    <t>ENC100397</t>
  </si>
  <si>
    <t>PT27678</t>
  </si>
  <si>
    <t>ENC100398</t>
  </si>
  <si>
    <t>PT35245</t>
  </si>
  <si>
    <t>ENC100399</t>
  </si>
  <si>
    <t>PT37928</t>
  </si>
  <si>
    <t>ENC100400</t>
  </si>
  <si>
    <t>PT99821</t>
  </si>
  <si>
    <t>ENC100401</t>
  </si>
  <si>
    <t>PT79965</t>
  </si>
  <si>
    <t>ENC100402</t>
  </si>
  <si>
    <t>PT38837</t>
  </si>
  <si>
    <t>ENC100403</t>
  </si>
  <si>
    <t>PT97463</t>
  </si>
  <si>
    <t>ENC100404</t>
  </si>
  <si>
    <t>PT54937</t>
  </si>
  <si>
    <t>ENC100405</t>
  </si>
  <si>
    <t>PT55066</t>
  </si>
  <si>
    <t>ENC100406</t>
  </si>
  <si>
    <t>PT49032</t>
  </si>
  <si>
    <t>ENC100407</t>
  </si>
  <si>
    <t>PT22950</t>
  </si>
  <si>
    <t>ENC100408</t>
  </si>
  <si>
    <t>PT94092</t>
  </si>
  <si>
    <t>ENC100409</t>
  </si>
  <si>
    <t>PT11254</t>
  </si>
  <si>
    <t>ENC100410</t>
  </si>
  <si>
    <t>PT25684</t>
  </si>
  <si>
    <t>ENC100411</t>
  </si>
  <si>
    <t>PT30668</t>
  </si>
  <si>
    <t>ENC100412</t>
  </si>
  <si>
    <t>PT35136</t>
  </si>
  <si>
    <t>ENC100413</t>
  </si>
  <si>
    <t>PT21863</t>
  </si>
  <si>
    <t>ENC100414</t>
  </si>
  <si>
    <t>PT11616</t>
  </si>
  <si>
    <t>ENC100415</t>
  </si>
  <si>
    <t>PT70988</t>
  </si>
  <si>
    <t>ENC100416</t>
  </si>
  <si>
    <t>PT97236</t>
  </si>
  <si>
    <t>ENC100417</t>
  </si>
  <si>
    <t>PT20964</t>
  </si>
  <si>
    <t>ENC100418</t>
  </si>
  <si>
    <t>PT36687</t>
  </si>
  <si>
    <t>ENC100419</t>
  </si>
  <si>
    <t>PT55569</t>
  </si>
  <si>
    <t>ENC100420</t>
  </si>
  <si>
    <t>PT93474</t>
  </si>
  <si>
    <t>ENC100421</t>
  </si>
  <si>
    <t>PT72482</t>
  </si>
  <si>
    <t>ENC100422</t>
  </si>
  <si>
    <t>PT78956</t>
  </si>
  <si>
    <t>ENC100423</t>
  </si>
  <si>
    <t>PT62299</t>
  </si>
  <si>
    <t>ENC100424</t>
  </si>
  <si>
    <t>PT47532</t>
  </si>
  <si>
    <t>ENC100425</t>
  </si>
  <si>
    <t>PT27979</t>
  </si>
  <si>
    <t>ENC100426</t>
  </si>
  <si>
    <t>PT87787</t>
  </si>
  <si>
    <t>ENC100427</t>
  </si>
  <si>
    <t>PT82370</t>
  </si>
  <si>
    <t>ENC100428</t>
  </si>
  <si>
    <t>PT12259</t>
  </si>
  <si>
    <t>ENC100429</t>
  </si>
  <si>
    <t>PT74385</t>
  </si>
  <si>
    <t>ENC100430</t>
  </si>
  <si>
    <t>PT17594</t>
  </si>
  <si>
    <t>ENC100431</t>
  </si>
  <si>
    <t>PT76507</t>
  </si>
  <si>
    <t>ENC100432</t>
  </si>
  <si>
    <t>PT84335</t>
  </si>
  <si>
    <t>ENC100433</t>
  </si>
  <si>
    <t>PT21795</t>
  </si>
  <si>
    <t>ENC100434</t>
  </si>
  <si>
    <t>PT49044</t>
  </si>
  <si>
    <t>ENC100435</t>
  </si>
  <si>
    <t>PT21137</t>
  </si>
  <si>
    <t>ENC100436</t>
  </si>
  <si>
    <t>PT61054</t>
  </si>
  <si>
    <t>ENC100437</t>
  </si>
  <si>
    <t>PT93479</t>
  </si>
  <si>
    <t>ENC100438</t>
  </si>
  <si>
    <t>PT17278</t>
  </si>
  <si>
    <t>ENC100439</t>
  </si>
  <si>
    <t>PT45781</t>
  </si>
  <si>
    <t>ENC100440</t>
  </si>
  <si>
    <t>PT97579</t>
  </si>
  <si>
    <t>ENC100441</t>
  </si>
  <si>
    <t>PT37085</t>
  </si>
  <si>
    <t>ENC100442</t>
  </si>
  <si>
    <t>PT21899</t>
  </si>
  <si>
    <t>ENC100443</t>
  </si>
  <si>
    <t>PT53972</t>
  </si>
  <si>
    <t>ENC100444</t>
  </si>
  <si>
    <t>PT55753</t>
  </si>
  <si>
    <t>ENC100445</t>
  </si>
  <si>
    <t>PT69657</t>
  </si>
  <si>
    <t>ENC100446</t>
  </si>
  <si>
    <t>PT38236</t>
  </si>
  <si>
    <t>ENC100447</t>
  </si>
  <si>
    <t>PT96005</t>
  </si>
  <si>
    <t>ENC100448</t>
  </si>
  <si>
    <t>PT56891</t>
  </si>
  <si>
    <t>ENC100449</t>
  </si>
  <si>
    <t>PT35779</t>
  </si>
  <si>
    <t>ENC100450</t>
  </si>
  <si>
    <t>PT96424</t>
  </si>
  <si>
    <t>ENC100451</t>
  </si>
  <si>
    <t>PT93231</t>
  </si>
  <si>
    <t>ENC100452</t>
  </si>
  <si>
    <t>PT54924</t>
  </si>
  <si>
    <t>ENC100453</t>
  </si>
  <si>
    <t>PT12237</t>
  </si>
  <si>
    <t>ENC100454</t>
  </si>
  <si>
    <t>PT63723</t>
  </si>
  <si>
    <t>ENC100455</t>
  </si>
  <si>
    <t>PT59967</t>
  </si>
  <si>
    <t>ENC100456</t>
  </si>
  <si>
    <t>PT23338</t>
  </si>
  <si>
    <t>ENC100457</t>
  </si>
  <si>
    <t>PT67057</t>
  </si>
  <si>
    <t>ENC100458</t>
  </si>
  <si>
    <t>PT85670</t>
  </si>
  <si>
    <t>ENC100459</t>
  </si>
  <si>
    <t>PT19530</t>
  </si>
  <si>
    <t>ENC100460</t>
  </si>
  <si>
    <t>PT75098</t>
  </si>
  <si>
    <t>ENC100461</t>
  </si>
  <si>
    <t>PT22630</t>
  </si>
  <si>
    <t>ENC100462</t>
  </si>
  <si>
    <t>PT77393</t>
  </si>
  <si>
    <t>ENC100463</t>
  </si>
  <si>
    <t>PT47719</t>
  </si>
  <si>
    <t>ENC100464</t>
  </si>
  <si>
    <t>PT10585</t>
  </si>
  <si>
    <t>ENC100465</t>
  </si>
  <si>
    <t>PT96959</t>
  </si>
  <si>
    <t>ENC100466</t>
  </si>
  <si>
    <t>PT24937</t>
  </si>
  <si>
    <t>ENC100467</t>
  </si>
  <si>
    <t>PT63643</t>
  </si>
  <si>
    <t>ENC100468</t>
  </si>
  <si>
    <t>PT26331</t>
  </si>
  <si>
    <t>ENC100469</t>
  </si>
  <si>
    <t>PT93971</t>
  </si>
  <si>
    <t>ENC100470</t>
  </si>
  <si>
    <t>PT76448</t>
  </si>
  <si>
    <t>ENC100471</t>
  </si>
  <si>
    <t>PT82391</t>
  </si>
  <si>
    <t>ENC100472</t>
  </si>
  <si>
    <t>PT48886</t>
  </si>
  <si>
    <t>ENC100473</t>
  </si>
  <si>
    <t>PT52063</t>
  </si>
  <si>
    <t>ENC100474</t>
  </si>
  <si>
    <t>PT67086</t>
  </si>
  <si>
    <t>ENC100475</t>
  </si>
  <si>
    <t>PT80627</t>
  </si>
  <si>
    <t>ENC100476</t>
  </si>
  <si>
    <t>PT86227</t>
  </si>
  <si>
    <t>ENC100477</t>
  </si>
  <si>
    <t>PT11605</t>
  </si>
  <si>
    <t>ENC100478</t>
  </si>
  <si>
    <t>PT69719</t>
  </si>
  <si>
    <t>ENC100479</t>
  </si>
  <si>
    <t>PT19822</t>
  </si>
  <si>
    <t>ENC100480</t>
  </si>
  <si>
    <t>PT35913</t>
  </si>
  <si>
    <t>ENC100481</t>
  </si>
  <si>
    <t>PT84647</t>
  </si>
  <si>
    <t>ENC100482</t>
  </si>
  <si>
    <t>PT32545</t>
  </si>
  <si>
    <t>ENC100483</t>
  </si>
  <si>
    <t>PT81712</t>
  </si>
  <si>
    <t>ENC100484</t>
  </si>
  <si>
    <t>PT51670</t>
  </si>
  <si>
    <t>ENC100485</t>
  </si>
  <si>
    <t>PT30937</t>
  </si>
  <si>
    <t>ENC100486</t>
  </si>
  <si>
    <t>PT40081</t>
  </si>
  <si>
    <t>ENC100487</t>
  </si>
  <si>
    <t>PT57768</t>
  </si>
  <si>
    <t>ENC100488</t>
  </si>
  <si>
    <t>PT78862</t>
  </si>
  <si>
    <t>ENC100489</t>
  </si>
  <si>
    <t>PT64540</t>
  </si>
  <si>
    <t>ENC100490</t>
  </si>
  <si>
    <t>PT93989</t>
  </si>
  <si>
    <t>ENC100491</t>
  </si>
  <si>
    <t>PT88095</t>
  </si>
  <si>
    <t>ENC100492</t>
  </si>
  <si>
    <t>PT77801</t>
  </si>
  <si>
    <t>ENC100493</t>
  </si>
  <si>
    <t>PT64279</t>
  </si>
  <si>
    <t>ENC100494</t>
  </si>
  <si>
    <t>PT36086</t>
  </si>
  <si>
    <t>ENC100495</t>
  </si>
  <si>
    <t>PT47131</t>
  </si>
  <si>
    <t>ENC100496</t>
  </si>
  <si>
    <t>PT20700</t>
  </si>
  <si>
    <t>ENC100497</t>
  </si>
  <si>
    <t>PT43676</t>
  </si>
  <si>
    <t>ENC100498</t>
  </si>
  <si>
    <t>PT93381</t>
  </si>
  <si>
    <t>ENC100499</t>
  </si>
  <si>
    <t>PT48328</t>
  </si>
  <si>
    <t>ENC100500</t>
  </si>
  <si>
    <t>PT20235</t>
  </si>
  <si>
    <t>ENC100501</t>
  </si>
  <si>
    <t>PT68673</t>
  </si>
  <si>
    <t>ENC100502</t>
  </si>
  <si>
    <t>PT96634</t>
  </si>
  <si>
    <t>ENC100503</t>
  </si>
  <si>
    <t>PT88073</t>
  </si>
  <si>
    <t>ENC100504</t>
  </si>
  <si>
    <t>PT34666</t>
  </si>
  <si>
    <t>ENC100505</t>
  </si>
  <si>
    <t>PT50850</t>
  </si>
  <si>
    <t>ENC100506</t>
  </si>
  <si>
    <t>PT57790</t>
  </si>
  <si>
    <t>ENC100507</t>
  </si>
  <si>
    <t>PT32305</t>
  </si>
  <si>
    <t>ENC100508</t>
  </si>
  <si>
    <t>PT34182</t>
  </si>
  <si>
    <t>ENC100509</t>
  </si>
  <si>
    <t>PT31299</t>
  </si>
  <si>
    <t>ENC100510</t>
  </si>
  <si>
    <t>PT99511</t>
  </si>
  <si>
    <t>ENC100511</t>
  </si>
  <si>
    <t>PT77140</t>
  </si>
  <si>
    <t>ENC100512</t>
  </si>
  <si>
    <t>PT85676</t>
  </si>
  <si>
    <t>ENC100513</t>
  </si>
  <si>
    <t>PT83490</t>
  </si>
  <si>
    <t>ENC100514</t>
  </si>
  <si>
    <t>PT96321</t>
  </si>
  <si>
    <t>ENC100515</t>
  </si>
  <si>
    <t>PT19474</t>
  </si>
  <si>
    <t>ENC100516</t>
  </si>
  <si>
    <t>PT89346</t>
  </si>
  <si>
    <t>ENC100517</t>
  </si>
  <si>
    <t>PT15990</t>
  </si>
  <si>
    <t>ENC100518</t>
  </si>
  <si>
    <t>PT52787</t>
  </si>
  <si>
    <t>ENC100519</t>
  </si>
  <si>
    <t>PT63498</t>
  </si>
  <si>
    <t>ENC100520</t>
  </si>
  <si>
    <t>PT42207</t>
  </si>
  <si>
    <t>ENC100521</t>
  </si>
  <si>
    <t>PT23155</t>
  </si>
  <si>
    <t>ENC100522</t>
  </si>
  <si>
    <t>PT27306</t>
  </si>
  <si>
    <t>ENC100523</t>
  </si>
  <si>
    <t>PT84218</t>
  </si>
  <si>
    <t>ENC100524</t>
  </si>
  <si>
    <t>PT38684</t>
  </si>
  <si>
    <t>ENC100525</t>
  </si>
  <si>
    <t>PT37929</t>
  </si>
  <si>
    <t>ENC100526</t>
  </si>
  <si>
    <t>PT93101</t>
  </si>
  <si>
    <t>ENC100527</t>
  </si>
  <si>
    <t>PT22948</t>
  </si>
  <si>
    <t>ENC100528</t>
  </si>
  <si>
    <t>PT92373</t>
  </si>
  <si>
    <t>ENC100529</t>
  </si>
  <si>
    <t>PT92886</t>
  </si>
  <si>
    <t>ENC100530</t>
  </si>
  <si>
    <t>PT63869</t>
  </si>
  <si>
    <t>ENC100531</t>
  </si>
  <si>
    <t>PT24897</t>
  </si>
  <si>
    <t>ENC100532</t>
  </si>
  <si>
    <t>PT24027</t>
  </si>
  <si>
    <t>ENC100533</t>
  </si>
  <si>
    <t>PT35624</t>
  </si>
  <si>
    <t>ENC100534</t>
  </si>
  <si>
    <t>PT61966</t>
  </si>
  <si>
    <t>ENC100535</t>
  </si>
  <si>
    <t>PT23825</t>
  </si>
  <si>
    <t>ENC100536</t>
  </si>
  <si>
    <t>PT51008</t>
  </si>
  <si>
    <t>ENC100537</t>
  </si>
  <si>
    <t>PT20393</t>
  </si>
  <si>
    <t>ENC100538</t>
  </si>
  <si>
    <t>PT58625</t>
  </si>
  <si>
    <t>ENC100539</t>
  </si>
  <si>
    <t>PT11903</t>
  </si>
  <si>
    <t>ENC100540</t>
  </si>
  <si>
    <t>PT73812</t>
  </si>
  <si>
    <t>ENC100541</t>
  </si>
  <si>
    <t>PT14985</t>
  </si>
  <si>
    <t>ENC100542</t>
  </si>
  <si>
    <t>PT27533</t>
  </si>
  <si>
    <t>ENC100543</t>
  </si>
  <si>
    <t>PT25717</t>
  </si>
  <si>
    <t>ENC100544</t>
  </si>
  <si>
    <t>PT84788</t>
  </si>
  <si>
    <t>ENC100545</t>
  </si>
  <si>
    <t>PT14804</t>
  </si>
  <si>
    <t>ENC100546</t>
  </si>
  <si>
    <t>PT48632</t>
  </si>
  <si>
    <t>ENC100547</t>
  </si>
  <si>
    <t>PT63202</t>
  </si>
  <si>
    <t>ENC100548</t>
  </si>
  <si>
    <t>PT56439</t>
  </si>
  <si>
    <t>ENC100549</t>
  </si>
  <si>
    <t>PT71263</t>
  </si>
  <si>
    <t>ENC100550</t>
  </si>
  <si>
    <t>PT82278</t>
  </si>
  <si>
    <t>ENC100551</t>
  </si>
  <si>
    <t>PT45426</t>
  </si>
  <si>
    <t>ENC100552</t>
  </si>
  <si>
    <t>PT84538</t>
  </si>
  <si>
    <t>ENC100553</t>
  </si>
  <si>
    <t>PT38618</t>
  </si>
  <si>
    <t>ENC100554</t>
  </si>
  <si>
    <t>PT98597</t>
  </si>
  <si>
    <t>ENC100555</t>
  </si>
  <si>
    <t>PT55406</t>
  </si>
  <si>
    <t>ENC100556</t>
  </si>
  <si>
    <t>PT76240</t>
  </si>
  <si>
    <t>ENC100557</t>
  </si>
  <si>
    <t>PT88749</t>
  </si>
  <si>
    <t>ENC100558</t>
  </si>
  <si>
    <t>PT81337</t>
  </si>
  <si>
    <t>ENC100559</t>
  </si>
  <si>
    <t>PT86600</t>
  </si>
  <si>
    <t>ENC100560</t>
  </si>
  <si>
    <t>PT58285</t>
  </si>
  <si>
    <t>ENC100561</t>
  </si>
  <si>
    <t>PT13912</t>
  </si>
  <si>
    <t>ENC100562</t>
  </si>
  <si>
    <t>PT54377</t>
  </si>
  <si>
    <t>ENC100563</t>
  </si>
  <si>
    <t>PT26334</t>
  </si>
  <si>
    <t>ENC100564</t>
  </si>
  <si>
    <t>PT90019</t>
  </si>
  <si>
    <t>ENC100565</t>
  </si>
  <si>
    <t>PT31306</t>
  </si>
  <si>
    <t>ENC100566</t>
  </si>
  <si>
    <t>PT30526</t>
  </si>
  <si>
    <t>ENC100567</t>
  </si>
  <si>
    <t>PT32444</t>
  </si>
  <si>
    <t>ENC100568</t>
  </si>
  <si>
    <t>PT67830</t>
  </si>
  <si>
    <t>ENC100569</t>
  </si>
  <si>
    <t>PT61410</t>
  </si>
  <si>
    <t>ENC100570</t>
  </si>
  <si>
    <t>PT95394</t>
  </si>
  <si>
    <t>ENC100571</t>
  </si>
  <si>
    <t>PT47463</t>
  </si>
  <si>
    <t>ENC100572</t>
  </si>
  <si>
    <t>PT35404</t>
  </si>
  <si>
    <t>ENC100573</t>
  </si>
  <si>
    <t>PT14432</t>
  </si>
  <si>
    <t>ENC100574</t>
  </si>
  <si>
    <t>PT10636</t>
  </si>
  <si>
    <t>ENC100575</t>
  </si>
  <si>
    <t>PT43624</t>
  </si>
  <si>
    <t>ENC100576</t>
  </si>
  <si>
    <t>PT93322</t>
  </si>
  <si>
    <t>ENC100577</t>
  </si>
  <si>
    <t>PT57137</t>
  </si>
  <si>
    <t>ENC100578</t>
  </si>
  <si>
    <t>PT90418</t>
  </si>
  <si>
    <t>ENC100579</t>
  </si>
  <si>
    <t>PT19150</t>
  </si>
  <si>
    <t>ENC100580</t>
  </si>
  <si>
    <t>PT18398</t>
  </si>
  <si>
    <t>ENC100581</t>
  </si>
  <si>
    <t>PT85010</t>
  </si>
  <si>
    <t>ENC100582</t>
  </si>
  <si>
    <t>PT19606</t>
  </si>
  <si>
    <t>ENC100583</t>
  </si>
  <si>
    <t>PT14676</t>
  </si>
  <si>
    <t>ENC100584</t>
  </si>
  <si>
    <t>PT46367</t>
  </si>
  <si>
    <t>ENC100585</t>
  </si>
  <si>
    <t>PT93234</t>
  </si>
  <si>
    <t>ENC100586</t>
  </si>
  <si>
    <t>PT72043</t>
  </si>
  <si>
    <t>ENC100587</t>
  </si>
  <si>
    <t>PT18920</t>
  </si>
  <si>
    <t>ENC100588</t>
  </si>
  <si>
    <t>PT85340</t>
  </si>
  <si>
    <t>ENC100589</t>
  </si>
  <si>
    <t>PT85920</t>
  </si>
  <si>
    <t>ENC100590</t>
  </si>
  <si>
    <t>PT82061</t>
  </si>
  <si>
    <t>ENC100591</t>
  </si>
  <si>
    <t>PT91237</t>
  </si>
  <si>
    <t>ENC100592</t>
  </si>
  <si>
    <t>PT31588</t>
  </si>
  <si>
    <t>ENC100593</t>
  </si>
  <si>
    <t>PT98160</t>
  </si>
  <si>
    <t>ENC100594</t>
  </si>
  <si>
    <t>PT38862</t>
  </si>
  <si>
    <t>ENC100595</t>
  </si>
  <si>
    <t>PT82181</t>
  </si>
  <si>
    <t>ENC100596</t>
  </si>
  <si>
    <t>PT62142</t>
  </si>
  <si>
    <t>ENC100597</t>
  </si>
  <si>
    <t>PT80152</t>
  </si>
  <si>
    <t>ENC100598</t>
  </si>
  <si>
    <t>PT66503</t>
  </si>
  <si>
    <t>ENC100599</t>
  </si>
  <si>
    <t>PT67822</t>
  </si>
  <si>
    <t>ENC100600</t>
  </si>
  <si>
    <t>PT65464</t>
  </si>
  <si>
    <t>ENC100601</t>
  </si>
  <si>
    <t>PT80108</t>
  </si>
  <si>
    <t>ENC100602</t>
  </si>
  <si>
    <t>PT76513</t>
  </si>
  <si>
    <t>ENC100603</t>
  </si>
  <si>
    <t>PT22109</t>
  </si>
  <si>
    <t>ENC100604</t>
  </si>
  <si>
    <t>PT84344</t>
  </si>
  <si>
    <t>ENC100605</t>
  </si>
  <si>
    <t>PT58245</t>
  </si>
  <si>
    <t>ENC100606</t>
  </si>
  <si>
    <t>PT39077</t>
  </si>
  <si>
    <t>ENC100607</t>
  </si>
  <si>
    <t>PT56279</t>
  </si>
  <si>
    <t>ENC100608</t>
  </si>
  <si>
    <t>PT97027</t>
  </si>
  <si>
    <t>ENC100609</t>
  </si>
  <si>
    <t>PT87180</t>
  </si>
  <si>
    <t>ENC100610</t>
  </si>
  <si>
    <t>PT85032</t>
  </si>
  <si>
    <t>ENC100611</t>
  </si>
  <si>
    <t>PT51651</t>
  </si>
  <si>
    <t>ENC100612</t>
  </si>
  <si>
    <t>PT80571</t>
  </si>
  <si>
    <t>ENC100613</t>
  </si>
  <si>
    <t>PT44657</t>
  </si>
  <si>
    <t>ENC100614</t>
  </si>
  <si>
    <t>PT71754</t>
  </si>
  <si>
    <t>ENC100615</t>
  </si>
  <si>
    <t>PT67560</t>
  </si>
  <si>
    <t>ENC100616</t>
  </si>
  <si>
    <t>PT32481</t>
  </si>
  <si>
    <t>ENC100617</t>
  </si>
  <si>
    <t>PT33981</t>
  </si>
  <si>
    <t>ENC100618</t>
  </si>
  <si>
    <t>PT15501</t>
  </si>
  <si>
    <t>ENC100619</t>
  </si>
  <si>
    <t>PT22579</t>
  </si>
  <si>
    <t>ENC100620</t>
  </si>
  <si>
    <t>PT49025</t>
  </si>
  <si>
    <t>ENC100621</t>
  </si>
  <si>
    <t>PT53008</t>
  </si>
  <si>
    <t>ENC100622</t>
  </si>
  <si>
    <t>PT24860</t>
  </si>
  <si>
    <t>ENC100623</t>
  </si>
  <si>
    <t>PT47519</t>
  </si>
  <si>
    <t>ENC100624</t>
  </si>
  <si>
    <t>PT64375</t>
  </si>
  <si>
    <t>ENC100625</t>
  </si>
  <si>
    <t>PT30931</t>
  </si>
  <si>
    <t>ENC100626</t>
  </si>
  <si>
    <t>PT40440</t>
  </si>
  <si>
    <t>ENC100627</t>
  </si>
  <si>
    <t>PT43075</t>
  </si>
  <si>
    <t>ENC100628</t>
  </si>
  <si>
    <t>PT55454</t>
  </si>
  <si>
    <t>ENC100629</t>
  </si>
  <si>
    <t>PT42974</t>
  </si>
  <si>
    <t>ENC100630</t>
  </si>
  <si>
    <t>PT76324</t>
  </si>
  <si>
    <t>ENC100631</t>
  </si>
  <si>
    <t>PT39474</t>
  </si>
  <si>
    <t>ENC100632</t>
  </si>
  <si>
    <t>PT49050</t>
  </si>
  <si>
    <t>ENC100633</t>
  </si>
  <si>
    <t>PT44151</t>
  </si>
  <si>
    <t>ENC100634</t>
  </si>
  <si>
    <t>PT26462</t>
  </si>
  <si>
    <t>ENC100635</t>
  </si>
  <si>
    <t>PT71716</t>
  </si>
  <si>
    <t>ENC100636</t>
  </si>
  <si>
    <t>PT31189</t>
  </si>
  <si>
    <t>ENC100637</t>
  </si>
  <si>
    <t>PT36718</t>
  </si>
  <si>
    <t>ENC100638</t>
  </si>
  <si>
    <t>PT81346</t>
  </si>
  <si>
    <t>ENC100639</t>
  </si>
  <si>
    <t>PT95396</t>
  </si>
  <si>
    <t>ENC100640</t>
  </si>
  <si>
    <t>PT70375</t>
  </si>
  <si>
    <t>ENC100641</t>
  </si>
  <si>
    <t>PT92470</t>
  </si>
  <si>
    <t>ENC100642</t>
  </si>
  <si>
    <t>PT86876</t>
  </si>
  <si>
    <t>ENC100643</t>
  </si>
  <si>
    <t>PT53281</t>
  </si>
  <si>
    <t>ENC100644</t>
  </si>
  <si>
    <t>PT79325</t>
  </si>
  <si>
    <t>ENC100645</t>
  </si>
  <si>
    <t>PT39552</t>
  </si>
  <si>
    <t>ENC100646</t>
  </si>
  <si>
    <t>PT51444</t>
  </si>
  <si>
    <t>ENC100647</t>
  </si>
  <si>
    <t>PT58188</t>
  </si>
  <si>
    <t>ENC100648</t>
  </si>
  <si>
    <t>PT96443</t>
  </si>
  <si>
    <t>ENC100649</t>
  </si>
  <si>
    <t>PT86369</t>
  </si>
  <si>
    <t>ENC100650</t>
  </si>
  <si>
    <t>PT54032</t>
  </si>
  <si>
    <t>ENC100651</t>
  </si>
  <si>
    <t>PT68732</t>
  </si>
  <si>
    <t>ENC100652</t>
  </si>
  <si>
    <t>PT28211</t>
  </si>
  <si>
    <t>ENC100653</t>
  </si>
  <si>
    <t>PT82394</t>
  </si>
  <si>
    <t>ENC100654</t>
  </si>
  <si>
    <t>PT59772</t>
  </si>
  <si>
    <t>ENC100655</t>
  </si>
  <si>
    <t>PT57944</t>
  </si>
  <si>
    <t>ENC100656</t>
  </si>
  <si>
    <t>PT78964</t>
  </si>
  <si>
    <t>ENC100657</t>
  </si>
  <si>
    <t>PT66961</t>
  </si>
  <si>
    <t>ENC100658</t>
  </si>
  <si>
    <t>PT16521</t>
  </si>
  <si>
    <t>ENC100659</t>
  </si>
  <si>
    <t>PT35933</t>
  </si>
  <si>
    <t>ENC100660</t>
  </si>
  <si>
    <t>PT25904</t>
  </si>
  <si>
    <t>ENC100661</t>
  </si>
  <si>
    <t>PT76139</t>
  </si>
  <si>
    <t>ENC100662</t>
  </si>
  <si>
    <t>PT13163</t>
  </si>
  <si>
    <t>ENC100663</t>
  </si>
  <si>
    <t>PT28216</t>
  </si>
  <si>
    <t>ENC100664</t>
  </si>
  <si>
    <t>PT63769</t>
  </si>
  <si>
    <t>ENC100665</t>
  </si>
  <si>
    <t>PT72531</t>
  </si>
  <si>
    <t>ENC100666</t>
  </si>
  <si>
    <t>PT55296</t>
  </si>
  <si>
    <t>ENC100667</t>
  </si>
  <si>
    <t>PT87463</t>
  </si>
  <si>
    <t>ENC100668</t>
  </si>
  <si>
    <t>PT92703</t>
  </si>
  <si>
    <t>ENC100669</t>
  </si>
  <si>
    <t>PT21889</t>
  </si>
  <si>
    <t>ENC100670</t>
  </si>
  <si>
    <t>PT95725</t>
  </si>
  <si>
    <t>ENC100671</t>
  </si>
  <si>
    <t>PT65293</t>
  </si>
  <si>
    <t>ENC100672</t>
  </si>
  <si>
    <t>PT67259</t>
  </si>
  <si>
    <t>ENC100673</t>
  </si>
  <si>
    <t>PT18558</t>
  </si>
  <si>
    <t>ENC100674</t>
  </si>
  <si>
    <t>PT65967</t>
  </si>
  <si>
    <t>ENC100675</t>
  </si>
  <si>
    <t>PT75313</t>
  </si>
  <si>
    <t>ENC100676</t>
  </si>
  <si>
    <t>PT62270</t>
  </si>
  <si>
    <t>ENC100677</t>
  </si>
  <si>
    <t>PT17604</t>
  </si>
  <si>
    <t>ENC100678</t>
  </si>
  <si>
    <t>PT57089</t>
  </si>
  <si>
    <t>ENC100679</t>
  </si>
  <si>
    <t>PT94233</t>
  </si>
  <si>
    <t>ENC100680</t>
  </si>
  <si>
    <t>PT75106</t>
  </si>
  <si>
    <t>ENC100681</t>
  </si>
  <si>
    <t>PT22366</t>
  </si>
  <si>
    <t>ENC100682</t>
  </si>
  <si>
    <t>PT96393</t>
  </si>
  <si>
    <t>ENC100683</t>
  </si>
  <si>
    <t>PT96298</t>
  </si>
  <si>
    <t>ENC100684</t>
  </si>
  <si>
    <t>PT25245</t>
  </si>
  <si>
    <t>ENC100685</t>
  </si>
  <si>
    <t>PT82078</t>
  </si>
  <si>
    <t>ENC100686</t>
  </si>
  <si>
    <t>PT46604</t>
  </si>
  <si>
    <t>ENC100687</t>
  </si>
  <si>
    <t>PT63430</t>
  </si>
  <si>
    <t>ENC100688</t>
  </si>
  <si>
    <t>PT50066</t>
  </si>
  <si>
    <t>ENC100689</t>
  </si>
  <si>
    <t>PT80435</t>
  </si>
  <si>
    <t>ENC100690</t>
  </si>
  <si>
    <t>PT99698</t>
  </si>
  <si>
    <t>ENC100691</t>
  </si>
  <si>
    <t>PT81559</t>
  </si>
  <si>
    <t>ENC100692</t>
  </si>
  <si>
    <t>PT93822</t>
  </si>
  <si>
    <t>ENC100693</t>
  </si>
  <si>
    <t>PT95141</t>
  </si>
  <si>
    <t>ENC100694</t>
  </si>
  <si>
    <t>PT18109</t>
  </si>
  <si>
    <t>ENC100695</t>
  </si>
  <si>
    <t>PT32804</t>
  </si>
  <si>
    <t>ENC100696</t>
  </si>
  <si>
    <t>PT74966</t>
  </si>
  <si>
    <t>ENC100697</t>
  </si>
  <si>
    <t>PT63106</t>
  </si>
  <si>
    <t>ENC100698</t>
  </si>
  <si>
    <t>PT14513</t>
  </si>
  <si>
    <t>ENC100699</t>
  </si>
  <si>
    <t>PT18554</t>
  </si>
  <si>
    <t>ENC100700</t>
  </si>
  <si>
    <t>PT56848</t>
  </si>
  <si>
    <t>ENC100701</t>
  </si>
  <si>
    <t>PT65454</t>
  </si>
  <si>
    <t>ENC100702</t>
  </si>
  <si>
    <t>PT25094</t>
  </si>
  <si>
    <t>ENC100703</t>
  </si>
  <si>
    <t>PT25416</t>
  </si>
  <si>
    <t>ENC100704</t>
  </si>
  <si>
    <t>PT21640</t>
  </si>
  <si>
    <t>ENC100705</t>
  </si>
  <si>
    <t>PT60844</t>
  </si>
  <si>
    <t>ENC100706</t>
  </si>
  <si>
    <t>PT10706</t>
  </si>
  <si>
    <t>ENC100707</t>
  </si>
  <si>
    <t>PT61518</t>
  </si>
  <si>
    <t>ENC100708</t>
  </si>
  <si>
    <t>PT52833</t>
  </si>
  <si>
    <t>ENC100709</t>
  </si>
  <si>
    <t>PT51938</t>
  </si>
  <si>
    <t>ENC100710</t>
  </si>
  <si>
    <t>PT71134</t>
  </si>
  <si>
    <t>ENC100711</t>
  </si>
  <si>
    <t>PT57036</t>
  </si>
  <si>
    <t>ENC100712</t>
  </si>
  <si>
    <t>PT75496</t>
  </si>
  <si>
    <t>ENC100713</t>
  </si>
  <si>
    <t>PT78752</t>
  </si>
  <si>
    <t>ENC100714</t>
  </si>
  <si>
    <t>PT92809</t>
  </si>
  <si>
    <t>ENC100715</t>
  </si>
  <si>
    <t>PT81931</t>
  </si>
  <si>
    <t>ENC100716</t>
  </si>
  <si>
    <t>PT56593</t>
  </si>
  <si>
    <t>ENC100717</t>
  </si>
  <si>
    <t>PT54293</t>
  </si>
  <si>
    <t>ENC100718</t>
  </si>
  <si>
    <t>PT31213</t>
  </si>
  <si>
    <t>ENC100719</t>
  </si>
  <si>
    <t>PT63962</t>
  </si>
  <si>
    <t>ENC100720</t>
  </si>
  <si>
    <t>PT22522</t>
  </si>
  <si>
    <t>ENC100721</t>
  </si>
  <si>
    <t>PT93810</t>
  </si>
  <si>
    <t>ENC100722</t>
  </si>
  <si>
    <t>PT86053</t>
  </si>
  <si>
    <t>ENC100723</t>
  </si>
  <si>
    <t>PT20775</t>
  </si>
  <si>
    <t>ENC100724</t>
  </si>
  <si>
    <t>PT80735</t>
  </si>
  <si>
    <t>ENC100725</t>
  </si>
  <si>
    <t>PT20539</t>
  </si>
  <si>
    <t>ENC100726</t>
  </si>
  <si>
    <t>PT74909</t>
  </si>
  <si>
    <t>ENC100727</t>
  </si>
  <si>
    <t>PT17893</t>
  </si>
  <si>
    <t>ENC100728</t>
  </si>
  <si>
    <t>PT53936</t>
  </si>
  <si>
    <t>ENC100729</t>
  </si>
  <si>
    <t>PT69207</t>
  </si>
  <si>
    <t>ENC100730</t>
  </si>
  <si>
    <t>PT75592</t>
  </si>
  <si>
    <t>ENC100731</t>
  </si>
  <si>
    <t>PT47674</t>
  </si>
  <si>
    <t>ENC100732</t>
  </si>
  <si>
    <t>PT92945</t>
  </si>
  <si>
    <t>ENC100733</t>
  </si>
  <si>
    <t>PT79688</t>
  </si>
  <si>
    <t>ENC100734</t>
  </si>
  <si>
    <t>PT28743</t>
  </si>
  <si>
    <t>ENC100735</t>
  </si>
  <si>
    <t>PT70410</t>
  </si>
  <si>
    <t>ENC100736</t>
  </si>
  <si>
    <t>PT75747</t>
  </si>
  <si>
    <t>ENC100737</t>
  </si>
  <si>
    <t>PT40027</t>
  </si>
  <si>
    <t>ENC100738</t>
  </si>
  <si>
    <t>PT76440</t>
  </si>
  <si>
    <t>ENC100739</t>
  </si>
  <si>
    <t>PT90852</t>
  </si>
  <si>
    <t>ENC100740</t>
  </si>
  <si>
    <t>PT83539</t>
  </si>
  <si>
    <t>ENC100741</t>
  </si>
  <si>
    <t>PT78627</t>
  </si>
  <si>
    <t>ENC100742</t>
  </si>
  <si>
    <t>PT67104</t>
  </si>
  <si>
    <t>ENC100743</t>
  </si>
  <si>
    <t>PT34347</t>
  </si>
  <si>
    <t>ENC100744</t>
  </si>
  <si>
    <t>PT81569</t>
  </si>
  <si>
    <t>ENC100745</t>
  </si>
  <si>
    <t>PT42776</t>
  </si>
  <si>
    <t>ENC100746</t>
  </si>
  <si>
    <t>PT57897</t>
  </si>
  <si>
    <t>ENC100747</t>
  </si>
  <si>
    <t>PT38299</t>
  </si>
  <si>
    <t>ENC100748</t>
  </si>
  <si>
    <t>PT38171</t>
  </si>
  <si>
    <t>ENC100749</t>
  </si>
  <si>
    <t>PT24184</t>
  </si>
  <si>
    <t>ENC100750</t>
  </si>
  <si>
    <t>PT96515</t>
  </si>
  <si>
    <t>ENC100751</t>
  </si>
  <si>
    <t>PT23300</t>
  </si>
  <si>
    <t>ENC100752</t>
  </si>
  <si>
    <t>PT17763</t>
  </si>
  <si>
    <t>ENC100753</t>
  </si>
  <si>
    <t>PT94250</t>
  </si>
  <si>
    <t>ENC100754</t>
  </si>
  <si>
    <t>PT59950</t>
  </si>
  <si>
    <t>ENC100755</t>
  </si>
  <si>
    <t>PT49410</t>
  </si>
  <si>
    <t>ENC100756</t>
  </si>
  <si>
    <t>PT76373</t>
  </si>
  <si>
    <t>ENC100757</t>
  </si>
  <si>
    <t>PT44498</t>
  </si>
  <si>
    <t>ENC100758</t>
  </si>
  <si>
    <t>PT21512</t>
  </si>
  <si>
    <t>ENC100759</t>
  </si>
  <si>
    <t>PT75670</t>
  </si>
  <si>
    <t>ENC100760</t>
  </si>
  <si>
    <t>PT25839</t>
  </si>
  <si>
    <t>ENC100761</t>
  </si>
  <si>
    <t>PT59768</t>
  </si>
  <si>
    <t>ENC100762</t>
  </si>
  <si>
    <t>PT95415</t>
  </si>
  <si>
    <t>ENC100763</t>
  </si>
  <si>
    <t>PT94251</t>
  </si>
  <si>
    <t>ENC100764</t>
  </si>
  <si>
    <t>PT42470</t>
  </si>
  <si>
    <t>ENC100765</t>
  </si>
  <si>
    <t>PT80226</t>
  </si>
  <si>
    <t>ENC100766</t>
  </si>
  <si>
    <t>PT65140</t>
  </si>
  <si>
    <t>ENC100767</t>
  </si>
  <si>
    <t>PT53142</t>
  </si>
  <si>
    <t>ENC100768</t>
  </si>
  <si>
    <t>PT22593</t>
  </si>
  <si>
    <t>ENC100769</t>
  </si>
  <si>
    <t>PT43871</t>
  </si>
  <si>
    <t>ENC100770</t>
  </si>
  <si>
    <t>PT68671</t>
  </si>
  <si>
    <t>ENC100771</t>
  </si>
  <si>
    <t>PT98795</t>
  </si>
  <si>
    <t>ENC100772</t>
  </si>
  <si>
    <t>PT10440</t>
  </si>
  <si>
    <t>ENC100773</t>
  </si>
  <si>
    <t>PT74597</t>
  </si>
  <si>
    <t>ENC100774</t>
  </si>
  <si>
    <t>PT86169</t>
  </si>
  <si>
    <t>ENC100775</t>
  </si>
  <si>
    <t>PT95606</t>
  </si>
  <si>
    <t>ENC100776</t>
  </si>
  <si>
    <t>PT48141</t>
  </si>
  <si>
    <t>ENC100777</t>
  </si>
  <si>
    <t>PT20662</t>
  </si>
  <si>
    <t>ENC100778</t>
  </si>
  <si>
    <t>PT34386</t>
  </si>
  <si>
    <t>ENC100779</t>
  </si>
  <si>
    <t>PT86547</t>
  </si>
  <si>
    <t>ENC100780</t>
  </si>
  <si>
    <t>PT89013</t>
  </si>
  <si>
    <t>ENC100781</t>
  </si>
  <si>
    <t>PT67336</t>
  </si>
  <si>
    <t>ENC100782</t>
  </si>
  <si>
    <t>PT21046</t>
  </si>
  <si>
    <t>ENC100783</t>
  </si>
  <si>
    <t>PT20972</t>
  </si>
  <si>
    <t>ENC100784</t>
  </si>
  <si>
    <t>PT53035</t>
  </si>
  <si>
    <t>ENC100785</t>
  </si>
  <si>
    <t>PT62942</t>
  </si>
  <si>
    <t>ENC100786</t>
  </si>
  <si>
    <t>PT12914</t>
  </si>
  <si>
    <t>ENC100787</t>
  </si>
  <si>
    <t>PT71747</t>
  </si>
  <si>
    <t>ENC100788</t>
  </si>
  <si>
    <t>PT59005</t>
  </si>
  <si>
    <t>ENC100789</t>
  </si>
  <si>
    <t>PT11107</t>
  </si>
  <si>
    <t>ENC100790</t>
  </si>
  <si>
    <t>PT18610</t>
  </si>
  <si>
    <t>ENC100791</t>
  </si>
  <si>
    <t>PT50888</t>
  </si>
  <si>
    <t>ENC100792</t>
  </si>
  <si>
    <t>PT75031</t>
  </si>
  <si>
    <t>ENC100793</t>
  </si>
  <si>
    <t>PT84285</t>
  </si>
  <si>
    <t>ENC100794</t>
  </si>
  <si>
    <t>PT48816</t>
  </si>
  <si>
    <t>ENC100795</t>
  </si>
  <si>
    <t>PT36582</t>
  </si>
  <si>
    <t>ENC100796</t>
  </si>
  <si>
    <t>PT97146</t>
  </si>
  <si>
    <t>ENC100797</t>
  </si>
  <si>
    <t>PT51268</t>
  </si>
  <si>
    <t>ENC100798</t>
  </si>
  <si>
    <t>PT38384</t>
  </si>
  <si>
    <t>ENC100799</t>
  </si>
  <si>
    <t>PT49807</t>
  </si>
  <si>
    <t>ENC100800</t>
  </si>
  <si>
    <t>PT11088</t>
  </si>
  <si>
    <t>ENC100801</t>
  </si>
  <si>
    <t>PT37173</t>
  </si>
  <si>
    <t>ENC100802</t>
  </si>
  <si>
    <t>PT56399</t>
  </si>
  <si>
    <t>ENC100803</t>
  </si>
  <si>
    <t>PT92658</t>
  </si>
  <si>
    <t>ENC100804</t>
  </si>
  <si>
    <t>PT76439</t>
  </si>
  <si>
    <t>ENC100805</t>
  </si>
  <si>
    <t>PT80315</t>
  </si>
  <si>
    <t>ENC100806</t>
  </si>
  <si>
    <t>PT59040</t>
  </si>
  <si>
    <t>ENC100807</t>
  </si>
  <si>
    <t>PT19952</t>
  </si>
  <si>
    <t>ENC100808</t>
  </si>
  <si>
    <t>PT45182</t>
  </si>
  <si>
    <t>ENC100809</t>
  </si>
  <si>
    <t>PT99732</t>
  </si>
  <si>
    <t>ENC100810</t>
  </si>
  <si>
    <t>PT13975</t>
  </si>
  <si>
    <t>ENC100811</t>
  </si>
  <si>
    <t>PT89127</t>
  </si>
  <si>
    <t>ENC100812</t>
  </si>
  <si>
    <t>PT71603</t>
  </si>
  <si>
    <t>ENC100813</t>
  </si>
  <si>
    <t>PT35551</t>
  </si>
  <si>
    <t>ENC100814</t>
  </si>
  <si>
    <t>PT80018</t>
  </si>
  <si>
    <t>ENC100815</t>
  </si>
  <si>
    <t>PT85319</t>
  </si>
  <si>
    <t>ENC100816</t>
  </si>
  <si>
    <t>PT13889</t>
  </si>
  <si>
    <t>ENC100817</t>
  </si>
  <si>
    <t>PT19577</t>
  </si>
  <si>
    <t>ENC100818</t>
  </si>
  <si>
    <t>PT69916</t>
  </si>
  <si>
    <t>ENC100819</t>
  </si>
  <si>
    <t>PT99918</t>
  </si>
  <si>
    <t>ENC100820</t>
  </si>
  <si>
    <t>PT12156</t>
  </si>
  <si>
    <t>ENC100821</t>
  </si>
  <si>
    <t>PT69910</t>
  </si>
  <si>
    <t>ENC100822</t>
  </si>
  <si>
    <t>PT22287</t>
  </si>
  <si>
    <t>ENC100823</t>
  </si>
  <si>
    <t>PT68510</t>
  </si>
  <si>
    <t>ENC100824</t>
  </si>
  <si>
    <t>PT66097</t>
  </si>
  <si>
    <t>ENC100825</t>
  </si>
  <si>
    <t>PT18139</t>
  </si>
  <si>
    <t>ENC100826</t>
  </si>
  <si>
    <t>PT71264</t>
  </si>
  <si>
    <t>ENC100827</t>
  </si>
  <si>
    <t>PT90732</t>
  </si>
  <si>
    <t>ENC100828</t>
  </si>
  <si>
    <t>PT87709</t>
  </si>
  <si>
    <t>ENC100829</t>
  </si>
  <si>
    <t>PT12609</t>
  </si>
  <si>
    <t>ENC100830</t>
  </si>
  <si>
    <t>PT32132</t>
  </si>
  <si>
    <t>ENC100831</t>
  </si>
  <si>
    <t>PT31674</t>
  </si>
  <si>
    <t>ENC100832</t>
  </si>
  <si>
    <t>PT50795</t>
  </si>
  <si>
    <t>ENC100833</t>
  </si>
  <si>
    <t>PT22871</t>
  </si>
  <si>
    <t>ENC100834</t>
  </si>
  <si>
    <t>PT86890</t>
  </si>
  <si>
    <t>ENC100835</t>
  </si>
  <si>
    <t>PT79908</t>
  </si>
  <si>
    <t>ENC100836</t>
  </si>
  <si>
    <t>PT82750</t>
  </si>
  <si>
    <t>ENC100837</t>
  </si>
  <si>
    <t>PT27838</t>
  </si>
  <si>
    <t>ENC100838</t>
  </si>
  <si>
    <t>PT11311</t>
  </si>
  <si>
    <t>ENC100839</t>
  </si>
  <si>
    <t>PT91956</t>
  </si>
  <si>
    <t>ENC100840</t>
  </si>
  <si>
    <t>PT36001</t>
  </si>
  <si>
    <t>ENC100841</t>
  </si>
  <si>
    <t>PT69063</t>
  </si>
  <si>
    <t>ENC100842</t>
  </si>
  <si>
    <t>PT91848</t>
  </si>
  <si>
    <t>ENC100843</t>
  </si>
  <si>
    <t>PT13254</t>
  </si>
  <si>
    <t>ENC100844</t>
  </si>
  <si>
    <t>PT10492</t>
  </si>
  <si>
    <t>ENC100845</t>
  </si>
  <si>
    <t>PT10488</t>
  </si>
  <si>
    <t>ENC100846</t>
  </si>
  <si>
    <t>PT24069</t>
  </si>
  <si>
    <t>ENC100847</t>
  </si>
  <si>
    <t>PT14649</t>
  </si>
  <si>
    <t>ENC100848</t>
  </si>
  <si>
    <t>PT83797</t>
  </si>
  <si>
    <t>ENC100849</t>
  </si>
  <si>
    <t>PT64532</t>
  </si>
  <si>
    <t>ENC100850</t>
  </si>
  <si>
    <t>PT98203</t>
  </si>
  <si>
    <t>ENC100851</t>
  </si>
  <si>
    <t>PT82132</t>
  </si>
  <si>
    <t>ENC100852</t>
  </si>
  <si>
    <t>PT96685</t>
  </si>
  <si>
    <t>ENC100853</t>
  </si>
  <si>
    <t>PT31469</t>
  </si>
  <si>
    <t>ENC100854</t>
  </si>
  <si>
    <t>PT35901</t>
  </si>
  <si>
    <t>ENC100855</t>
  </si>
  <si>
    <t>PT86445</t>
  </si>
  <si>
    <t>ENC100856</t>
  </si>
  <si>
    <t>PT32039</t>
  </si>
  <si>
    <t>ENC100857</t>
  </si>
  <si>
    <t>PT15150</t>
  </si>
  <si>
    <t>ENC100858</t>
  </si>
  <si>
    <t>PT70221</t>
  </si>
  <si>
    <t>ENC100859</t>
  </si>
  <si>
    <t>PT82085</t>
  </si>
  <si>
    <t>ENC100860</t>
  </si>
  <si>
    <t>PT97136</t>
  </si>
  <si>
    <t>ENC100861</t>
  </si>
  <si>
    <t>PT93500</t>
  </si>
  <si>
    <t>ENC100862</t>
  </si>
  <si>
    <t>PT20820</t>
  </si>
  <si>
    <t>ENC100863</t>
  </si>
  <si>
    <t>PT79488</t>
  </si>
  <si>
    <t>ENC100864</t>
  </si>
  <si>
    <t>PT86150</t>
  </si>
  <si>
    <t>ENC100865</t>
  </si>
  <si>
    <t>PT72830</t>
  </si>
  <si>
    <t>ENC100866</t>
  </si>
  <si>
    <t>PT83781</t>
  </si>
  <si>
    <t>ENC100867</t>
  </si>
  <si>
    <t>PT85417</t>
  </si>
  <si>
    <t>ENC100868</t>
  </si>
  <si>
    <t>PT50189</t>
  </si>
  <si>
    <t>ENC100869</t>
  </si>
  <si>
    <t>PT13613</t>
  </si>
  <si>
    <t>ENC100870</t>
  </si>
  <si>
    <t>PT51057</t>
  </si>
  <si>
    <t>ENC100871</t>
  </si>
  <si>
    <t>PT28160</t>
  </si>
  <si>
    <t>ENC100872</t>
  </si>
  <si>
    <t>ENC100873</t>
  </si>
  <si>
    <t>PT21243</t>
  </si>
  <si>
    <t>ENC100874</t>
  </si>
  <si>
    <t>ENC100875</t>
  </si>
  <si>
    <t>PT55407</t>
  </si>
  <si>
    <t>ENC100876</t>
  </si>
  <si>
    <t>PT58584</t>
  </si>
  <si>
    <t>ENC100877</t>
  </si>
  <si>
    <t>PT77066</t>
  </si>
  <si>
    <t>ENC100878</t>
  </si>
  <si>
    <t>PT59343</t>
  </si>
  <si>
    <t>ENC100879</t>
  </si>
  <si>
    <t>PT66700</t>
  </si>
  <si>
    <t>ENC100880</t>
  </si>
  <si>
    <t>PT17742</t>
  </si>
  <si>
    <t>ENC100881</t>
  </si>
  <si>
    <t>ENC100882</t>
  </si>
  <si>
    <t>PT50389</t>
  </si>
  <si>
    <t>ENC100883</t>
  </si>
  <si>
    <t>PT23969</t>
  </si>
  <si>
    <t>ENC100884</t>
  </si>
  <si>
    <t>PT83198</t>
  </si>
  <si>
    <t>ENC100885</t>
  </si>
  <si>
    <t>PT76115</t>
  </si>
  <si>
    <t>ENC100886</t>
  </si>
  <si>
    <t>PT14772</t>
  </si>
  <si>
    <t>ENC100887</t>
  </si>
  <si>
    <t>PT27373</t>
  </si>
  <si>
    <t>ENC100888</t>
  </si>
  <si>
    <t>PT11417</t>
  </si>
  <si>
    <t>ENC100889</t>
  </si>
  <si>
    <t>PT34368</t>
  </si>
  <si>
    <t>ENC100890</t>
  </si>
  <si>
    <t>PT18998</t>
  </si>
  <si>
    <t>ENC100891</t>
  </si>
  <si>
    <t>PT73890</t>
  </si>
  <si>
    <t>ENC100892</t>
  </si>
  <si>
    <t>PT57029</t>
  </si>
  <si>
    <t>ENC100893</t>
  </si>
  <si>
    <t>PT98217</t>
  </si>
  <si>
    <t>ENC100894</t>
  </si>
  <si>
    <t>PT77447</t>
  </si>
  <si>
    <t>ENC100895</t>
  </si>
  <si>
    <t>PT65038</t>
  </si>
  <si>
    <t>ENC100896</t>
  </si>
  <si>
    <t>PT55837</t>
  </si>
  <si>
    <t>ENC100897</t>
  </si>
  <si>
    <t>PT14904</t>
  </si>
  <si>
    <t>ENC100898</t>
  </si>
  <si>
    <t>PT16318</t>
  </si>
  <si>
    <t>ENC100899</t>
  </si>
  <si>
    <t>PT65467</t>
  </si>
  <si>
    <t>ENC100900</t>
  </si>
  <si>
    <t>PT10394</t>
  </si>
  <si>
    <t>ENC100901</t>
  </si>
  <si>
    <t>PT13811</t>
  </si>
  <si>
    <t>ENC100902</t>
  </si>
  <si>
    <t>PT29721</t>
  </si>
  <si>
    <t>ENC100903</t>
  </si>
  <si>
    <t>PT89572</t>
  </si>
  <si>
    <t>ENC100904</t>
  </si>
  <si>
    <t>PT51303</t>
  </si>
  <si>
    <t>ENC100905</t>
  </si>
  <si>
    <t>PT73861</t>
  </si>
  <si>
    <t>ENC100906</t>
  </si>
  <si>
    <t>PT47040</t>
  </si>
  <si>
    <t>ENC100907</t>
  </si>
  <si>
    <t>PT25581</t>
  </si>
  <si>
    <t>ENC100908</t>
  </si>
  <si>
    <t>PT43403</t>
  </si>
  <si>
    <t>ENC100909</t>
  </si>
  <si>
    <t>PT18254</t>
  </si>
  <si>
    <t>ENC100910</t>
  </si>
  <si>
    <t>PT79322</t>
  </si>
  <si>
    <t>ENC100911</t>
  </si>
  <si>
    <t>PT26517</t>
  </si>
  <si>
    <t>ENC100912</t>
  </si>
  <si>
    <t>PT43873</t>
  </si>
  <si>
    <t>ENC100913</t>
  </si>
  <si>
    <t>PT98201</t>
  </si>
  <si>
    <t>ENC100914</t>
  </si>
  <si>
    <t>PT63276</t>
  </si>
  <si>
    <t>ENC100915</t>
  </si>
  <si>
    <t>PT51269</t>
  </si>
  <si>
    <t>ENC100916</t>
  </si>
  <si>
    <t>PT58870</t>
  </si>
  <si>
    <t>ENC100917</t>
  </si>
  <si>
    <t>PT80566</t>
  </si>
  <si>
    <t>ENC100918</t>
  </si>
  <si>
    <t>PT32903</t>
  </si>
  <si>
    <t>ENC100919</t>
  </si>
  <si>
    <t>PT67276</t>
  </si>
  <si>
    <t>ENC100920</t>
  </si>
  <si>
    <t>PT88541</t>
  </si>
  <si>
    <t>ENC100921</t>
  </si>
  <si>
    <t>PT61516</t>
  </si>
  <si>
    <t>ENC100922</t>
  </si>
  <si>
    <t>PT50188</t>
  </si>
  <si>
    <t>ENC100923</t>
  </si>
  <si>
    <t>PT23061</t>
  </si>
  <si>
    <t>ENC100924</t>
  </si>
  <si>
    <t>PT32345</t>
  </si>
  <si>
    <t>ENC100925</t>
  </si>
  <si>
    <t>ENC100926</t>
  </si>
  <si>
    <t>PT58712</t>
  </si>
  <si>
    <t>ENC100927</t>
  </si>
  <si>
    <t>PT37120</t>
  </si>
  <si>
    <t>ENC100928</t>
  </si>
  <si>
    <t>PT47652</t>
  </si>
  <si>
    <t>ENC100929</t>
  </si>
  <si>
    <t>PT62020</t>
  </si>
  <si>
    <t>ENC100930</t>
  </si>
  <si>
    <t>PT58378</t>
  </si>
  <si>
    <t>ENC100931</t>
  </si>
  <si>
    <t>PT72979</t>
  </si>
  <si>
    <t>ENC100932</t>
  </si>
  <si>
    <t>PT33174</t>
  </si>
  <si>
    <t>ENC100933</t>
  </si>
  <si>
    <t>PT68430</t>
  </si>
  <si>
    <t>ENC100934</t>
  </si>
  <si>
    <t>PT49840</t>
  </si>
  <si>
    <t>ENC100935</t>
  </si>
  <si>
    <t>PT94652</t>
  </si>
  <si>
    <t>ENC100936</t>
  </si>
  <si>
    <t>PT24212</t>
  </si>
  <si>
    <t>ENC100937</t>
  </si>
  <si>
    <t>PT23359</t>
  </si>
  <si>
    <t>ENC100938</t>
  </si>
  <si>
    <t>PT51548</t>
  </si>
  <si>
    <t>ENC100939</t>
  </si>
  <si>
    <t>PT55751</t>
  </si>
  <si>
    <t>ENC100940</t>
  </si>
  <si>
    <t>PT72178</t>
  </si>
  <si>
    <t>ENC100941</t>
  </si>
  <si>
    <t>PT46362</t>
  </si>
  <si>
    <t>ENC100942</t>
  </si>
  <si>
    <t>PT92233</t>
  </si>
  <si>
    <t>ENC100943</t>
  </si>
  <si>
    <t>PT52674</t>
  </si>
  <si>
    <t>ENC100944</t>
  </si>
  <si>
    <t>ENC100945</t>
  </si>
  <si>
    <t>PT20729</t>
  </si>
  <si>
    <t>ENC100946</t>
  </si>
  <si>
    <t>PT97605</t>
  </si>
  <si>
    <t>ENC100947</t>
  </si>
  <si>
    <t>PT22068</t>
  </si>
  <si>
    <t>ENC100948</t>
  </si>
  <si>
    <t>PT95305</t>
  </si>
  <si>
    <t>ENC100949</t>
  </si>
  <si>
    <t>PT35026</t>
  </si>
  <si>
    <t>ENC100950</t>
  </si>
  <si>
    <t>PT18406</t>
  </si>
  <si>
    <t>ENC100951</t>
  </si>
  <si>
    <t>PT37423</t>
  </si>
  <si>
    <t>ENC100952</t>
  </si>
  <si>
    <t>PT65322</t>
  </si>
  <si>
    <t>ENC100953</t>
  </si>
  <si>
    <t>PT48510</t>
  </si>
  <si>
    <t>ENC100954</t>
  </si>
  <si>
    <t>PT80701</t>
  </si>
  <si>
    <t>ENC100955</t>
  </si>
  <si>
    <t>PT64988</t>
  </si>
  <si>
    <t>ENC100956</t>
  </si>
  <si>
    <t>PT46070</t>
  </si>
  <si>
    <t>ENC100957</t>
  </si>
  <si>
    <t>PT67115</t>
  </si>
  <si>
    <t>ENC100958</t>
  </si>
  <si>
    <t>PT97430</t>
  </si>
  <si>
    <t>ENC100959</t>
  </si>
  <si>
    <t>PT47062</t>
  </si>
  <si>
    <t>ENC100960</t>
  </si>
  <si>
    <t>PT23809</t>
  </si>
  <si>
    <t>ENC100961</t>
  </si>
  <si>
    <t>PT46790</t>
  </si>
  <si>
    <t>ENC100962</t>
  </si>
  <si>
    <t>PT85609</t>
  </si>
  <si>
    <t>ENC100963</t>
  </si>
  <si>
    <t>PT29586</t>
  </si>
  <si>
    <t>ENC100964</t>
  </si>
  <si>
    <t>PT95421</t>
  </si>
  <si>
    <t>ENC100965</t>
  </si>
  <si>
    <t>PT62946</t>
  </si>
  <si>
    <t>ENC100966</t>
  </si>
  <si>
    <t>PT64140</t>
  </si>
  <si>
    <t>ENC100967</t>
  </si>
  <si>
    <t>PT38533</t>
  </si>
  <si>
    <t>ENC100968</t>
  </si>
  <si>
    <t>PT92840</t>
  </si>
  <si>
    <t>ENC100969</t>
  </si>
  <si>
    <t>PT13245</t>
  </si>
  <si>
    <t>ENC100970</t>
  </si>
  <si>
    <t>PT36880</t>
  </si>
  <si>
    <t>ENC100971</t>
  </si>
  <si>
    <t>PT47655</t>
  </si>
  <si>
    <t>ENC100972</t>
  </si>
  <si>
    <t>PT52954</t>
  </si>
  <si>
    <t>ENC100973</t>
  </si>
  <si>
    <t>PT52671</t>
  </si>
  <si>
    <t>ENC100974</t>
  </si>
  <si>
    <t>PT23313</t>
  </si>
  <si>
    <t>ENC100975</t>
  </si>
  <si>
    <t>PT30303</t>
  </si>
  <si>
    <t>ENC100976</t>
  </si>
  <si>
    <t>PT18571</t>
  </si>
  <si>
    <t>ENC100977</t>
  </si>
  <si>
    <t>PT61520</t>
  </si>
  <si>
    <t>ENC100978</t>
  </si>
  <si>
    <t>PT41577</t>
  </si>
  <si>
    <t>ENC100979</t>
  </si>
  <si>
    <t>PT60918</t>
  </si>
  <si>
    <t>ENC100980</t>
  </si>
  <si>
    <t>PT63073</t>
  </si>
  <si>
    <t>ENC100981</t>
  </si>
  <si>
    <t>PT73179</t>
  </si>
  <si>
    <t>ENC100982</t>
  </si>
  <si>
    <t>PT59232</t>
  </si>
  <si>
    <t>ENC100983</t>
  </si>
  <si>
    <t>PT68314</t>
  </si>
  <si>
    <t>ENC100984</t>
  </si>
  <si>
    <t>PT62842</t>
  </si>
  <si>
    <t>ENC100985</t>
  </si>
  <si>
    <t>PT68718</t>
  </si>
  <si>
    <t>ENC100986</t>
  </si>
  <si>
    <t>PT65497</t>
  </si>
  <si>
    <t>ENC100987</t>
  </si>
  <si>
    <t>PT38458</t>
  </si>
  <si>
    <t>ENC100988</t>
  </si>
  <si>
    <t>PT32165</t>
  </si>
  <si>
    <t>ENC100989</t>
  </si>
  <si>
    <t>PT80868</t>
  </si>
  <si>
    <t>ENC100990</t>
  </si>
  <si>
    <t>PT40842</t>
  </si>
  <si>
    <t>ENC100991</t>
  </si>
  <si>
    <t>PT59422</t>
  </si>
  <si>
    <t>ENC100992</t>
  </si>
  <si>
    <t>PT27727</t>
  </si>
  <si>
    <t>ENC100993</t>
  </si>
  <si>
    <t>PT48827</t>
  </si>
  <si>
    <t>ENC100994</t>
  </si>
  <si>
    <t>PT57669</t>
  </si>
  <si>
    <t>ENC100995</t>
  </si>
  <si>
    <t>PT66340</t>
  </si>
  <si>
    <t>ENC100996</t>
  </si>
  <si>
    <t>PT57373</t>
  </si>
  <si>
    <t>ENC100997</t>
  </si>
  <si>
    <t>PT42458</t>
  </si>
  <si>
    <t>ENC100998</t>
  </si>
  <si>
    <t>PT96558</t>
  </si>
  <si>
    <t>ENC100999</t>
  </si>
  <si>
    <t>PT56146</t>
  </si>
  <si>
    <t>ENC101000</t>
  </si>
  <si>
    <t>PT82746</t>
  </si>
  <si>
    <t>ENC101001</t>
  </si>
  <si>
    <t>PT76302</t>
  </si>
  <si>
    <t>ENC101002</t>
  </si>
  <si>
    <t>PT60247</t>
  </si>
  <si>
    <t>ENC101003</t>
  </si>
  <si>
    <t>PT89775</t>
  </si>
  <si>
    <t>ENC101004</t>
  </si>
  <si>
    <t>PT21543</t>
  </si>
  <si>
    <t>ENC101005</t>
  </si>
  <si>
    <t>PT92894</t>
  </si>
  <si>
    <t>ENC101006</t>
  </si>
  <si>
    <t>PT86519</t>
  </si>
  <si>
    <t>ENC101007</t>
  </si>
  <si>
    <t>PT55326</t>
  </si>
  <si>
    <t>ENC101008</t>
  </si>
  <si>
    <t>PT76004</t>
  </si>
  <si>
    <t>ENC101009</t>
  </si>
  <si>
    <t>PT56824</t>
  </si>
  <si>
    <t>ENC101010</t>
  </si>
  <si>
    <t>PT34188</t>
  </si>
  <si>
    <t>ENC101011</t>
  </si>
  <si>
    <t>PT81987</t>
  </si>
  <si>
    <t>ENC101012</t>
  </si>
  <si>
    <t>ENC101013</t>
  </si>
  <si>
    <t>PT38300</t>
  </si>
  <si>
    <t>ENC101014</t>
  </si>
  <si>
    <t>PT56735</t>
  </si>
  <si>
    <t>ENC101015</t>
  </si>
  <si>
    <t>PT85363</t>
  </si>
  <si>
    <t>ENC101016</t>
  </si>
  <si>
    <t>PT44552</t>
  </si>
  <si>
    <t>ENC101017</t>
  </si>
  <si>
    <t>PT54472</t>
  </si>
  <si>
    <t>ENC101018</t>
  </si>
  <si>
    <t>PT13749</t>
  </si>
  <si>
    <t>ENC101019</t>
  </si>
  <si>
    <t>PT20426</t>
  </si>
  <si>
    <t>ENC101020</t>
  </si>
  <si>
    <t>PT15035</t>
  </si>
  <si>
    <t>ENC101021</t>
  </si>
  <si>
    <t>PT16485</t>
  </si>
  <si>
    <t>ENC101022</t>
  </si>
  <si>
    <t>PT88165</t>
  </si>
  <si>
    <t>ENC101023</t>
  </si>
  <si>
    <t>PT85778</t>
  </si>
  <si>
    <t>ENC101024</t>
  </si>
  <si>
    <t>PT83968</t>
  </si>
  <si>
    <t>ENC101025</t>
  </si>
  <si>
    <t>PT15001</t>
  </si>
  <si>
    <t>ENC101026</t>
  </si>
  <si>
    <t>PT16987</t>
  </si>
  <si>
    <t>ENC101027</t>
  </si>
  <si>
    <t>PT35254</t>
  </si>
  <si>
    <t>ENC101028</t>
  </si>
  <si>
    <t>PT60875</t>
  </si>
  <si>
    <t>ENC101029</t>
  </si>
  <si>
    <t>PT40071</t>
  </si>
  <si>
    <t>ENC101030</t>
  </si>
  <si>
    <t>PT53879</t>
  </si>
  <si>
    <t>ENC101031</t>
  </si>
  <si>
    <t>PT25569</t>
  </si>
  <si>
    <t>ENC101032</t>
  </si>
  <si>
    <t>PT75769</t>
  </si>
  <si>
    <t>ENC101033</t>
  </si>
  <si>
    <t>PT38250</t>
  </si>
  <si>
    <t>ENC101034</t>
  </si>
  <si>
    <t>PT15988</t>
  </si>
  <si>
    <t>ENC101035</t>
  </si>
  <si>
    <t>PT76841</t>
  </si>
  <si>
    <t>ENC101036</t>
  </si>
  <si>
    <t>PT91250</t>
  </si>
  <si>
    <t>ENC101037</t>
  </si>
  <si>
    <t>PT11321</t>
  </si>
  <si>
    <t>ENC101038</t>
  </si>
  <si>
    <t>PT49300</t>
  </si>
  <si>
    <t>ENC101039</t>
  </si>
  <si>
    <t>PT84444</t>
  </si>
  <si>
    <t>ENC101040</t>
  </si>
  <si>
    <t>PT73554</t>
  </si>
  <si>
    <t>ENC101041</t>
  </si>
  <si>
    <t>PT87088</t>
  </si>
  <si>
    <t>ENC101042</t>
  </si>
  <si>
    <t>PT47368</t>
  </si>
  <si>
    <t>ENC101043</t>
  </si>
  <si>
    <t>PT43503</t>
  </si>
  <si>
    <t>ENC101044</t>
  </si>
  <si>
    <t>PT73825</t>
  </si>
  <si>
    <t>ENC101045</t>
  </si>
  <si>
    <t>ENC101046</t>
  </si>
  <si>
    <t>PT31547</t>
  </si>
  <si>
    <t>ENC101047</t>
  </si>
  <si>
    <t>PT64075</t>
  </si>
  <si>
    <t>ENC101048</t>
  </si>
  <si>
    <t>PT70160</t>
  </si>
  <si>
    <t>ENC101049</t>
  </si>
  <si>
    <t>PT20770</t>
  </si>
  <si>
    <t>ENC101050</t>
  </si>
  <si>
    <t>PT55747</t>
  </si>
  <si>
    <t>ENC101051</t>
  </si>
  <si>
    <t>PT42842</t>
  </si>
  <si>
    <t>ENC101052</t>
  </si>
  <si>
    <t>PT55156</t>
  </si>
  <si>
    <t>ENC101053</t>
  </si>
  <si>
    <t>PT96257</t>
  </si>
  <si>
    <t>ENC101054</t>
  </si>
  <si>
    <t>PT16894</t>
  </si>
  <si>
    <t>ENC101055</t>
  </si>
  <si>
    <t>PT99590</t>
  </si>
  <si>
    <t>ENC101056</t>
  </si>
  <si>
    <t>PT50461</t>
  </si>
  <si>
    <t>ENC101057</t>
  </si>
  <si>
    <t>ENC101058</t>
  </si>
  <si>
    <t>PT48201</t>
  </si>
  <si>
    <t>ENC101059</t>
  </si>
  <si>
    <t>PT37986</t>
  </si>
  <si>
    <t>ENC101060</t>
  </si>
  <si>
    <t>PT79353</t>
  </si>
  <si>
    <t>ENC101061</t>
  </si>
  <si>
    <t>PT71889</t>
  </si>
  <si>
    <t>ENC101062</t>
  </si>
  <si>
    <t>PT22965</t>
  </si>
  <si>
    <t>ENC101063</t>
  </si>
  <si>
    <t>PT73485</t>
  </si>
  <si>
    <t>ENC101064</t>
  </si>
  <si>
    <t>PT77776</t>
  </si>
  <si>
    <t>ENC101065</t>
  </si>
  <si>
    <t>PT44905</t>
  </si>
  <si>
    <t>ENC101066</t>
  </si>
  <si>
    <t>PT93307</t>
  </si>
  <si>
    <t>ENC101067</t>
  </si>
  <si>
    <t>PT67679</t>
  </si>
  <si>
    <t>ENC101068</t>
  </si>
  <si>
    <t>PT40026</t>
  </si>
  <si>
    <t>ENC101069</t>
  </si>
  <si>
    <t>PT10965</t>
  </si>
  <si>
    <t>ENC101070</t>
  </si>
  <si>
    <t>PT70745</t>
  </si>
  <si>
    <t>ENC101071</t>
  </si>
  <si>
    <t>PT28814</t>
  </si>
  <si>
    <t>ENC101072</t>
  </si>
  <si>
    <t>PT78086</t>
  </si>
  <si>
    <t>ENC101073</t>
  </si>
  <si>
    <t>PT57257</t>
  </si>
  <si>
    <t>ENC101074</t>
  </si>
  <si>
    <t>ENC101075</t>
  </si>
  <si>
    <t>PT24737</t>
  </si>
  <si>
    <t>ENC101076</t>
  </si>
  <si>
    <t>PT74034</t>
  </si>
  <si>
    <t>ENC101077</t>
  </si>
  <si>
    <t>PT24931</t>
  </si>
  <si>
    <t>ENC101078</t>
  </si>
  <si>
    <t>PT47597</t>
  </si>
  <si>
    <t>ENC101079</t>
  </si>
  <si>
    <t>PT85266</t>
  </si>
  <si>
    <t>ENC101080</t>
  </si>
  <si>
    <t>PT92832</t>
  </si>
  <si>
    <t>ENC101081</t>
  </si>
  <si>
    <t>PT99020</t>
  </si>
  <si>
    <t>ENC101082</t>
  </si>
  <si>
    <t>PT96220</t>
  </si>
  <si>
    <t>ENC101083</t>
  </si>
  <si>
    <t>PT60036</t>
  </si>
  <si>
    <t>ENC101084</t>
  </si>
  <si>
    <t>PT28043</t>
  </si>
  <si>
    <t>ENC101085</t>
  </si>
  <si>
    <t>PT85515</t>
  </si>
  <si>
    <t>ENC101086</t>
  </si>
  <si>
    <t>PT82145</t>
  </si>
  <si>
    <t>ENC101087</t>
  </si>
  <si>
    <t>PT99127</t>
  </si>
  <si>
    <t>ENC101088</t>
  </si>
  <si>
    <t>PT68584</t>
  </si>
  <si>
    <t>ENC101089</t>
  </si>
  <si>
    <t>PT22743</t>
  </si>
  <si>
    <t>ENC101090</t>
  </si>
  <si>
    <t>PT55260</t>
  </si>
  <si>
    <t>ENC101091</t>
  </si>
  <si>
    <t>PT50341</t>
  </si>
  <si>
    <t>ENC101092</t>
  </si>
  <si>
    <t>PT85864</t>
  </si>
  <si>
    <t>ENC101093</t>
  </si>
  <si>
    <t>PT45331</t>
  </si>
  <si>
    <t>ENC101094</t>
  </si>
  <si>
    <t>PT39573</t>
  </si>
  <si>
    <t>ENC101095</t>
  </si>
  <si>
    <t>PT17204</t>
  </si>
  <si>
    <t>ENC101096</t>
  </si>
  <si>
    <t>PT85190</t>
  </si>
  <si>
    <t>ENC101097</t>
  </si>
  <si>
    <t>PT77978</t>
  </si>
  <si>
    <t>ENC101098</t>
  </si>
  <si>
    <t>PT13710</t>
  </si>
  <si>
    <t>ENC101099</t>
  </si>
  <si>
    <t>PT49039</t>
  </si>
  <si>
    <t>ENC101100</t>
  </si>
  <si>
    <t>PT53174</t>
  </si>
  <si>
    <t>ENC101101</t>
  </si>
  <si>
    <t>PT52238</t>
  </si>
  <si>
    <t>ENC101102</t>
  </si>
  <si>
    <t>PT92702</t>
  </si>
  <si>
    <t>ENC101103</t>
  </si>
  <si>
    <t>PT23560</t>
  </si>
  <si>
    <t>ENC101104</t>
  </si>
  <si>
    <t>PT37570</t>
  </si>
  <si>
    <t>ENC101105</t>
  </si>
  <si>
    <t>PT26283</t>
  </si>
  <si>
    <t>ENC101106</t>
  </si>
  <si>
    <t>PT31967</t>
  </si>
  <si>
    <t>ENC101107</t>
  </si>
  <si>
    <t>PT91638</t>
  </si>
  <si>
    <t>ENC101108</t>
  </si>
  <si>
    <t>PT94664</t>
  </si>
  <si>
    <t>ENC101109</t>
  </si>
  <si>
    <t>PT14018</t>
  </si>
  <si>
    <t>ENC101110</t>
  </si>
  <si>
    <t>PT66887</t>
  </si>
  <si>
    <t>ENC101111</t>
  </si>
  <si>
    <t>PT30956</t>
  </si>
  <si>
    <t>ENC101112</t>
  </si>
  <si>
    <t>PT27330</t>
  </si>
  <si>
    <t>ENC101113</t>
  </si>
  <si>
    <t>PT36285</t>
  </si>
  <si>
    <t>ENC101114</t>
  </si>
  <si>
    <t>PT27494</t>
  </si>
  <si>
    <t>ENC101115</t>
  </si>
  <si>
    <t>PT54117</t>
  </si>
  <si>
    <t>ENC101116</t>
  </si>
  <si>
    <t>PT99603</t>
  </si>
  <si>
    <t>ENC101117</t>
  </si>
  <si>
    <t>PT62779</t>
  </si>
  <si>
    <t>ENC101118</t>
  </si>
  <si>
    <t>PT75091</t>
  </si>
  <si>
    <t>ENC101119</t>
  </si>
  <si>
    <t>PT54395</t>
  </si>
  <si>
    <t>ENC101120</t>
  </si>
  <si>
    <t>PT11251</t>
  </si>
  <si>
    <t>ENC101121</t>
  </si>
  <si>
    <t>PT17570</t>
  </si>
  <si>
    <t>ENC101122</t>
  </si>
  <si>
    <t>PT34198</t>
  </si>
  <si>
    <t>ENC101123</t>
  </si>
  <si>
    <t>PT31929</t>
  </si>
  <si>
    <t>ENC101124</t>
  </si>
  <si>
    <t>PT85651</t>
  </si>
  <si>
    <t>ENC101125</t>
  </si>
  <si>
    <t>PT85922</t>
  </si>
  <si>
    <t>ENC101126</t>
  </si>
  <si>
    <t>PT86870</t>
  </si>
  <si>
    <t>ENC101127</t>
  </si>
  <si>
    <t>PT67382</t>
  </si>
  <si>
    <t>ENC101128</t>
  </si>
  <si>
    <t>PT60055</t>
  </si>
  <si>
    <t>ENC101129</t>
  </si>
  <si>
    <t>PT68422</t>
  </si>
  <si>
    <t>ENC101130</t>
  </si>
  <si>
    <t>PT46612</t>
  </si>
  <si>
    <t>ENC101131</t>
  </si>
  <si>
    <t>PT70317</t>
  </si>
  <si>
    <t>ENC101132</t>
  </si>
  <si>
    <t>PT81499</t>
  </si>
  <si>
    <t>ENC101133</t>
  </si>
  <si>
    <t>PT78660</t>
  </si>
  <si>
    <t>ENC101134</t>
  </si>
  <si>
    <t>PT65244</t>
  </si>
  <si>
    <t>ENC101135</t>
  </si>
  <si>
    <t>PT15229</t>
  </si>
  <si>
    <t>ENC101136</t>
  </si>
  <si>
    <t>PT75244</t>
  </si>
  <si>
    <t>ENC101137</t>
  </si>
  <si>
    <t>PT42994</t>
  </si>
  <si>
    <t>ENC101138</t>
  </si>
  <si>
    <t>PT76929</t>
  </si>
  <si>
    <t>ENC101139</t>
  </si>
  <si>
    <t>PT58556</t>
  </si>
  <si>
    <t>ENC101140</t>
  </si>
  <si>
    <t>PT89305</t>
  </si>
  <si>
    <t>ENC101141</t>
  </si>
  <si>
    <t>PT40460</t>
  </si>
  <si>
    <t>ENC101142</t>
  </si>
  <si>
    <t>PT93824</t>
  </si>
  <si>
    <t>ENC101143</t>
  </si>
  <si>
    <t>PT86002</t>
  </si>
  <si>
    <t>ENC101144</t>
  </si>
  <si>
    <t>PT39799</t>
  </si>
  <si>
    <t>ENC101145</t>
  </si>
  <si>
    <t>PT53431</t>
  </si>
  <si>
    <t>ENC101146</t>
  </si>
  <si>
    <t>PT57820</t>
  </si>
  <si>
    <t>ENC101147</t>
  </si>
  <si>
    <t>PT79175</t>
  </si>
  <si>
    <t>ENC101148</t>
  </si>
  <si>
    <t>PT72023</t>
  </si>
  <si>
    <t>ENC101149</t>
  </si>
  <si>
    <t>PT86680</t>
  </si>
  <si>
    <t>ENC101150</t>
  </si>
  <si>
    <t>PT43287</t>
  </si>
  <si>
    <t>ENC101151</t>
  </si>
  <si>
    <t>PT55430</t>
  </si>
  <si>
    <t>ENC101152</t>
  </si>
  <si>
    <t>PT48777</t>
  </si>
  <si>
    <t>ENC101153</t>
  </si>
  <si>
    <t>PT91858</t>
  </si>
  <si>
    <t>ENC101154</t>
  </si>
  <si>
    <t>PT37447</t>
  </si>
  <si>
    <t>ENC101155</t>
  </si>
  <si>
    <t>PT62840</t>
  </si>
  <si>
    <t>ENC101156</t>
  </si>
  <si>
    <t>PT20814</t>
  </si>
  <si>
    <t>ENC101157</t>
  </si>
  <si>
    <t>PT86523</t>
  </si>
  <si>
    <t>ENC101158</t>
  </si>
  <si>
    <t>PT44579</t>
  </si>
  <si>
    <t>ENC101159</t>
  </si>
  <si>
    <t>PT40652</t>
  </si>
  <si>
    <t>ENC101160</t>
  </si>
  <si>
    <t>PT62461</t>
  </si>
  <si>
    <t>ENC101161</t>
  </si>
  <si>
    <t>PT54893</t>
  </si>
  <si>
    <t>ENC101162</t>
  </si>
  <si>
    <t>PT86317</t>
  </si>
  <si>
    <t>ENC101163</t>
  </si>
  <si>
    <t>PT57826</t>
  </si>
  <si>
    <t>ENC101164</t>
  </si>
  <si>
    <t>PT56529</t>
  </si>
  <si>
    <t>ENC101165</t>
  </si>
  <si>
    <t>PT19448</t>
  </si>
  <si>
    <t>ENC101166</t>
  </si>
  <si>
    <t>PT11974</t>
  </si>
  <si>
    <t>ENC101167</t>
  </si>
  <si>
    <t>PT45869</t>
  </si>
  <si>
    <t>ENC101168</t>
  </si>
  <si>
    <t>PT99837</t>
  </si>
  <si>
    <t>ENC101169</t>
  </si>
  <si>
    <t>PT92559</t>
  </si>
  <si>
    <t>ENC101170</t>
  </si>
  <si>
    <t>PT66607</t>
  </si>
  <si>
    <t>ENC101171</t>
  </si>
  <si>
    <t>PT66774</t>
  </si>
  <si>
    <t>ENC101172</t>
  </si>
  <si>
    <t>PT45234</t>
  </si>
  <si>
    <t>ENC101173</t>
  </si>
  <si>
    <t>PT25975</t>
  </si>
  <si>
    <t>ENC101174</t>
  </si>
  <si>
    <t>PT10769</t>
  </si>
  <si>
    <t>ENC101175</t>
  </si>
  <si>
    <t>PT40496</t>
  </si>
  <si>
    <t>ENC101176</t>
  </si>
  <si>
    <t>PT38481</t>
  </si>
  <si>
    <t>ENC101177</t>
  </si>
  <si>
    <t>PT27244</t>
  </si>
  <si>
    <t>ENC101178</t>
  </si>
  <si>
    <t>PT33324</t>
  </si>
  <si>
    <t>ENC101179</t>
  </si>
  <si>
    <t>PT12234</t>
  </si>
  <si>
    <t>ENC101180</t>
  </si>
  <si>
    <t>PT64715</t>
  </si>
  <si>
    <t>ENC101181</t>
  </si>
  <si>
    <t>PT93470</t>
  </si>
  <si>
    <t>ENC101182</t>
  </si>
  <si>
    <t>PT72171</t>
  </si>
  <si>
    <t>ENC101183</t>
  </si>
  <si>
    <t>PT50338</t>
  </si>
  <si>
    <t>ENC101184</t>
  </si>
  <si>
    <t>PT47823</t>
  </si>
  <si>
    <t>ENC101185</t>
  </si>
  <si>
    <t>PT37677</t>
  </si>
  <si>
    <t>ENC101186</t>
  </si>
  <si>
    <t>PT22816</t>
  </si>
  <si>
    <t>ENC101187</t>
  </si>
  <si>
    <t>PT63862</t>
  </si>
  <si>
    <t>ENC101188</t>
  </si>
  <si>
    <t>PT60986</t>
  </si>
  <si>
    <t>ENC101189</t>
  </si>
  <si>
    <t>PT10658</t>
  </si>
  <si>
    <t>ENC101190</t>
  </si>
  <si>
    <t>PT47396</t>
  </si>
  <si>
    <t>ENC101191</t>
  </si>
  <si>
    <t>PT35021</t>
  </si>
  <si>
    <t>ENC101192</t>
  </si>
  <si>
    <t>PT25325</t>
  </si>
  <si>
    <t>ENC101193</t>
  </si>
  <si>
    <t>PT73272</t>
  </si>
  <si>
    <t>ENC101194</t>
  </si>
  <si>
    <t>PT57323</t>
  </si>
  <si>
    <t>ENC101195</t>
  </si>
  <si>
    <t>PT67038</t>
  </si>
  <si>
    <t>ENC101196</t>
  </si>
  <si>
    <t>PT74212</t>
  </si>
  <si>
    <t>ENC101197</t>
  </si>
  <si>
    <t>PT98361</t>
  </si>
  <si>
    <t>ENC101198</t>
  </si>
  <si>
    <t>PT82247</t>
  </si>
  <si>
    <t>ENC101199</t>
  </si>
  <si>
    <t>PT65831</t>
  </si>
  <si>
    <t>Total Treatment Cost</t>
  </si>
  <si>
    <t>Total Encounters</t>
  </si>
  <si>
    <t>Avg Length of Stay</t>
  </si>
  <si>
    <t xml:space="preserve">Avg Satisfaction Score </t>
  </si>
  <si>
    <t>Avg Bed Occupancy</t>
  </si>
  <si>
    <t>Row Labels</t>
  </si>
  <si>
    <t>Grand Total</t>
  </si>
  <si>
    <t>Total Treatment Cost by Department</t>
  </si>
  <si>
    <t>Column Labels</t>
  </si>
  <si>
    <t>(All)</t>
  </si>
  <si>
    <t>30-Day Readmission Rate by Diagnosis Group</t>
  </si>
  <si>
    <t>admit_month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</si>
  <si>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</si>
  <si>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</si>
  <si>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</si>
  <si>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</si>
  <si>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</si>
  <si>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</si>
  <si>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</si>
  <si>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</si>
  <si>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</si>
  <si>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</si>
  <si>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</si>
  <si>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</si>
  <si>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Treatment Cost</t>
  </si>
  <si>
    <t>Average Readmissions</t>
  </si>
  <si>
    <t>Encounter ID</t>
  </si>
  <si>
    <t xml:space="preserve">30-day Readmission Rate </t>
  </si>
  <si>
    <t>shoul</t>
  </si>
  <si>
    <t>Average Treatment Cost by Diagnosis &amp; Payer Type</t>
  </si>
  <si>
    <t>Average Length of Stay by Department &amp; Admission Type</t>
  </si>
  <si>
    <t>Average Patient Satisfaction by Department &amp; Hospital</t>
  </si>
  <si>
    <t>Average Bed Occupancy by Hospital &amp;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</si>
</sst>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71" formatCode="0.0%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1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2" formatCode="0.00"/>
    </dxf>
    <dxf>
      <numFmt numFmtId="171" formatCode="0.0%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[healthcare_operations_project.xlsx]Executive_KPIs!PivotTable3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Treatment Cost by Hospital Department</a:t>
            </a:r>
            <a:r>
              <a:rPr lang="en-US" baseline="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Executive_KPIs!$B$6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Executive_KPIs!$A$7:$A$17</c:f>
              <c:strCache>
                <c:ptCount val="10"/>
                <c:pt idx="0">
                  <c:v>Cardiology</c:v>
                </c:pt>
                <c:pt idx="1">
                  <c:v>Emergency</c:v>
                </c:pt>
                <c:pt idx="2">
                  <c:v>General Medicine</c:v>
                </c:pt>
                <c:pt idx="3">
                  <c:v>ICU</c:v>
                </c:pt>
                <c:pt idx="4">
                  <c:v>Neurology</c:v>
                </c:pt>
                <c:pt idx="5">
                  <c:v>OB/GYN</c:v>
                </c:pt>
                <c:pt idx="6">
                  <c:v>Oncology</c:v>
                </c:pt>
                <c:pt idx="7">
                  <c:v>Orthopedics</c:v>
                </c:pt>
                <c:pt idx="8">
                  <c:v>Pediatrics</c:v>
                </c:pt>
                <c:pt idx="9">
                  <c:v>Surgery</c:v>
                </c:pt>
              </c:strCache>
            </c:strRef>
          </c:cat>
          <c:val>
            <c:numRef>
              <c:f>Executive_KPIs!$B$7:$B$17</c:f>
              <c:numCache>
                <c:formatCode>"$"#,##0.00</c:formatCode>
                <c:ptCount val="10"/>
                <c:pt idx="0">
                  <c:v>1220282.9200000013</c:v>
                </c:pt>
                <c:pt idx="1">
                  <c:v>421490.39999999997</c:v>
                </c:pt>
                <c:pt idx="2">
                  <c:v>979131.42000000016</c:v>
                </c:pt>
                <c:pt idx="3">
                  <c:v>2499945.7999999989</c:v>
                </c:pt>
                <c:pt idx="4">
                  <c:v>1272787.4099999999</c:v>
                </c:pt>
                <c:pt idx="5">
                  <c:v>667497.57999999949</c:v>
                </c:pt>
                <c:pt idx="6">
                  <c:v>1639247.0299999996</c:v>
                </c:pt>
                <c:pt idx="7">
                  <c:v>957242.27999999991</c:v>
                </c:pt>
                <c:pt idx="8">
                  <c:v>403696.75000000006</c:v>
                </c:pt>
                <c:pt idx="9">
                  <c:v>1713640.4599999995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6F-AB48-9FA9-3905841B4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716543"/>
        <c:axId val="4596031"/>
      </c:barChart>
      <c:catAx>
        <c:axId val="14771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031"/>
        <c:crosses val="autoZero"/>
        <c:auto val="1"/>
        <c:lblAlgn val="ctr"/>
        <c:lblOffset val="100"/>
        <c:noMultiLvlLbl val="0"/>
      </c:catAx>
      <c:valAx>
        <c:axId val="459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16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[healthcare_operations_project.xlsx]Admit_Month!Monthly Trend: Encounters, Cost, Readmissions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Admit_Month!$B$3</c:f>
              <c:strCache>
                <c:ptCount val="1"/>
                <c:pt idx="0">
                  <c:v>Encounter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Admit_Month!$A$4:$A$16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Admit_Month!$B$4:$B$16</c:f>
              <c:numCache>
                <c:formatCode>General</c:formatCode>
                <c:ptCount val="12"/>
                <c:pt idx="0">
                  <c:v>96</c:v>
                </c:pt>
                <c:pt idx="1">
                  <c:v>99</c:v>
                </c:pt>
                <c:pt idx="2">
                  <c:v>102</c:v>
                </c:pt>
                <c:pt idx="3">
                  <c:v>114</c:v>
                </c:pt>
                <c:pt idx="4">
                  <c:v>103</c:v>
                </c:pt>
                <c:pt idx="5">
                  <c:v>99</c:v>
                </c:pt>
                <c:pt idx="6">
                  <c:v>93</c:v>
                </c:pt>
                <c:pt idx="7">
                  <c:v>98</c:v>
                </c:pt>
                <c:pt idx="8">
                  <c:v>94</c:v>
                </c:pt>
                <c:pt idx="9">
                  <c:v>94</c:v>
                </c:pt>
                <c:pt idx="10">
                  <c:v>101</c:v>
                </c:pt>
                <c:pt idx="11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75-D140-9BB8-3F9CECE3F403}"/>
            </c:ext>
          </c:extLst>
        </c:ser>
        <c:ser>
          <c:idx val="1"/>
          <c:order val="1"/>
          <c:tx>
            <c:strRef>
              <c:f>Admit_Month!$C$3</c:f>
              <c:strCache>
                <c:ptCount val="1"/>
                <c:pt idx="0">
                  <c:v>Treatment 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Admit_Month!$A$4:$A$16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Admit_Month!$C$4:$C$16</c:f>
              <c:numCache>
                <c:formatCode>"$"#,##0.00</c:formatCode>
                <c:ptCount val="12"/>
                <c:pt idx="0">
                  <c:v>902813.22000000044</c:v>
                </c:pt>
                <c:pt idx="1">
                  <c:v>873814</c:v>
                </c:pt>
                <c:pt idx="2">
                  <c:v>1019690.68</c:v>
                </c:pt>
                <c:pt idx="3">
                  <c:v>1230137.2200000002</c:v>
                </c:pt>
                <c:pt idx="4">
                  <c:v>953444.51999999955</c:v>
                </c:pt>
                <c:pt idx="5">
                  <c:v>1046729.2299999996</c:v>
                </c:pt>
                <c:pt idx="6">
                  <c:v>834933.06</c:v>
                </c:pt>
                <c:pt idx="7">
                  <c:v>1036420.07</c:v>
                </c:pt>
                <c:pt idx="8">
                  <c:v>781392.87000000034</c:v>
                </c:pt>
                <c:pt idx="9">
                  <c:v>896736.42000000027</c:v>
                </c:pt>
                <c:pt idx="10">
                  <c:v>1097646.71</c:v>
                </c:pt>
                <c:pt idx="11">
                  <c:v>1101204.05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75-D140-9BB8-3F9CECE3F403}"/>
            </c:ext>
          </c:extLst>
        </c:ser>
        <c:ser>
          <c:idx val="2"/>
          <c:order val="2"/>
          <c:tx>
            <c:strRef>
              <c:f>Admit_Month!$D$3</c:f>
              <c:strCache>
                <c:ptCount val="1"/>
                <c:pt idx="0">
                  <c:v>Average Readmissions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Admit_Month!$A$4:$A$16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Admit_Month!$D$4:$D$16</c:f>
              <c:numCache>
                <c:formatCode>0.0%</c:formatCode>
                <c:ptCount val="12"/>
                <c:pt idx="0">
                  <c:v>8.3333333333333329E-2</c:v>
                </c:pt>
                <c:pt idx="1">
                  <c:v>0.16161616161616163</c:v>
                </c:pt>
                <c:pt idx="2">
                  <c:v>0.11764705882352941</c:v>
                </c:pt>
                <c:pt idx="3">
                  <c:v>0.16666666666666666</c:v>
                </c:pt>
                <c:pt idx="4">
                  <c:v>0.1650485436893204</c:v>
                </c:pt>
                <c:pt idx="5">
                  <c:v>0.10101010101010101</c:v>
                </c:pt>
                <c:pt idx="6">
                  <c:v>0.11827956989247312</c:v>
                </c:pt>
                <c:pt idx="7">
                  <c:v>0.14285714285714285</c:v>
                </c:pt>
                <c:pt idx="8">
                  <c:v>0.1276595744680851</c:v>
                </c:pt>
                <c:pt idx="9">
                  <c:v>0.1276595744680851</c:v>
                </c:pt>
                <c:pt idx="10">
                  <c:v>0.11881188118811881</c:v>
                </c:pt>
                <c:pt idx="11">
                  <c:v>0.11214953271028037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75-D140-9BB8-3F9CECE3F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923455"/>
        <c:axId val="156036031"/>
      </c:barChart>
      <c:catAx>
        <c:axId val="17992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036031"/>
        <c:crosses val="autoZero"/>
        <c:auto val="1"/>
        <c:lblAlgn val="ctr"/>
        <c:lblOffset val="100"/>
        <c:noMultiLvlLbl val="0"/>
      </c:catAx>
      <c:valAx>
        <c:axId val="15603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92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63500</xdr:rowOff>
    </xdr:from>
    <xdr:to>
      <xdr:col>2</xdr:col>
      <xdr:colOff>1003300</xdr:colOff>
      <xdr:row>31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A4DDAD0-D4DC-0F47-87E0-AA2F11BE5B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12700</xdr:rowOff>
    </xdr:from>
    <xdr:to>
      <xdr:col>4</xdr:col>
      <xdr:colOff>558800</xdr:colOff>
      <xdr:row>33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F35E3B-55F6-D2F4-E09C-AEE3A36A7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ffany Persaud" refreshedDate="46077.605158680555" createdVersion="8" refreshedVersion="8" minRefreshableVersion="3" recordCount="1200" xr:uid="{4547264A-24A3-AF48-85C3-9D0B7023BDA6}">
  <cacheSource type="worksheet">
    <worksheetSource ref="A1:R1201" sheet="Data_Raw"/>
  </cacheSource>
  <cacheFields count="18">
    <cacheField name="encounter_id" numFmtId="0">
      <sharedItems/>
    </cacheField>
    <cacheField name="patient_id" numFmtId="0">
      <sharedItems/>
    </cacheField>
    <cacheField name="hospital" numFmtId="0">
      <sharedItems count="5">
        <s v="St. Catherine Hospital"/>
        <s v="Riverside Medical Center"/>
        <s v="Lakeside Health"/>
        <s v="Metro Regional"/>
        <s v="Northgate General"/>
      </sharedItems>
    </cacheField>
    <cacheField name="region" numFmtId="0">
      <sharedItems count="4">
        <s v="Midwest"/>
        <s v="Northeast"/>
        <s v="West"/>
        <s v="South"/>
      </sharedItems>
    </cacheField>
    <cacheField name="admit_date" numFmtId="14">
      <sharedItems containsSemiMixedTypes="0" containsNonDate="0" containsDate="1" containsString="0" minDate="2025-01-01T00:00:00" maxDate="2026-01-01T00:00:00"/>
    </cacheField>
    <cacheField name="discharge_date" numFmtId="14">
      <sharedItems containsSemiMixedTypes="0" containsNonDate="0" containsDate="1" containsString="0" minDate="2025-01-02T00:00:00" maxDate="2026-01-09T00:00:00"/>
    </cacheField>
    <cacheField name="department" numFmtId="0">
      <sharedItems count="10">
        <s v="Pediatrics"/>
        <s v="Surgery"/>
        <s v="General Medicine"/>
        <s v="Emergency"/>
        <s v="ICU"/>
        <s v="Neurology"/>
        <s v="Orthopedics"/>
        <s v="Oncology"/>
        <s v="Cardiology"/>
        <s v="OB/GYN"/>
      </sharedItems>
    </cacheField>
    <cacheField name="admission_type" numFmtId="0">
      <sharedItems count="3">
        <s v="Elective"/>
        <s v="Urgent"/>
        <s v="Emergency"/>
      </sharedItems>
    </cacheField>
    <cacheField name="diagnosis_group" numFmtId="0">
      <sharedItems count="10">
        <s v="Cancer"/>
        <s v="Cardiac"/>
        <s v="Respiratory"/>
        <s v="Neurological"/>
        <s v="Pediatric"/>
        <s v="GI"/>
        <s v="Infectious"/>
        <s v="Other"/>
        <s v="Injury"/>
        <s v="Maternal"/>
      </sharedItems>
    </cacheField>
    <cacheField name="age" numFmtId="0">
      <sharedItems containsSemiMixedTypes="0" containsString="0" containsNumber="1" containsInteger="1" minValue="0" maxValue="90"/>
    </cacheField>
    <cacheField name="age_group" numFmtId="0">
      <sharedItems count="7">
        <s v="35-49"/>
        <s v="50-64"/>
        <s v="13-17"/>
        <s v="75+"/>
        <s v="18-34"/>
        <s v="0-12"/>
        <s v="65-74"/>
      </sharedItems>
    </cacheField>
    <cacheField name="gender" numFmtId="0">
      <sharedItems/>
    </cacheField>
    <cacheField name="payer_type" numFmtId="0">
      <sharedItems count="4">
        <s v="Commercial"/>
        <s v="Medicare"/>
        <s v="Self-Pay"/>
        <s v="Medicaid"/>
      </sharedItems>
    </cacheField>
    <cacheField name="length_of_stay_days" numFmtId="0">
      <sharedItems containsSemiMixedTypes="0" containsString="0" containsNumber="1" minValue="0.2" maxValue="21"/>
    </cacheField>
    <cacheField name="treatment_cost_usd" numFmtId="0">
      <sharedItems containsSemiMixedTypes="0" containsString="0" containsNumber="1" minValue="311.3" maxValue="98025.76"/>
    </cacheField>
    <cacheField name="readmission_30d_flag" numFmtId="0">
      <sharedItems containsSemiMixedTypes="0" containsString="0" containsNumber="1" containsInteger="1" minValue="0" maxValue="1"/>
    </cacheField>
    <cacheField name="patient_satisfaction_score" numFmtId="0">
      <sharedItems containsSemiMixedTypes="0" containsString="0" containsNumber="1" minValue="1.6" maxValue="5"/>
    </cacheField>
    <cacheField name="bed_occupancy_rate" numFmtId="0">
      <sharedItems containsSemiMixedTypes="0" containsString="0" containsNumber="1" minValue="0.65" maxValue="0.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ffany Persaud" refreshedDate="46077.657745717595" createdVersion="8" refreshedVersion="8" minRefreshableVersion="3" recordCount="1200" xr:uid="{A9CD4883-1D9E-D143-8020-7ED43F2A1B4A}">
  <cacheSource type="worksheet">
    <worksheetSource ref="A1:S1201" sheet="Data_Raw"/>
  </cacheSource>
  <cacheFields count="19">
    <cacheField name="encounter_id" numFmtId="0">
      <sharedItems/>
    </cacheField>
    <cacheField name="patient_id" numFmtId="0">
      <sharedItems/>
    </cacheField>
    <cacheField name="hospital" numFmtId="0">
      <sharedItems/>
    </cacheField>
    <cacheField name="region" numFmtId="0">
      <sharedItems/>
    </cacheField>
    <cacheField name="admit_date" numFmtId="14">
      <sharedItems containsSemiMixedTypes="0" containsNonDate="0" containsDate="1" containsString="0" minDate="2025-01-01T00:00:00" maxDate="2026-01-01T00:00:00"/>
    </cacheField>
    <cacheField name="discharge_date" numFmtId="14">
      <sharedItems containsSemiMixedTypes="0" containsNonDate="0" containsDate="1" containsString="0" minDate="2025-01-02T00:00:00" maxDate="2026-01-09T00:00:00"/>
    </cacheField>
    <cacheField name="department" numFmtId="0">
      <sharedItems count="10">
        <s v="Pediatrics"/>
        <s v="Surgery"/>
        <s v="General Medicine"/>
        <s v="Emergency"/>
        <s v="ICU"/>
        <s v="Neurology"/>
        <s v="Orthopedics"/>
        <s v="Oncology"/>
        <s v="Cardiology"/>
        <s v="OB/GYN"/>
      </sharedItems>
    </cacheField>
    <cacheField name="admission_type" numFmtId="0">
      <sharedItems/>
    </cacheField>
    <cacheField name="diagnosis_group" numFmtId="0">
      <sharedItems/>
    </cacheField>
    <cacheField name="age" numFmtId="0">
      <sharedItems containsSemiMixedTypes="0" containsString="0" containsNumber="1" containsInteger="1" minValue="0" maxValue="90"/>
    </cacheField>
    <cacheField name="age_group" numFmtId="0">
      <sharedItems/>
    </cacheField>
    <cacheField name="gender" numFmtId="0">
      <sharedItems/>
    </cacheField>
    <cacheField name="payer_type" numFmtId="0">
      <sharedItems/>
    </cacheField>
    <cacheField name="length_of_stay_days" numFmtId="0">
      <sharedItems containsSemiMixedTypes="0" containsString="0" containsNumber="1" minValue="0.2" maxValue="21"/>
    </cacheField>
    <cacheField name="treatment_cost_usd" numFmtId="0">
      <sharedItems containsSemiMixedTypes="0" containsString="0" containsNumber="1" minValue="311.3" maxValue="98025.76"/>
    </cacheField>
    <cacheField name="readmission_30d_flag" numFmtId="0">
      <sharedItems containsSemiMixedTypes="0" containsString="0" containsNumber="1" containsInteger="1" minValue="0" maxValue="1"/>
    </cacheField>
    <cacheField name="patient_satisfaction_score" numFmtId="0">
      <sharedItems containsSemiMixedTypes="0" containsString="0" containsNumber="1" minValue="1.6" maxValue="5"/>
    </cacheField>
    <cacheField name="bed_occupancy_rate" numFmtId="0">
      <sharedItems containsSemiMixedTypes="0" containsString="0" containsNumber="1" minValue="0.65" maxValue="0.97"/>
    </cacheField>
    <cacheField name="Admit_Month" numFmtId="0">
      <sharedItems count="12">
        <s v="November"/>
        <s v="June"/>
        <s v="December"/>
        <s v="October"/>
        <s v="August"/>
        <s v="July"/>
        <s v="September"/>
        <s v="April"/>
        <s v="January"/>
        <s v="February"/>
        <s v="May"/>
        <s v="Marc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ENC100000"/>
    <s v="PT18032"/>
    <x v="0"/>
    <x v="0"/>
    <d v="2025-11-17T00:00:00"/>
    <d v="2025-11-20T00:00:00"/>
    <x v="0"/>
    <x v="0"/>
    <x v="0"/>
    <n v="39"/>
    <x v="0"/>
    <s v="Male"/>
    <x v="0"/>
    <n v="2.8"/>
    <n v="6763.12"/>
    <n v="0"/>
    <n v="3.9"/>
    <n v="0.8"/>
  </r>
  <r>
    <s v="ENC100001"/>
    <s v="PT79655"/>
    <x v="1"/>
    <x v="0"/>
    <d v="2025-06-24T00:00:00"/>
    <d v="2025-06-26T00:00:00"/>
    <x v="0"/>
    <x v="0"/>
    <x v="1"/>
    <n v="45"/>
    <x v="0"/>
    <s v="Female"/>
    <x v="0"/>
    <n v="1.4"/>
    <n v="3005.26"/>
    <n v="1"/>
    <n v="4"/>
    <n v="0.89"/>
  </r>
  <r>
    <s v="ENC100002"/>
    <s v="PT68910"/>
    <x v="0"/>
    <x v="1"/>
    <d v="2025-12-26T00:00:00"/>
    <d v="2026-01-03T00:00:00"/>
    <x v="1"/>
    <x v="0"/>
    <x v="2"/>
    <n v="56"/>
    <x v="1"/>
    <s v="Female"/>
    <x v="1"/>
    <n v="7.4"/>
    <n v="24500.94"/>
    <n v="0"/>
    <n v="4.8"/>
    <n v="0.78"/>
  </r>
  <r>
    <s v="ENC100003"/>
    <s v="PT49498"/>
    <x v="1"/>
    <x v="2"/>
    <d v="2025-10-05T00:00:00"/>
    <d v="2025-10-08T00:00:00"/>
    <x v="2"/>
    <x v="1"/>
    <x v="3"/>
    <n v="15"/>
    <x v="2"/>
    <s v="Female"/>
    <x v="0"/>
    <n v="2.5"/>
    <n v="5369.92"/>
    <n v="0"/>
    <n v="4"/>
    <n v="0.84"/>
  </r>
  <r>
    <s v="ENC100004"/>
    <s v="PT48970"/>
    <x v="1"/>
    <x v="3"/>
    <d v="2025-08-26T00:00:00"/>
    <d v="2025-08-27T00:00:00"/>
    <x v="3"/>
    <x v="0"/>
    <x v="4"/>
    <n v="61"/>
    <x v="1"/>
    <s v="Female"/>
    <x v="2"/>
    <n v="0.8"/>
    <n v="1110.4000000000001"/>
    <n v="0"/>
    <n v="3.4"/>
    <n v="0.86"/>
  </r>
  <r>
    <s v="ENC100005"/>
    <s v="PT87272"/>
    <x v="0"/>
    <x v="0"/>
    <d v="2025-11-26T00:00:00"/>
    <d v="2025-11-27T00:00:00"/>
    <x v="3"/>
    <x v="2"/>
    <x v="5"/>
    <n v="53"/>
    <x v="1"/>
    <s v="Male"/>
    <x v="0"/>
    <n v="0.9"/>
    <n v="1756.82"/>
    <n v="0"/>
    <n v="2.6"/>
    <n v="0.85"/>
  </r>
  <r>
    <s v="ENC100006"/>
    <s v="PT17735"/>
    <x v="2"/>
    <x v="3"/>
    <d v="2025-07-08T00:00:00"/>
    <d v="2025-07-14T00:00:00"/>
    <x v="4"/>
    <x v="0"/>
    <x v="0"/>
    <n v="47"/>
    <x v="0"/>
    <s v="Female"/>
    <x v="0"/>
    <n v="5.3"/>
    <n v="24944.27"/>
    <n v="1"/>
    <n v="2.9"/>
    <n v="0.8"/>
  </r>
  <r>
    <s v="ENC100007"/>
    <s v="PT72762"/>
    <x v="3"/>
    <x v="1"/>
    <d v="2025-09-21T00:00:00"/>
    <d v="2025-09-23T00:00:00"/>
    <x v="5"/>
    <x v="2"/>
    <x v="6"/>
    <n v="75"/>
    <x v="3"/>
    <s v="Male"/>
    <x v="0"/>
    <n v="1.1000000000000001"/>
    <n v="2914.38"/>
    <n v="0"/>
    <n v="3.6"/>
    <n v="0.83"/>
  </r>
  <r>
    <s v="ENC100008"/>
    <s v="PT28132"/>
    <x v="3"/>
    <x v="1"/>
    <d v="2025-04-14T00:00:00"/>
    <d v="2025-04-16T00:00:00"/>
    <x v="6"/>
    <x v="2"/>
    <x v="0"/>
    <n v="62"/>
    <x v="1"/>
    <s v="Male"/>
    <x v="0"/>
    <n v="1.1000000000000001"/>
    <n v="3341.17"/>
    <n v="0"/>
    <n v="3.8"/>
    <n v="0.84"/>
  </r>
  <r>
    <s v="ENC100009"/>
    <s v="PT18475"/>
    <x v="3"/>
    <x v="3"/>
    <d v="2025-12-18T00:00:00"/>
    <d v="2025-12-27T00:00:00"/>
    <x v="7"/>
    <x v="1"/>
    <x v="6"/>
    <n v="84"/>
    <x v="3"/>
    <s v="Female"/>
    <x v="0"/>
    <n v="8.4"/>
    <n v="28737.22"/>
    <n v="0"/>
    <n v="3.4"/>
    <n v="0.74"/>
  </r>
  <r>
    <s v="ENC100010"/>
    <s v="PT57382"/>
    <x v="2"/>
    <x v="0"/>
    <d v="2025-08-16T00:00:00"/>
    <d v="2025-08-21T00:00:00"/>
    <x v="2"/>
    <x v="0"/>
    <x v="3"/>
    <n v="88"/>
    <x v="3"/>
    <s v="Female"/>
    <x v="1"/>
    <n v="4.7"/>
    <n v="11188.86"/>
    <n v="0"/>
    <n v="4.0999999999999996"/>
    <n v="0.74"/>
  </r>
  <r>
    <s v="ENC100011"/>
    <s v="PT97805"/>
    <x v="2"/>
    <x v="2"/>
    <d v="2025-10-13T00:00:00"/>
    <d v="2025-10-19T00:00:00"/>
    <x v="1"/>
    <x v="1"/>
    <x v="5"/>
    <n v="75"/>
    <x v="3"/>
    <s v="Male"/>
    <x v="0"/>
    <n v="5.6"/>
    <n v="19902.18"/>
    <n v="0"/>
    <n v="3.6"/>
    <n v="0.79"/>
  </r>
  <r>
    <s v="ENC100012"/>
    <s v="PT76216"/>
    <x v="1"/>
    <x v="3"/>
    <d v="2025-06-18T00:00:00"/>
    <d v="2025-06-21T00:00:00"/>
    <x v="0"/>
    <x v="2"/>
    <x v="3"/>
    <n v="27"/>
    <x v="4"/>
    <s v="Male"/>
    <x v="1"/>
    <n v="2.9"/>
    <n v="6114.65"/>
    <n v="1"/>
    <n v="3.4"/>
    <n v="0.86"/>
  </r>
  <r>
    <s v="ENC100013"/>
    <s v="PT78501"/>
    <x v="2"/>
    <x v="3"/>
    <d v="2025-11-13T00:00:00"/>
    <d v="2025-11-16T00:00:00"/>
    <x v="7"/>
    <x v="2"/>
    <x v="7"/>
    <n v="17"/>
    <x v="2"/>
    <s v="Female"/>
    <x v="3"/>
    <n v="2.9"/>
    <n v="7530.69"/>
    <n v="0"/>
    <n v="4.3"/>
    <n v="0.75"/>
  </r>
  <r>
    <s v="ENC100014"/>
    <s v="PT74572"/>
    <x v="1"/>
    <x v="2"/>
    <d v="2025-01-28T00:00:00"/>
    <d v="2025-01-30T00:00:00"/>
    <x v="6"/>
    <x v="2"/>
    <x v="0"/>
    <n v="27"/>
    <x v="4"/>
    <s v="Male"/>
    <x v="1"/>
    <n v="1.6"/>
    <n v="3995.53"/>
    <n v="0"/>
    <n v="4.7"/>
    <n v="0.89"/>
  </r>
  <r>
    <s v="ENC100015"/>
    <s v="PT80745"/>
    <x v="1"/>
    <x v="1"/>
    <d v="2025-02-11T00:00:00"/>
    <d v="2025-02-13T00:00:00"/>
    <x v="0"/>
    <x v="2"/>
    <x v="2"/>
    <n v="64"/>
    <x v="1"/>
    <s v="Male"/>
    <x v="1"/>
    <n v="2"/>
    <n v="4156.33"/>
    <n v="0"/>
    <n v="3.2"/>
    <n v="0.8"/>
  </r>
  <r>
    <s v="ENC100016"/>
    <s v="PT56189"/>
    <x v="1"/>
    <x v="3"/>
    <d v="2025-07-05T00:00:00"/>
    <d v="2025-07-11T00:00:00"/>
    <x v="6"/>
    <x v="2"/>
    <x v="1"/>
    <n v="78"/>
    <x v="3"/>
    <s v="Male"/>
    <x v="0"/>
    <n v="5.8"/>
    <n v="14931.99"/>
    <n v="0"/>
    <n v="4"/>
    <n v="0.79"/>
  </r>
  <r>
    <s v="ENC100017"/>
    <s v="PT21530"/>
    <x v="3"/>
    <x v="3"/>
    <d v="2025-09-25T00:00:00"/>
    <d v="2025-09-28T00:00:00"/>
    <x v="0"/>
    <x v="2"/>
    <x v="3"/>
    <n v="80"/>
    <x v="3"/>
    <s v="Female"/>
    <x v="0"/>
    <n v="2.4"/>
    <n v="5351.93"/>
    <n v="0"/>
    <n v="2.8"/>
    <n v="0.82"/>
  </r>
  <r>
    <s v="ENC100018"/>
    <s v="PT85576"/>
    <x v="2"/>
    <x v="1"/>
    <d v="2025-10-23T00:00:00"/>
    <d v="2025-10-25T00:00:00"/>
    <x v="2"/>
    <x v="2"/>
    <x v="6"/>
    <n v="62"/>
    <x v="1"/>
    <s v="Male"/>
    <x v="0"/>
    <n v="1.2"/>
    <n v="2932.7"/>
    <n v="0"/>
    <n v="3"/>
    <n v="0.71"/>
  </r>
  <r>
    <s v="ENC100019"/>
    <s v="PT50534"/>
    <x v="3"/>
    <x v="1"/>
    <d v="2025-06-10T00:00:00"/>
    <d v="2025-06-11T00:00:00"/>
    <x v="3"/>
    <x v="1"/>
    <x v="6"/>
    <n v="61"/>
    <x v="1"/>
    <s v="Male"/>
    <x v="2"/>
    <n v="0.2"/>
    <n v="355.1"/>
    <n v="0"/>
    <n v="3.3"/>
    <n v="0.86"/>
  </r>
  <r>
    <s v="ENC100020"/>
    <s v="PT55031"/>
    <x v="3"/>
    <x v="1"/>
    <d v="2025-08-26T00:00:00"/>
    <d v="2025-08-28T00:00:00"/>
    <x v="3"/>
    <x v="2"/>
    <x v="5"/>
    <n v="86"/>
    <x v="3"/>
    <s v="Female"/>
    <x v="1"/>
    <n v="1.9"/>
    <n v="3413.21"/>
    <n v="1"/>
    <n v="4.4000000000000004"/>
    <n v="0.85"/>
  </r>
  <r>
    <s v="ENC100021"/>
    <s v="PT43371"/>
    <x v="3"/>
    <x v="1"/>
    <d v="2025-07-21T00:00:00"/>
    <d v="2025-07-30T00:00:00"/>
    <x v="8"/>
    <x v="2"/>
    <x v="8"/>
    <n v="62"/>
    <x v="1"/>
    <s v="Male"/>
    <x v="0"/>
    <n v="8.6999999999999993"/>
    <n v="27936.35"/>
    <n v="0"/>
    <n v="3.2"/>
    <n v="0.86"/>
  </r>
  <r>
    <s v="ENC100022"/>
    <s v="PT26429"/>
    <x v="1"/>
    <x v="3"/>
    <d v="2025-12-17T00:00:00"/>
    <d v="2025-12-18T00:00:00"/>
    <x v="1"/>
    <x v="0"/>
    <x v="5"/>
    <n v="12"/>
    <x v="5"/>
    <s v="Male"/>
    <x v="1"/>
    <n v="0.6"/>
    <n v="1752.21"/>
    <n v="0"/>
    <n v="3.4"/>
    <n v="0.8"/>
  </r>
  <r>
    <s v="ENC100023"/>
    <s v="PT93407"/>
    <x v="3"/>
    <x v="1"/>
    <d v="2025-08-27T00:00:00"/>
    <d v="2025-09-07T00:00:00"/>
    <x v="4"/>
    <x v="2"/>
    <x v="5"/>
    <n v="45"/>
    <x v="0"/>
    <s v="Female"/>
    <x v="3"/>
    <n v="10.9"/>
    <n v="35737.279999999999"/>
    <n v="0"/>
    <n v="3.6"/>
    <n v="0.84"/>
  </r>
  <r>
    <s v="ENC100024"/>
    <s v="PT80340"/>
    <x v="3"/>
    <x v="3"/>
    <d v="2025-06-02T00:00:00"/>
    <d v="2025-06-07T00:00:00"/>
    <x v="8"/>
    <x v="1"/>
    <x v="0"/>
    <n v="32"/>
    <x v="4"/>
    <s v="Male"/>
    <x v="1"/>
    <n v="4.3"/>
    <n v="12970.35"/>
    <n v="0"/>
    <n v="3.9"/>
    <n v="0.75"/>
  </r>
  <r>
    <s v="ENC100025"/>
    <s v="PT67947"/>
    <x v="3"/>
    <x v="1"/>
    <d v="2025-12-20T00:00:00"/>
    <d v="2025-12-22T00:00:00"/>
    <x v="1"/>
    <x v="0"/>
    <x v="0"/>
    <n v="57"/>
    <x v="1"/>
    <s v="Female"/>
    <x v="1"/>
    <n v="1.6"/>
    <n v="5271.75"/>
    <n v="0"/>
    <n v="3.4"/>
    <n v="0.86"/>
  </r>
  <r>
    <s v="ENC100026"/>
    <s v="PT46216"/>
    <x v="1"/>
    <x v="1"/>
    <d v="2025-02-09T00:00:00"/>
    <d v="2025-02-14T00:00:00"/>
    <x v="5"/>
    <x v="2"/>
    <x v="1"/>
    <n v="57"/>
    <x v="1"/>
    <s v="Male"/>
    <x v="3"/>
    <n v="4.3"/>
    <n v="11192.27"/>
    <n v="0"/>
    <n v="5"/>
    <n v="0.82"/>
  </r>
  <r>
    <s v="ENC100027"/>
    <s v="PT84047"/>
    <x v="1"/>
    <x v="0"/>
    <d v="2025-12-26T00:00:00"/>
    <d v="2025-12-28T00:00:00"/>
    <x v="5"/>
    <x v="0"/>
    <x v="0"/>
    <n v="26"/>
    <x v="4"/>
    <s v="Male"/>
    <x v="1"/>
    <n v="1.2"/>
    <n v="3052.16"/>
    <n v="0"/>
    <n v="3.7"/>
    <n v="0.78"/>
  </r>
  <r>
    <s v="ENC100028"/>
    <s v="PT59088"/>
    <x v="3"/>
    <x v="1"/>
    <d v="2025-02-26T00:00:00"/>
    <d v="2025-02-28T00:00:00"/>
    <x v="9"/>
    <x v="0"/>
    <x v="9"/>
    <n v="27"/>
    <x v="4"/>
    <s v="Female"/>
    <x v="1"/>
    <n v="1.7"/>
    <n v="3374.72"/>
    <n v="0"/>
    <n v="4"/>
    <n v="0.84"/>
  </r>
  <r>
    <s v="ENC100029"/>
    <s v="PT49906"/>
    <x v="1"/>
    <x v="2"/>
    <d v="2025-04-16T00:00:00"/>
    <d v="2025-04-17T00:00:00"/>
    <x v="3"/>
    <x v="0"/>
    <x v="7"/>
    <n v="8"/>
    <x v="5"/>
    <s v="Female"/>
    <x v="0"/>
    <n v="0.9"/>
    <n v="1425.31"/>
    <n v="0"/>
    <n v="3.5"/>
    <n v="0.81"/>
  </r>
  <r>
    <s v="ENC100030"/>
    <s v="PT50540"/>
    <x v="4"/>
    <x v="0"/>
    <d v="2025-10-27T00:00:00"/>
    <d v="2025-11-03T00:00:00"/>
    <x v="8"/>
    <x v="0"/>
    <x v="6"/>
    <n v="26"/>
    <x v="4"/>
    <s v="Female"/>
    <x v="0"/>
    <n v="7"/>
    <n v="18621.71"/>
    <n v="1"/>
    <n v="4.2"/>
    <n v="0.85"/>
  </r>
  <r>
    <s v="ENC100031"/>
    <s v="PT30451"/>
    <x v="0"/>
    <x v="1"/>
    <d v="2025-09-25T00:00:00"/>
    <d v="2025-09-27T00:00:00"/>
    <x v="0"/>
    <x v="0"/>
    <x v="8"/>
    <n v="75"/>
    <x v="3"/>
    <s v="Male"/>
    <x v="2"/>
    <n v="1.5"/>
    <n v="2800.43"/>
    <n v="0"/>
    <n v="4.5999999999999996"/>
    <n v="0.76"/>
  </r>
  <r>
    <s v="ENC100032"/>
    <s v="PT18292"/>
    <x v="1"/>
    <x v="1"/>
    <d v="2025-12-21T00:00:00"/>
    <d v="2025-12-23T00:00:00"/>
    <x v="8"/>
    <x v="0"/>
    <x v="5"/>
    <n v="59"/>
    <x v="1"/>
    <s v="Female"/>
    <x v="1"/>
    <n v="1.6"/>
    <n v="4052.51"/>
    <n v="0"/>
    <n v="4.9000000000000004"/>
    <n v="0.83"/>
  </r>
  <r>
    <s v="ENC100033"/>
    <s v="PT59912"/>
    <x v="1"/>
    <x v="0"/>
    <d v="2025-10-01T00:00:00"/>
    <d v="2025-10-05T00:00:00"/>
    <x v="2"/>
    <x v="2"/>
    <x v="9"/>
    <n v="85"/>
    <x v="3"/>
    <s v="Male"/>
    <x v="0"/>
    <n v="3.8"/>
    <n v="9189.1299999999992"/>
    <n v="0"/>
    <n v="3.4"/>
    <n v="0.78"/>
  </r>
  <r>
    <s v="ENC100034"/>
    <s v="PT89909"/>
    <x v="3"/>
    <x v="3"/>
    <d v="2025-08-21T00:00:00"/>
    <d v="2025-08-26T00:00:00"/>
    <x v="8"/>
    <x v="0"/>
    <x v="8"/>
    <n v="84"/>
    <x v="3"/>
    <s v="Female"/>
    <x v="1"/>
    <n v="4.5"/>
    <n v="12387.85"/>
    <n v="0"/>
    <n v="4.5999999999999996"/>
    <n v="0.82"/>
  </r>
  <r>
    <s v="ENC100035"/>
    <s v="PT15743"/>
    <x v="3"/>
    <x v="2"/>
    <d v="2025-05-07T00:00:00"/>
    <d v="2025-05-08T00:00:00"/>
    <x v="3"/>
    <x v="1"/>
    <x v="4"/>
    <n v="77"/>
    <x v="3"/>
    <s v="Female"/>
    <x v="0"/>
    <n v="0.5"/>
    <n v="767.54"/>
    <n v="0"/>
    <n v="4"/>
    <n v="0.85"/>
  </r>
  <r>
    <s v="ENC100036"/>
    <s v="PT87245"/>
    <x v="3"/>
    <x v="0"/>
    <d v="2025-01-02T00:00:00"/>
    <d v="2025-01-04T00:00:00"/>
    <x v="8"/>
    <x v="0"/>
    <x v="2"/>
    <n v="16"/>
    <x v="2"/>
    <s v="Male"/>
    <x v="3"/>
    <n v="1.2"/>
    <n v="3023.11"/>
    <n v="0"/>
    <n v="4.5"/>
    <n v="0.83"/>
  </r>
  <r>
    <s v="ENC100037"/>
    <s v="PT84485"/>
    <x v="4"/>
    <x v="3"/>
    <d v="2025-02-15T00:00:00"/>
    <d v="2025-02-17T00:00:00"/>
    <x v="7"/>
    <x v="0"/>
    <x v="2"/>
    <n v="30"/>
    <x v="4"/>
    <s v="Male"/>
    <x v="0"/>
    <n v="1.7"/>
    <n v="5402.88"/>
    <n v="0"/>
    <n v="3.8"/>
    <n v="0.78"/>
  </r>
  <r>
    <s v="ENC100038"/>
    <s v="PT34908"/>
    <x v="4"/>
    <x v="0"/>
    <d v="2025-04-19T00:00:00"/>
    <d v="2025-04-27T00:00:00"/>
    <x v="8"/>
    <x v="2"/>
    <x v="1"/>
    <n v="5"/>
    <x v="5"/>
    <s v="Female"/>
    <x v="3"/>
    <n v="7.7"/>
    <n v="19577.29"/>
    <n v="1"/>
    <n v="3.6"/>
    <n v="0.79"/>
  </r>
  <r>
    <s v="ENC100039"/>
    <s v="PT66849"/>
    <x v="0"/>
    <x v="2"/>
    <d v="2025-01-15T00:00:00"/>
    <d v="2025-01-17T00:00:00"/>
    <x v="3"/>
    <x v="0"/>
    <x v="1"/>
    <n v="8"/>
    <x v="5"/>
    <s v="Female"/>
    <x v="1"/>
    <n v="1.4"/>
    <n v="2620.0700000000002"/>
    <n v="0"/>
    <n v="4.3"/>
    <n v="0.78"/>
  </r>
  <r>
    <s v="ENC100040"/>
    <s v="PT24870"/>
    <x v="0"/>
    <x v="3"/>
    <d v="2025-07-05T00:00:00"/>
    <d v="2025-07-08T00:00:00"/>
    <x v="1"/>
    <x v="1"/>
    <x v="7"/>
    <n v="21"/>
    <x v="4"/>
    <s v="Female"/>
    <x v="0"/>
    <n v="2.5"/>
    <n v="8130.91"/>
    <n v="0"/>
    <n v="4.5"/>
    <n v="0.84"/>
  </r>
  <r>
    <s v="ENC100041"/>
    <s v="PT78227"/>
    <x v="1"/>
    <x v="1"/>
    <d v="2025-10-11T00:00:00"/>
    <d v="2025-10-17T00:00:00"/>
    <x v="6"/>
    <x v="2"/>
    <x v="0"/>
    <n v="25"/>
    <x v="4"/>
    <s v="Female"/>
    <x v="0"/>
    <n v="5.6"/>
    <n v="14981.38"/>
    <n v="0"/>
    <n v="4.8"/>
    <n v="0.81"/>
  </r>
  <r>
    <s v="ENC100042"/>
    <s v="PT73046"/>
    <x v="2"/>
    <x v="3"/>
    <d v="2025-12-18T00:00:00"/>
    <d v="2025-12-21T00:00:00"/>
    <x v="7"/>
    <x v="2"/>
    <x v="8"/>
    <n v="1"/>
    <x v="5"/>
    <s v="Female"/>
    <x v="3"/>
    <n v="2.4"/>
    <n v="6743.06"/>
    <n v="0"/>
    <n v="4"/>
    <n v="0.75"/>
  </r>
  <r>
    <s v="ENC100043"/>
    <s v="PT41906"/>
    <x v="3"/>
    <x v="2"/>
    <d v="2025-06-28T00:00:00"/>
    <d v="2025-06-29T00:00:00"/>
    <x v="3"/>
    <x v="2"/>
    <x v="0"/>
    <n v="76"/>
    <x v="3"/>
    <s v="Male"/>
    <x v="0"/>
    <n v="1"/>
    <n v="2325.17"/>
    <n v="0"/>
    <n v="3.6"/>
    <n v="0.85"/>
  </r>
  <r>
    <s v="ENC100044"/>
    <s v="PT16112"/>
    <x v="0"/>
    <x v="0"/>
    <d v="2025-11-16T00:00:00"/>
    <d v="2025-11-17T00:00:00"/>
    <x v="6"/>
    <x v="2"/>
    <x v="0"/>
    <n v="47"/>
    <x v="0"/>
    <s v="Female"/>
    <x v="0"/>
    <n v="0.9"/>
    <n v="2405.27"/>
    <n v="1"/>
    <n v="2.4"/>
    <n v="0.81"/>
  </r>
  <r>
    <s v="ENC100045"/>
    <s v="PT97361"/>
    <x v="4"/>
    <x v="2"/>
    <d v="2025-12-26T00:00:00"/>
    <d v="2025-12-31T00:00:00"/>
    <x v="6"/>
    <x v="0"/>
    <x v="8"/>
    <n v="59"/>
    <x v="1"/>
    <s v="Female"/>
    <x v="3"/>
    <n v="4.9000000000000004"/>
    <n v="10255.84"/>
    <n v="0"/>
    <n v="2.9"/>
    <n v="0.81"/>
  </r>
  <r>
    <s v="ENC100046"/>
    <s v="PT50111"/>
    <x v="4"/>
    <x v="2"/>
    <d v="2025-11-10T00:00:00"/>
    <d v="2025-11-13T00:00:00"/>
    <x v="4"/>
    <x v="2"/>
    <x v="1"/>
    <n v="59"/>
    <x v="1"/>
    <s v="Female"/>
    <x v="0"/>
    <n v="2.9"/>
    <n v="13574.26"/>
    <n v="0"/>
    <n v="3.6"/>
    <n v="0.79"/>
  </r>
  <r>
    <s v="ENC100047"/>
    <s v="PT90380"/>
    <x v="1"/>
    <x v="1"/>
    <d v="2025-06-19T00:00:00"/>
    <d v="2025-06-21T00:00:00"/>
    <x v="8"/>
    <x v="2"/>
    <x v="5"/>
    <n v="87"/>
    <x v="3"/>
    <s v="Female"/>
    <x v="0"/>
    <n v="1.6"/>
    <n v="3935.1"/>
    <n v="1"/>
    <n v="3.2"/>
    <n v="0.84"/>
  </r>
  <r>
    <s v="ENC100048"/>
    <s v="PT71012"/>
    <x v="4"/>
    <x v="2"/>
    <d v="2025-04-29T00:00:00"/>
    <d v="2025-05-04T00:00:00"/>
    <x v="1"/>
    <x v="0"/>
    <x v="1"/>
    <n v="13"/>
    <x v="2"/>
    <s v="Male"/>
    <x v="0"/>
    <n v="4.0999999999999996"/>
    <n v="12669.18"/>
    <n v="0"/>
    <n v="4.4000000000000004"/>
    <n v="0.77"/>
  </r>
  <r>
    <s v="ENC100049"/>
    <s v="PT80053"/>
    <x v="0"/>
    <x v="3"/>
    <d v="2025-12-23T00:00:00"/>
    <d v="2025-12-24T00:00:00"/>
    <x v="9"/>
    <x v="0"/>
    <x v="9"/>
    <n v="31"/>
    <x v="4"/>
    <s v="Female"/>
    <x v="3"/>
    <n v="0.2"/>
    <n v="393.64"/>
    <n v="0"/>
    <n v="3.1"/>
    <n v="0.76"/>
  </r>
  <r>
    <s v="ENC100050"/>
    <s v="PT78390"/>
    <x v="0"/>
    <x v="3"/>
    <d v="2025-03-30T00:00:00"/>
    <d v="2025-03-31T00:00:00"/>
    <x v="3"/>
    <x v="0"/>
    <x v="1"/>
    <n v="28"/>
    <x v="4"/>
    <s v="Female"/>
    <x v="0"/>
    <n v="0.3"/>
    <n v="674.89"/>
    <n v="0"/>
    <n v="3.4"/>
    <n v="0.74"/>
  </r>
  <r>
    <s v="ENC100051"/>
    <s v="PT27517"/>
    <x v="0"/>
    <x v="0"/>
    <d v="2025-05-31T00:00:00"/>
    <d v="2025-06-02T00:00:00"/>
    <x v="3"/>
    <x v="0"/>
    <x v="9"/>
    <n v="50"/>
    <x v="1"/>
    <s v="Male"/>
    <x v="0"/>
    <n v="1.6"/>
    <n v="2871.11"/>
    <n v="0"/>
    <n v="3.4"/>
    <n v="0.73"/>
  </r>
  <r>
    <s v="ENC100052"/>
    <s v="PT42751"/>
    <x v="3"/>
    <x v="2"/>
    <d v="2025-01-28T00:00:00"/>
    <d v="2025-01-29T00:00:00"/>
    <x v="3"/>
    <x v="0"/>
    <x v="4"/>
    <n v="47"/>
    <x v="0"/>
    <s v="Male"/>
    <x v="0"/>
    <n v="0.4"/>
    <n v="715.68"/>
    <n v="0"/>
    <n v="4.4000000000000004"/>
    <n v="0.91"/>
  </r>
  <r>
    <s v="ENC100053"/>
    <s v="PT52004"/>
    <x v="4"/>
    <x v="3"/>
    <d v="2025-10-17T00:00:00"/>
    <d v="2025-11-07T00:00:00"/>
    <x v="4"/>
    <x v="0"/>
    <x v="1"/>
    <n v="71"/>
    <x v="6"/>
    <s v="Male"/>
    <x v="0"/>
    <n v="21"/>
    <n v="81950.03"/>
    <n v="0"/>
    <n v="3.2"/>
    <n v="0.69"/>
  </r>
  <r>
    <s v="ENC100054"/>
    <s v="PT54800"/>
    <x v="1"/>
    <x v="3"/>
    <d v="2025-08-26T00:00:00"/>
    <d v="2025-08-28T00:00:00"/>
    <x v="3"/>
    <x v="0"/>
    <x v="2"/>
    <n v="51"/>
    <x v="1"/>
    <s v="Male"/>
    <x v="0"/>
    <n v="1.1000000000000001"/>
    <n v="2151.87"/>
    <n v="0"/>
    <n v="4"/>
    <n v="0.87"/>
  </r>
  <r>
    <s v="ENC100055"/>
    <s v="PT13942"/>
    <x v="1"/>
    <x v="1"/>
    <d v="2025-01-31T00:00:00"/>
    <d v="2025-02-01T00:00:00"/>
    <x v="1"/>
    <x v="2"/>
    <x v="7"/>
    <n v="21"/>
    <x v="4"/>
    <s v="Male"/>
    <x v="0"/>
    <n v="0.6"/>
    <n v="1934.34"/>
    <n v="0"/>
    <n v="4"/>
    <n v="0.79"/>
  </r>
  <r>
    <s v="ENC100056"/>
    <s v="PT59190"/>
    <x v="1"/>
    <x v="0"/>
    <d v="2025-03-23T00:00:00"/>
    <d v="2025-03-31T00:00:00"/>
    <x v="2"/>
    <x v="0"/>
    <x v="3"/>
    <n v="51"/>
    <x v="1"/>
    <s v="Male"/>
    <x v="0"/>
    <n v="7.3"/>
    <n v="16726.29"/>
    <n v="1"/>
    <n v="4.2"/>
    <n v="0.87"/>
  </r>
  <r>
    <s v="ENC100057"/>
    <s v="PT23885"/>
    <x v="0"/>
    <x v="2"/>
    <d v="2025-07-22T00:00:00"/>
    <d v="2025-07-26T00:00:00"/>
    <x v="1"/>
    <x v="2"/>
    <x v="5"/>
    <n v="87"/>
    <x v="3"/>
    <s v="Male"/>
    <x v="0"/>
    <n v="3.9"/>
    <n v="13166.15"/>
    <n v="0"/>
    <n v="4.4000000000000004"/>
    <n v="0.71"/>
  </r>
  <r>
    <s v="ENC100058"/>
    <s v="PT76903"/>
    <x v="3"/>
    <x v="3"/>
    <d v="2025-07-17T00:00:00"/>
    <d v="2025-07-19T00:00:00"/>
    <x v="0"/>
    <x v="2"/>
    <x v="2"/>
    <n v="52"/>
    <x v="1"/>
    <s v="Female"/>
    <x v="3"/>
    <n v="1.8"/>
    <n v="3540.25"/>
    <n v="0"/>
    <n v="3.9"/>
    <n v="0.83"/>
  </r>
  <r>
    <s v="ENC100059"/>
    <s v="PT71473"/>
    <x v="3"/>
    <x v="1"/>
    <d v="2025-10-20T00:00:00"/>
    <d v="2025-10-23T00:00:00"/>
    <x v="9"/>
    <x v="2"/>
    <x v="8"/>
    <n v="53"/>
    <x v="1"/>
    <s v="Male"/>
    <x v="0"/>
    <n v="2.5"/>
    <n v="5683.65"/>
    <n v="0"/>
    <n v="2.9"/>
    <n v="0.9"/>
  </r>
  <r>
    <s v="ENC100060"/>
    <s v="PT93026"/>
    <x v="2"/>
    <x v="2"/>
    <d v="2025-04-08T00:00:00"/>
    <d v="2025-04-09T00:00:00"/>
    <x v="3"/>
    <x v="1"/>
    <x v="3"/>
    <n v="16"/>
    <x v="2"/>
    <s v="Male"/>
    <x v="0"/>
    <n v="0.2"/>
    <n v="406.51"/>
    <n v="1"/>
    <n v="3.6"/>
    <n v="0.78"/>
  </r>
  <r>
    <s v="ENC100061"/>
    <s v="PT77027"/>
    <x v="4"/>
    <x v="2"/>
    <d v="2025-12-04T00:00:00"/>
    <d v="2025-12-08T00:00:00"/>
    <x v="7"/>
    <x v="0"/>
    <x v="7"/>
    <n v="0"/>
    <x v="5"/>
    <s v="Male"/>
    <x v="3"/>
    <n v="3.9"/>
    <n v="11282.06"/>
    <n v="0"/>
    <n v="3.9"/>
    <n v="0.77"/>
  </r>
  <r>
    <s v="ENC100062"/>
    <s v="PT42997"/>
    <x v="1"/>
    <x v="3"/>
    <d v="2025-06-12T00:00:00"/>
    <d v="2025-06-14T00:00:00"/>
    <x v="6"/>
    <x v="2"/>
    <x v="8"/>
    <n v="19"/>
    <x v="4"/>
    <s v="Female"/>
    <x v="3"/>
    <n v="1.2"/>
    <n v="2687.24"/>
    <n v="0"/>
    <n v="4.0999999999999996"/>
    <n v="0.74"/>
  </r>
  <r>
    <s v="ENC100063"/>
    <s v="PT97074"/>
    <x v="4"/>
    <x v="1"/>
    <d v="2025-10-28T00:00:00"/>
    <d v="2025-10-30T00:00:00"/>
    <x v="9"/>
    <x v="0"/>
    <x v="9"/>
    <n v="2"/>
    <x v="5"/>
    <s v="Male"/>
    <x v="1"/>
    <n v="1.9"/>
    <n v="3782.02"/>
    <n v="0"/>
    <n v="3.5"/>
    <n v="0.73"/>
  </r>
  <r>
    <s v="ENC100064"/>
    <s v="PT46976"/>
    <x v="4"/>
    <x v="3"/>
    <d v="2025-03-29T00:00:00"/>
    <d v="2025-03-31T00:00:00"/>
    <x v="0"/>
    <x v="2"/>
    <x v="5"/>
    <n v="41"/>
    <x v="0"/>
    <s v="Female"/>
    <x v="0"/>
    <n v="1.4"/>
    <n v="3014.16"/>
    <n v="0"/>
    <n v="4.5999999999999996"/>
    <n v="0.84"/>
  </r>
  <r>
    <s v="ENC100065"/>
    <s v="PT39323"/>
    <x v="3"/>
    <x v="1"/>
    <d v="2025-01-14T00:00:00"/>
    <d v="2025-01-18T00:00:00"/>
    <x v="1"/>
    <x v="0"/>
    <x v="2"/>
    <n v="80"/>
    <x v="3"/>
    <s v="Male"/>
    <x v="0"/>
    <n v="3.4"/>
    <n v="12205.05"/>
    <n v="0"/>
    <n v="3.9"/>
    <n v="0.83"/>
  </r>
  <r>
    <s v="ENC100066"/>
    <s v="PT91497"/>
    <x v="0"/>
    <x v="0"/>
    <d v="2025-01-21T00:00:00"/>
    <d v="2025-01-24T00:00:00"/>
    <x v="8"/>
    <x v="0"/>
    <x v="8"/>
    <n v="40"/>
    <x v="0"/>
    <s v="Female"/>
    <x v="0"/>
    <n v="2.2999999999999998"/>
    <n v="5824.8"/>
    <n v="0"/>
    <n v="3.3"/>
    <n v="0.8"/>
  </r>
  <r>
    <s v="ENC100067"/>
    <s v="PT43341"/>
    <x v="4"/>
    <x v="3"/>
    <d v="2025-05-17T00:00:00"/>
    <d v="2025-05-19T00:00:00"/>
    <x v="9"/>
    <x v="0"/>
    <x v="1"/>
    <n v="58"/>
    <x v="1"/>
    <s v="Male"/>
    <x v="0"/>
    <n v="1.3"/>
    <n v="3503.8"/>
    <n v="1"/>
    <n v="3.6"/>
    <n v="0.79"/>
  </r>
  <r>
    <s v="ENC100068"/>
    <s v="PT16870"/>
    <x v="4"/>
    <x v="2"/>
    <d v="2025-12-14T00:00:00"/>
    <d v="2025-12-16T00:00:00"/>
    <x v="5"/>
    <x v="0"/>
    <x v="0"/>
    <n v="77"/>
    <x v="3"/>
    <s v="Male"/>
    <x v="0"/>
    <n v="1.4"/>
    <n v="4218.46"/>
    <n v="1"/>
    <n v="5"/>
    <n v="0.73"/>
  </r>
  <r>
    <s v="ENC100069"/>
    <s v="PT52259"/>
    <x v="1"/>
    <x v="0"/>
    <d v="2025-01-18T00:00:00"/>
    <d v="2025-01-19T00:00:00"/>
    <x v="5"/>
    <x v="2"/>
    <x v="5"/>
    <n v="69"/>
    <x v="6"/>
    <s v="Female"/>
    <x v="1"/>
    <n v="0.6"/>
    <n v="1597.21"/>
    <n v="0"/>
    <n v="4.3"/>
    <n v="0.84"/>
  </r>
  <r>
    <s v="ENC100070"/>
    <s v="PT81610"/>
    <x v="3"/>
    <x v="2"/>
    <d v="2025-05-15T00:00:00"/>
    <d v="2025-05-16T00:00:00"/>
    <x v="9"/>
    <x v="2"/>
    <x v="0"/>
    <n v="59"/>
    <x v="1"/>
    <s v="Female"/>
    <x v="0"/>
    <n v="0.3"/>
    <n v="777.44"/>
    <n v="0"/>
    <n v="4.5"/>
    <n v="0.82"/>
  </r>
  <r>
    <s v="ENC100071"/>
    <s v="PT27052"/>
    <x v="1"/>
    <x v="2"/>
    <d v="2025-02-09T00:00:00"/>
    <d v="2025-02-11T00:00:00"/>
    <x v="7"/>
    <x v="1"/>
    <x v="1"/>
    <n v="71"/>
    <x v="6"/>
    <s v="Female"/>
    <x v="1"/>
    <n v="1.2"/>
    <n v="3579.67"/>
    <n v="0"/>
    <n v="3.3"/>
    <n v="0.83"/>
  </r>
  <r>
    <s v="ENC100072"/>
    <s v="PT51664"/>
    <x v="1"/>
    <x v="1"/>
    <d v="2025-12-07T00:00:00"/>
    <d v="2025-12-14T00:00:00"/>
    <x v="7"/>
    <x v="0"/>
    <x v="5"/>
    <n v="25"/>
    <x v="4"/>
    <s v="Male"/>
    <x v="0"/>
    <n v="6.4"/>
    <n v="22401.05"/>
    <n v="0"/>
    <n v="3.5"/>
    <n v="0.8"/>
  </r>
  <r>
    <s v="ENC100073"/>
    <s v="PT21692"/>
    <x v="1"/>
    <x v="1"/>
    <d v="2025-09-04T00:00:00"/>
    <d v="2025-09-05T00:00:00"/>
    <x v="0"/>
    <x v="2"/>
    <x v="6"/>
    <n v="38"/>
    <x v="0"/>
    <s v="Male"/>
    <x v="0"/>
    <n v="0.8"/>
    <n v="1580.06"/>
    <n v="0"/>
    <n v="3.5"/>
    <n v="0.76"/>
  </r>
  <r>
    <s v="ENC100074"/>
    <s v="PT71782"/>
    <x v="3"/>
    <x v="3"/>
    <d v="2025-10-06T00:00:00"/>
    <d v="2025-10-07T00:00:00"/>
    <x v="3"/>
    <x v="2"/>
    <x v="3"/>
    <n v="36"/>
    <x v="0"/>
    <s v="Male"/>
    <x v="3"/>
    <n v="0.6"/>
    <n v="1086.03"/>
    <n v="0"/>
    <n v="3.8"/>
    <n v="0.82"/>
  </r>
  <r>
    <s v="ENC100075"/>
    <s v="PT52812"/>
    <x v="0"/>
    <x v="3"/>
    <d v="2025-09-18T00:00:00"/>
    <d v="2025-09-20T00:00:00"/>
    <x v="6"/>
    <x v="2"/>
    <x v="6"/>
    <n v="72"/>
    <x v="6"/>
    <s v="Female"/>
    <x v="3"/>
    <n v="1.5"/>
    <n v="3823.19"/>
    <n v="0"/>
    <n v="3.8"/>
    <n v="0.83"/>
  </r>
  <r>
    <s v="ENC100076"/>
    <s v="PT39717"/>
    <x v="2"/>
    <x v="0"/>
    <d v="2025-08-28T00:00:00"/>
    <d v="2025-08-31T00:00:00"/>
    <x v="8"/>
    <x v="2"/>
    <x v="1"/>
    <n v="37"/>
    <x v="0"/>
    <s v="Male"/>
    <x v="0"/>
    <n v="2.2000000000000002"/>
    <n v="6757.74"/>
    <n v="0"/>
    <n v="3.6"/>
    <n v="0.77"/>
  </r>
  <r>
    <s v="ENC100077"/>
    <s v="PT30421"/>
    <x v="4"/>
    <x v="3"/>
    <d v="2025-10-10T00:00:00"/>
    <d v="2025-10-12T00:00:00"/>
    <x v="3"/>
    <x v="2"/>
    <x v="5"/>
    <n v="85"/>
    <x v="3"/>
    <s v="Male"/>
    <x v="1"/>
    <n v="1.4"/>
    <n v="2177.8000000000002"/>
    <n v="0"/>
    <n v="3.5"/>
    <n v="0.78"/>
  </r>
  <r>
    <s v="ENC100078"/>
    <s v="PT60804"/>
    <x v="1"/>
    <x v="3"/>
    <d v="2025-01-03T00:00:00"/>
    <d v="2025-01-06T00:00:00"/>
    <x v="1"/>
    <x v="2"/>
    <x v="0"/>
    <n v="16"/>
    <x v="2"/>
    <s v="Female"/>
    <x v="0"/>
    <n v="2.6"/>
    <n v="8811.0400000000009"/>
    <n v="0"/>
    <n v="3.4"/>
    <n v="0.86"/>
  </r>
  <r>
    <s v="ENC100079"/>
    <s v="PT70282"/>
    <x v="3"/>
    <x v="3"/>
    <d v="2025-11-12T00:00:00"/>
    <d v="2025-11-16T00:00:00"/>
    <x v="0"/>
    <x v="1"/>
    <x v="8"/>
    <n v="15"/>
    <x v="2"/>
    <s v="Female"/>
    <x v="0"/>
    <n v="3.5"/>
    <n v="7460.69"/>
    <n v="0"/>
    <n v="3.8"/>
    <n v="0.83"/>
  </r>
  <r>
    <s v="ENC100080"/>
    <s v="PT94626"/>
    <x v="1"/>
    <x v="3"/>
    <d v="2025-09-28T00:00:00"/>
    <d v="2025-09-29T00:00:00"/>
    <x v="6"/>
    <x v="2"/>
    <x v="1"/>
    <n v="65"/>
    <x v="6"/>
    <s v="Female"/>
    <x v="3"/>
    <n v="0.8"/>
    <n v="1916.26"/>
    <n v="0"/>
    <n v="4.5999999999999996"/>
    <n v="0.82"/>
  </r>
  <r>
    <s v="ENC100081"/>
    <s v="PT49343"/>
    <x v="1"/>
    <x v="1"/>
    <d v="2025-09-27T00:00:00"/>
    <d v="2025-10-05T00:00:00"/>
    <x v="7"/>
    <x v="2"/>
    <x v="6"/>
    <n v="69"/>
    <x v="6"/>
    <s v="Female"/>
    <x v="0"/>
    <n v="7.4"/>
    <n v="23957.35"/>
    <n v="0"/>
    <n v="2.8"/>
    <n v="0.8"/>
  </r>
  <r>
    <s v="ENC100082"/>
    <s v="PT24461"/>
    <x v="0"/>
    <x v="1"/>
    <d v="2025-05-24T00:00:00"/>
    <d v="2025-06-05T00:00:00"/>
    <x v="7"/>
    <x v="2"/>
    <x v="6"/>
    <n v="61"/>
    <x v="1"/>
    <s v="Female"/>
    <x v="1"/>
    <n v="11.4"/>
    <n v="30284.41"/>
    <n v="0"/>
    <n v="3.9"/>
    <n v="0.84"/>
  </r>
  <r>
    <s v="ENC100083"/>
    <s v="PT84940"/>
    <x v="1"/>
    <x v="1"/>
    <d v="2025-10-20T00:00:00"/>
    <d v="2025-10-26T00:00:00"/>
    <x v="4"/>
    <x v="2"/>
    <x v="8"/>
    <n v="28"/>
    <x v="4"/>
    <s v="Female"/>
    <x v="1"/>
    <n v="5.6"/>
    <n v="21974.080000000002"/>
    <n v="0"/>
    <n v="4.5999999999999996"/>
    <n v="0.83"/>
  </r>
  <r>
    <s v="ENC100084"/>
    <s v="PT66678"/>
    <x v="1"/>
    <x v="2"/>
    <d v="2025-05-20T00:00:00"/>
    <d v="2025-05-21T00:00:00"/>
    <x v="9"/>
    <x v="0"/>
    <x v="4"/>
    <n v="0"/>
    <x v="5"/>
    <s v="Female"/>
    <x v="0"/>
    <n v="0.7"/>
    <n v="1475.37"/>
    <n v="0"/>
    <n v="3.8"/>
    <n v="0.8"/>
  </r>
  <r>
    <s v="ENC100085"/>
    <s v="PT73023"/>
    <x v="3"/>
    <x v="2"/>
    <d v="2025-01-18T00:00:00"/>
    <d v="2025-01-22T00:00:00"/>
    <x v="9"/>
    <x v="2"/>
    <x v="4"/>
    <n v="29"/>
    <x v="4"/>
    <s v="Female"/>
    <x v="0"/>
    <n v="3.1"/>
    <n v="6886.36"/>
    <n v="0"/>
    <n v="3.6"/>
    <n v="0.78"/>
  </r>
  <r>
    <s v="ENC100086"/>
    <s v="PT18750"/>
    <x v="0"/>
    <x v="2"/>
    <d v="2025-11-28T00:00:00"/>
    <d v="2025-12-02T00:00:00"/>
    <x v="7"/>
    <x v="0"/>
    <x v="2"/>
    <n v="42"/>
    <x v="0"/>
    <s v="Female"/>
    <x v="0"/>
    <n v="3.9"/>
    <n v="14235.56"/>
    <n v="0"/>
    <n v="4.5"/>
    <n v="0.84"/>
  </r>
  <r>
    <s v="ENC100087"/>
    <s v="PT38112"/>
    <x v="4"/>
    <x v="1"/>
    <d v="2025-03-27T00:00:00"/>
    <d v="2025-03-30T00:00:00"/>
    <x v="6"/>
    <x v="0"/>
    <x v="5"/>
    <n v="37"/>
    <x v="0"/>
    <s v="Male"/>
    <x v="2"/>
    <n v="3"/>
    <n v="5889.64"/>
    <n v="0"/>
    <n v="3.3"/>
    <n v="0.75"/>
  </r>
  <r>
    <s v="ENC100088"/>
    <s v="PT79105"/>
    <x v="4"/>
    <x v="3"/>
    <d v="2025-02-07T00:00:00"/>
    <d v="2025-02-14T00:00:00"/>
    <x v="5"/>
    <x v="2"/>
    <x v="0"/>
    <n v="83"/>
    <x v="3"/>
    <s v="Female"/>
    <x v="1"/>
    <n v="6.7"/>
    <n v="18300.400000000001"/>
    <n v="1"/>
    <n v="3.9"/>
    <n v="0.78"/>
  </r>
  <r>
    <s v="ENC100089"/>
    <s v="PT84902"/>
    <x v="2"/>
    <x v="1"/>
    <d v="2025-08-15T00:00:00"/>
    <d v="2025-08-17T00:00:00"/>
    <x v="0"/>
    <x v="0"/>
    <x v="7"/>
    <n v="78"/>
    <x v="3"/>
    <s v="Female"/>
    <x v="0"/>
    <n v="1.3"/>
    <n v="2482.52"/>
    <n v="0"/>
    <n v="3.3"/>
    <n v="0.84"/>
  </r>
  <r>
    <s v="ENC100090"/>
    <s v="PT49169"/>
    <x v="1"/>
    <x v="0"/>
    <d v="2025-03-27T00:00:00"/>
    <d v="2025-03-30T00:00:00"/>
    <x v="5"/>
    <x v="1"/>
    <x v="1"/>
    <n v="70"/>
    <x v="6"/>
    <s v="Male"/>
    <x v="0"/>
    <n v="2.2000000000000002"/>
    <n v="6991.05"/>
    <n v="1"/>
    <n v="2.8"/>
    <n v="0.85"/>
  </r>
  <r>
    <s v="ENC100091"/>
    <s v="PT82427"/>
    <x v="1"/>
    <x v="1"/>
    <d v="2025-11-10T00:00:00"/>
    <d v="2025-12-01T00:00:00"/>
    <x v="4"/>
    <x v="2"/>
    <x v="8"/>
    <n v="2"/>
    <x v="5"/>
    <s v="Male"/>
    <x v="1"/>
    <n v="21"/>
    <n v="88295.09"/>
    <n v="0"/>
    <n v="3.5"/>
    <n v="0.88"/>
  </r>
  <r>
    <s v="ENC100092"/>
    <s v="PT85751"/>
    <x v="2"/>
    <x v="2"/>
    <d v="2025-06-11T00:00:00"/>
    <d v="2025-06-14T00:00:00"/>
    <x v="0"/>
    <x v="2"/>
    <x v="0"/>
    <n v="11"/>
    <x v="5"/>
    <s v="Female"/>
    <x v="0"/>
    <n v="2.9"/>
    <n v="6670.96"/>
    <n v="0"/>
    <n v="3.1"/>
    <n v="0.73"/>
  </r>
  <r>
    <s v="ENC100093"/>
    <s v="PT44872"/>
    <x v="2"/>
    <x v="1"/>
    <d v="2025-01-02T00:00:00"/>
    <d v="2025-01-08T00:00:00"/>
    <x v="6"/>
    <x v="1"/>
    <x v="8"/>
    <n v="39"/>
    <x v="0"/>
    <s v="Female"/>
    <x v="1"/>
    <n v="5.2"/>
    <n v="12171.1"/>
    <n v="0"/>
    <n v="3.9"/>
    <n v="0.79"/>
  </r>
  <r>
    <s v="ENC100094"/>
    <s v="PT90826"/>
    <x v="3"/>
    <x v="3"/>
    <d v="2025-12-14T00:00:00"/>
    <d v="2025-12-19T00:00:00"/>
    <x v="6"/>
    <x v="1"/>
    <x v="5"/>
    <n v="56"/>
    <x v="1"/>
    <s v="Female"/>
    <x v="3"/>
    <n v="4.4000000000000004"/>
    <n v="9052.5499999999993"/>
    <n v="0"/>
    <n v="4.5999999999999996"/>
    <n v="0.84"/>
  </r>
  <r>
    <s v="ENC100095"/>
    <s v="PT35949"/>
    <x v="4"/>
    <x v="2"/>
    <d v="2025-07-07T00:00:00"/>
    <d v="2025-07-17T00:00:00"/>
    <x v="7"/>
    <x v="2"/>
    <x v="3"/>
    <n v="61"/>
    <x v="1"/>
    <s v="Male"/>
    <x v="1"/>
    <n v="9.3000000000000007"/>
    <n v="29217.32"/>
    <n v="0"/>
    <n v="4.8"/>
    <n v="0.79"/>
  </r>
  <r>
    <s v="ENC100096"/>
    <s v="PT31559"/>
    <x v="1"/>
    <x v="3"/>
    <d v="2025-04-06T00:00:00"/>
    <d v="2025-04-08T00:00:00"/>
    <x v="3"/>
    <x v="0"/>
    <x v="1"/>
    <n v="26"/>
    <x v="4"/>
    <s v="Female"/>
    <x v="0"/>
    <n v="1.2"/>
    <n v="2938.72"/>
    <n v="0"/>
    <n v="3.8"/>
    <n v="0.9"/>
  </r>
  <r>
    <s v="ENC100097"/>
    <s v="PT71423"/>
    <x v="0"/>
    <x v="1"/>
    <d v="2025-09-05T00:00:00"/>
    <d v="2025-09-12T00:00:00"/>
    <x v="8"/>
    <x v="2"/>
    <x v="3"/>
    <n v="10"/>
    <x v="5"/>
    <s v="Female"/>
    <x v="0"/>
    <n v="6.2"/>
    <n v="18513.43"/>
    <n v="0"/>
    <n v="4.5"/>
    <n v="0.79"/>
  </r>
  <r>
    <s v="ENC100098"/>
    <s v="PT67307"/>
    <x v="2"/>
    <x v="2"/>
    <d v="2025-07-13T00:00:00"/>
    <d v="2025-07-15T00:00:00"/>
    <x v="2"/>
    <x v="0"/>
    <x v="7"/>
    <n v="29"/>
    <x v="4"/>
    <s v="Male"/>
    <x v="0"/>
    <n v="1.5"/>
    <n v="3275.45"/>
    <n v="0"/>
    <n v="4.0999999999999996"/>
    <n v="0.75"/>
  </r>
  <r>
    <s v="ENC100099"/>
    <s v="PT22577"/>
    <x v="1"/>
    <x v="3"/>
    <d v="2025-01-11T00:00:00"/>
    <d v="2025-01-12T00:00:00"/>
    <x v="7"/>
    <x v="2"/>
    <x v="9"/>
    <n v="72"/>
    <x v="6"/>
    <s v="Male"/>
    <x v="1"/>
    <n v="0.8"/>
    <n v="2113.2600000000002"/>
    <n v="0"/>
    <n v="3.7"/>
    <n v="0.78"/>
  </r>
  <r>
    <s v="ENC100100"/>
    <s v="PT84945"/>
    <x v="0"/>
    <x v="0"/>
    <d v="2025-10-05T00:00:00"/>
    <d v="2025-10-07T00:00:00"/>
    <x v="8"/>
    <x v="2"/>
    <x v="3"/>
    <n v="89"/>
    <x v="3"/>
    <s v="Female"/>
    <x v="3"/>
    <n v="1.4"/>
    <n v="3144.84"/>
    <n v="0"/>
    <n v="2.7"/>
    <n v="0.84"/>
  </r>
  <r>
    <s v="ENC100101"/>
    <s v="PT27991"/>
    <x v="1"/>
    <x v="3"/>
    <d v="2025-05-27T00:00:00"/>
    <d v="2025-05-29T00:00:00"/>
    <x v="0"/>
    <x v="0"/>
    <x v="8"/>
    <n v="85"/>
    <x v="3"/>
    <s v="Female"/>
    <x v="0"/>
    <n v="1.6"/>
    <n v="3841.79"/>
    <n v="0"/>
    <n v="4.9000000000000004"/>
    <n v="0.8"/>
  </r>
  <r>
    <s v="ENC100102"/>
    <s v="PT82440"/>
    <x v="3"/>
    <x v="2"/>
    <d v="2025-09-13T00:00:00"/>
    <d v="2025-09-16T00:00:00"/>
    <x v="2"/>
    <x v="1"/>
    <x v="1"/>
    <n v="53"/>
    <x v="1"/>
    <s v="Female"/>
    <x v="1"/>
    <n v="2.1"/>
    <n v="5073.7299999999996"/>
    <n v="0"/>
    <n v="3.3"/>
    <n v="0.88"/>
  </r>
  <r>
    <s v="ENC100103"/>
    <s v="PT10662"/>
    <x v="3"/>
    <x v="0"/>
    <d v="2025-11-23T00:00:00"/>
    <d v="2025-11-26T00:00:00"/>
    <x v="8"/>
    <x v="0"/>
    <x v="7"/>
    <n v="8"/>
    <x v="5"/>
    <s v="Male"/>
    <x v="1"/>
    <n v="2.9"/>
    <n v="6750.73"/>
    <n v="0"/>
    <n v="4.7"/>
    <n v="0.77"/>
  </r>
  <r>
    <s v="ENC100104"/>
    <s v="PT81715"/>
    <x v="0"/>
    <x v="3"/>
    <d v="2025-08-11T00:00:00"/>
    <d v="2025-08-13T00:00:00"/>
    <x v="1"/>
    <x v="2"/>
    <x v="5"/>
    <n v="88"/>
    <x v="3"/>
    <s v="Male"/>
    <x v="0"/>
    <n v="1.8"/>
    <n v="6571.87"/>
    <n v="1"/>
    <n v="4.2"/>
    <n v="0.82"/>
  </r>
  <r>
    <s v="ENC100105"/>
    <s v="PT80822"/>
    <x v="3"/>
    <x v="0"/>
    <d v="2025-09-03T00:00:00"/>
    <d v="2025-09-04T00:00:00"/>
    <x v="9"/>
    <x v="2"/>
    <x v="6"/>
    <n v="13"/>
    <x v="2"/>
    <s v="Male"/>
    <x v="0"/>
    <n v="0.2"/>
    <n v="488.42"/>
    <n v="0"/>
    <n v="3.3"/>
    <n v="0.81"/>
  </r>
  <r>
    <s v="ENC100106"/>
    <s v="PT80232"/>
    <x v="3"/>
    <x v="1"/>
    <d v="2025-04-03T00:00:00"/>
    <d v="2025-04-07T00:00:00"/>
    <x v="4"/>
    <x v="1"/>
    <x v="7"/>
    <n v="24"/>
    <x v="4"/>
    <s v="Female"/>
    <x v="0"/>
    <n v="3.8"/>
    <n v="16949.21"/>
    <n v="0"/>
    <n v="4"/>
    <n v="0.87"/>
  </r>
  <r>
    <s v="ENC100107"/>
    <s v="PT69835"/>
    <x v="1"/>
    <x v="2"/>
    <d v="2025-03-28T00:00:00"/>
    <d v="2025-03-29T00:00:00"/>
    <x v="2"/>
    <x v="1"/>
    <x v="1"/>
    <n v="88"/>
    <x v="3"/>
    <s v="Female"/>
    <x v="1"/>
    <n v="0.7"/>
    <n v="1642.07"/>
    <n v="0"/>
    <n v="5"/>
    <n v="0.82"/>
  </r>
  <r>
    <s v="ENC100108"/>
    <s v="PT52440"/>
    <x v="4"/>
    <x v="1"/>
    <d v="2025-06-01T00:00:00"/>
    <d v="2025-06-02T00:00:00"/>
    <x v="3"/>
    <x v="2"/>
    <x v="5"/>
    <n v="45"/>
    <x v="0"/>
    <s v="Male"/>
    <x v="1"/>
    <n v="1"/>
    <n v="1716.29"/>
    <n v="0"/>
    <n v="4.5999999999999996"/>
    <n v="0.76"/>
  </r>
  <r>
    <s v="ENC100109"/>
    <s v="PT73464"/>
    <x v="2"/>
    <x v="0"/>
    <d v="2025-11-08T00:00:00"/>
    <d v="2025-11-11T00:00:00"/>
    <x v="9"/>
    <x v="0"/>
    <x v="1"/>
    <n v="18"/>
    <x v="4"/>
    <s v="Female"/>
    <x v="3"/>
    <n v="2.6"/>
    <n v="5443.65"/>
    <n v="0"/>
    <n v="3.6"/>
    <n v="0.73"/>
  </r>
  <r>
    <s v="ENC100110"/>
    <s v="PT34940"/>
    <x v="1"/>
    <x v="0"/>
    <d v="2025-07-11T00:00:00"/>
    <d v="2025-07-14T00:00:00"/>
    <x v="7"/>
    <x v="2"/>
    <x v="1"/>
    <n v="45"/>
    <x v="0"/>
    <s v="Male"/>
    <x v="3"/>
    <n v="3"/>
    <n v="8767.1200000000008"/>
    <n v="0"/>
    <n v="3.5"/>
    <n v="0.79"/>
  </r>
  <r>
    <s v="ENC100111"/>
    <s v="PT80264"/>
    <x v="4"/>
    <x v="1"/>
    <d v="2025-05-08T00:00:00"/>
    <d v="2025-05-09T00:00:00"/>
    <x v="9"/>
    <x v="2"/>
    <x v="3"/>
    <n v="7"/>
    <x v="5"/>
    <s v="Female"/>
    <x v="3"/>
    <n v="0.7"/>
    <n v="1663.47"/>
    <n v="0"/>
    <n v="4"/>
    <n v="0.81"/>
  </r>
  <r>
    <s v="ENC100112"/>
    <s v="PT60007"/>
    <x v="4"/>
    <x v="0"/>
    <d v="2025-10-12T00:00:00"/>
    <d v="2025-10-15T00:00:00"/>
    <x v="0"/>
    <x v="2"/>
    <x v="0"/>
    <n v="28"/>
    <x v="4"/>
    <s v="Female"/>
    <x v="2"/>
    <n v="2.1"/>
    <n v="4243.42"/>
    <n v="0"/>
    <n v="3.8"/>
    <n v="0.74"/>
  </r>
  <r>
    <s v="ENC100113"/>
    <s v="PT51301"/>
    <x v="3"/>
    <x v="3"/>
    <d v="2025-11-08T00:00:00"/>
    <d v="2025-11-14T00:00:00"/>
    <x v="3"/>
    <x v="2"/>
    <x v="7"/>
    <n v="86"/>
    <x v="3"/>
    <s v="Female"/>
    <x v="3"/>
    <n v="5.0999999999999996"/>
    <n v="8362.59"/>
    <n v="0"/>
    <n v="4.4000000000000004"/>
    <n v="0.83"/>
  </r>
  <r>
    <s v="ENC100114"/>
    <s v="PT55504"/>
    <x v="4"/>
    <x v="0"/>
    <d v="2025-11-26T00:00:00"/>
    <d v="2025-11-28T00:00:00"/>
    <x v="3"/>
    <x v="2"/>
    <x v="8"/>
    <n v="27"/>
    <x v="4"/>
    <s v="Female"/>
    <x v="3"/>
    <n v="1.5"/>
    <n v="2343.81"/>
    <n v="0"/>
    <n v="4.0999999999999996"/>
    <n v="0.79"/>
  </r>
  <r>
    <s v="ENC100115"/>
    <s v="PT61186"/>
    <x v="2"/>
    <x v="1"/>
    <d v="2025-04-20T00:00:00"/>
    <d v="2025-04-24T00:00:00"/>
    <x v="2"/>
    <x v="0"/>
    <x v="4"/>
    <n v="81"/>
    <x v="3"/>
    <s v="Male"/>
    <x v="3"/>
    <n v="3.9"/>
    <n v="7861.15"/>
    <n v="0"/>
    <n v="2.9"/>
    <n v="0.81"/>
  </r>
  <r>
    <s v="ENC100116"/>
    <s v="PT13353"/>
    <x v="4"/>
    <x v="2"/>
    <d v="2025-09-17T00:00:00"/>
    <d v="2025-09-19T00:00:00"/>
    <x v="0"/>
    <x v="2"/>
    <x v="9"/>
    <n v="49"/>
    <x v="0"/>
    <s v="Female"/>
    <x v="3"/>
    <n v="1.3"/>
    <n v="2462.54"/>
    <n v="0"/>
    <n v="4.2"/>
    <n v="0.78"/>
  </r>
  <r>
    <s v="ENC100117"/>
    <s v="PT22581"/>
    <x v="1"/>
    <x v="2"/>
    <d v="2025-08-04T00:00:00"/>
    <d v="2025-08-05T00:00:00"/>
    <x v="3"/>
    <x v="2"/>
    <x v="5"/>
    <n v="59"/>
    <x v="1"/>
    <s v="Male"/>
    <x v="3"/>
    <n v="0.5"/>
    <n v="744.47"/>
    <n v="0"/>
    <n v="3.6"/>
    <n v="0.81"/>
  </r>
  <r>
    <s v="ENC100118"/>
    <s v="PT32093"/>
    <x v="3"/>
    <x v="0"/>
    <d v="2025-06-13T00:00:00"/>
    <d v="2025-06-20T00:00:00"/>
    <x v="2"/>
    <x v="2"/>
    <x v="7"/>
    <n v="63"/>
    <x v="1"/>
    <s v="Male"/>
    <x v="2"/>
    <n v="6.1"/>
    <n v="11202.57"/>
    <n v="0"/>
    <n v="3.9"/>
    <n v="0.85"/>
  </r>
  <r>
    <s v="ENC100119"/>
    <s v="PT20307"/>
    <x v="1"/>
    <x v="0"/>
    <d v="2025-05-25T00:00:00"/>
    <d v="2025-05-26T00:00:00"/>
    <x v="1"/>
    <x v="2"/>
    <x v="0"/>
    <n v="50"/>
    <x v="1"/>
    <s v="Male"/>
    <x v="1"/>
    <n v="0.2"/>
    <n v="754.67"/>
    <n v="0"/>
    <n v="4"/>
    <n v="0.74"/>
  </r>
  <r>
    <s v="ENC100120"/>
    <s v="PT49564"/>
    <x v="1"/>
    <x v="1"/>
    <d v="2025-02-11T00:00:00"/>
    <d v="2025-02-13T00:00:00"/>
    <x v="5"/>
    <x v="2"/>
    <x v="0"/>
    <n v="3"/>
    <x v="5"/>
    <s v="Male"/>
    <x v="1"/>
    <n v="1.9"/>
    <n v="5062.63"/>
    <n v="0"/>
    <n v="4.5999999999999996"/>
    <n v="0.77"/>
  </r>
  <r>
    <s v="ENC100121"/>
    <s v="PT70155"/>
    <x v="4"/>
    <x v="1"/>
    <d v="2025-04-11T00:00:00"/>
    <d v="2025-04-21T00:00:00"/>
    <x v="5"/>
    <x v="0"/>
    <x v="1"/>
    <n v="83"/>
    <x v="3"/>
    <s v="Male"/>
    <x v="1"/>
    <n v="9.8000000000000007"/>
    <n v="25199.439999999999"/>
    <n v="1"/>
    <n v="4.3"/>
    <n v="0.76"/>
  </r>
  <r>
    <s v="ENC100122"/>
    <s v="PT68897"/>
    <x v="2"/>
    <x v="0"/>
    <d v="2025-07-20T00:00:00"/>
    <d v="2025-07-21T00:00:00"/>
    <x v="3"/>
    <x v="2"/>
    <x v="8"/>
    <n v="43"/>
    <x v="0"/>
    <s v="Male"/>
    <x v="3"/>
    <n v="0.9"/>
    <n v="1531.09"/>
    <n v="0"/>
    <n v="3.3"/>
    <n v="0.72"/>
  </r>
  <r>
    <s v="ENC100123"/>
    <s v="PT52398"/>
    <x v="4"/>
    <x v="2"/>
    <d v="2025-11-20T00:00:00"/>
    <d v="2025-11-21T00:00:00"/>
    <x v="2"/>
    <x v="0"/>
    <x v="7"/>
    <n v="59"/>
    <x v="1"/>
    <s v="Female"/>
    <x v="1"/>
    <n v="0.5"/>
    <n v="1197.5899999999999"/>
    <n v="0"/>
    <n v="3.9"/>
    <n v="0.72"/>
  </r>
  <r>
    <s v="ENC100124"/>
    <s v="PT86956"/>
    <x v="1"/>
    <x v="3"/>
    <d v="2025-11-13T00:00:00"/>
    <d v="2025-11-17T00:00:00"/>
    <x v="6"/>
    <x v="1"/>
    <x v="3"/>
    <n v="50"/>
    <x v="1"/>
    <s v="Male"/>
    <x v="3"/>
    <n v="3.4"/>
    <n v="7473.87"/>
    <n v="0"/>
    <n v="3.6"/>
    <n v="0.85"/>
  </r>
  <r>
    <s v="ENC100125"/>
    <s v="PT60870"/>
    <x v="4"/>
    <x v="0"/>
    <d v="2025-03-10T00:00:00"/>
    <d v="2025-03-13T00:00:00"/>
    <x v="1"/>
    <x v="2"/>
    <x v="8"/>
    <n v="59"/>
    <x v="1"/>
    <s v="Male"/>
    <x v="3"/>
    <n v="2.4"/>
    <n v="7588.28"/>
    <n v="1"/>
    <n v="2.9"/>
    <n v="0.79"/>
  </r>
  <r>
    <s v="ENC100126"/>
    <s v="PT17127"/>
    <x v="4"/>
    <x v="2"/>
    <d v="2025-09-05T00:00:00"/>
    <d v="2025-09-06T00:00:00"/>
    <x v="7"/>
    <x v="1"/>
    <x v="1"/>
    <n v="32"/>
    <x v="4"/>
    <s v="Female"/>
    <x v="2"/>
    <n v="0.6"/>
    <n v="1749.26"/>
    <n v="0"/>
    <n v="3.8"/>
    <n v="0.79"/>
  </r>
  <r>
    <s v="ENC100127"/>
    <s v="PT78849"/>
    <x v="1"/>
    <x v="0"/>
    <d v="2025-01-31T00:00:00"/>
    <d v="2025-02-03T00:00:00"/>
    <x v="0"/>
    <x v="1"/>
    <x v="3"/>
    <n v="76"/>
    <x v="3"/>
    <s v="Male"/>
    <x v="0"/>
    <n v="2.2999999999999998"/>
    <n v="5062.43"/>
    <n v="0"/>
    <n v="5"/>
    <n v="0.79"/>
  </r>
  <r>
    <s v="ENC100128"/>
    <s v="PT61713"/>
    <x v="0"/>
    <x v="1"/>
    <d v="2025-09-04T00:00:00"/>
    <d v="2025-09-07T00:00:00"/>
    <x v="6"/>
    <x v="0"/>
    <x v="5"/>
    <n v="20"/>
    <x v="4"/>
    <s v="Female"/>
    <x v="1"/>
    <n v="2.5"/>
    <n v="5878.01"/>
    <n v="0"/>
    <n v="2.9"/>
    <n v="0.8"/>
  </r>
  <r>
    <s v="ENC100129"/>
    <s v="PT67124"/>
    <x v="1"/>
    <x v="0"/>
    <d v="2025-05-05T00:00:00"/>
    <d v="2025-05-08T00:00:00"/>
    <x v="8"/>
    <x v="0"/>
    <x v="8"/>
    <n v="59"/>
    <x v="1"/>
    <s v="Male"/>
    <x v="3"/>
    <n v="2.9"/>
    <n v="6909.28"/>
    <n v="0"/>
    <n v="3.9"/>
    <n v="0.84"/>
  </r>
  <r>
    <s v="ENC100130"/>
    <s v="PT60883"/>
    <x v="4"/>
    <x v="1"/>
    <d v="2025-06-14T00:00:00"/>
    <d v="2025-06-18T00:00:00"/>
    <x v="2"/>
    <x v="0"/>
    <x v="9"/>
    <n v="52"/>
    <x v="1"/>
    <s v="Female"/>
    <x v="2"/>
    <n v="3.7"/>
    <n v="6720.95"/>
    <n v="0"/>
    <n v="3.9"/>
    <n v="0.77"/>
  </r>
  <r>
    <s v="ENC100131"/>
    <s v="PT59821"/>
    <x v="2"/>
    <x v="2"/>
    <d v="2025-09-19T00:00:00"/>
    <d v="2025-09-20T00:00:00"/>
    <x v="5"/>
    <x v="0"/>
    <x v="6"/>
    <n v="45"/>
    <x v="0"/>
    <s v="Male"/>
    <x v="3"/>
    <n v="1"/>
    <n v="2183.84"/>
    <n v="0"/>
    <n v="4.0999999999999996"/>
    <n v="0.77"/>
  </r>
  <r>
    <s v="ENC100132"/>
    <s v="PT18150"/>
    <x v="2"/>
    <x v="0"/>
    <d v="2025-06-05T00:00:00"/>
    <d v="2025-06-08T00:00:00"/>
    <x v="0"/>
    <x v="0"/>
    <x v="9"/>
    <n v="1"/>
    <x v="5"/>
    <s v="Female"/>
    <x v="1"/>
    <n v="2.2999999999999998"/>
    <n v="4483.12"/>
    <n v="0"/>
    <n v="3.3"/>
    <n v="0.72"/>
  </r>
  <r>
    <s v="ENC100133"/>
    <s v="PT60328"/>
    <x v="4"/>
    <x v="3"/>
    <d v="2025-10-22T00:00:00"/>
    <d v="2025-10-25T00:00:00"/>
    <x v="9"/>
    <x v="2"/>
    <x v="8"/>
    <n v="35"/>
    <x v="0"/>
    <s v="Male"/>
    <x v="1"/>
    <n v="2.4"/>
    <n v="5943.07"/>
    <n v="0"/>
    <n v="3"/>
    <n v="0.78"/>
  </r>
  <r>
    <s v="ENC100134"/>
    <s v="PT81541"/>
    <x v="4"/>
    <x v="0"/>
    <d v="2025-07-14T00:00:00"/>
    <d v="2025-07-19T00:00:00"/>
    <x v="9"/>
    <x v="1"/>
    <x v="5"/>
    <n v="4"/>
    <x v="5"/>
    <s v="Female"/>
    <x v="0"/>
    <n v="4.3"/>
    <n v="10332.85"/>
    <n v="0"/>
    <n v="3.1"/>
    <n v="0.83"/>
  </r>
  <r>
    <s v="ENC100135"/>
    <s v="PT37355"/>
    <x v="4"/>
    <x v="2"/>
    <d v="2025-12-31T00:00:00"/>
    <d v="2026-01-02T00:00:00"/>
    <x v="1"/>
    <x v="0"/>
    <x v="1"/>
    <n v="45"/>
    <x v="0"/>
    <s v="Male"/>
    <x v="2"/>
    <n v="1.6"/>
    <n v="5299.47"/>
    <n v="1"/>
    <n v="4.7"/>
    <n v="0.83"/>
  </r>
  <r>
    <s v="ENC100136"/>
    <s v="PT64254"/>
    <x v="3"/>
    <x v="3"/>
    <d v="2025-08-21T00:00:00"/>
    <d v="2025-08-28T00:00:00"/>
    <x v="8"/>
    <x v="0"/>
    <x v="8"/>
    <n v="62"/>
    <x v="1"/>
    <s v="Female"/>
    <x v="0"/>
    <n v="6.8"/>
    <n v="19980.88"/>
    <n v="0"/>
    <n v="3.3"/>
    <n v="0.89"/>
  </r>
  <r>
    <s v="ENC100137"/>
    <s v="PT12773"/>
    <x v="1"/>
    <x v="0"/>
    <d v="2025-04-19T00:00:00"/>
    <d v="2025-04-30T00:00:00"/>
    <x v="4"/>
    <x v="2"/>
    <x v="5"/>
    <n v="47"/>
    <x v="0"/>
    <s v="Male"/>
    <x v="3"/>
    <n v="10.1"/>
    <n v="38637.86"/>
    <n v="0"/>
    <n v="3.3"/>
    <n v="0.83"/>
  </r>
  <r>
    <s v="ENC100138"/>
    <s v="PT41274"/>
    <x v="1"/>
    <x v="1"/>
    <d v="2025-10-10T00:00:00"/>
    <d v="2025-10-13T00:00:00"/>
    <x v="1"/>
    <x v="2"/>
    <x v="5"/>
    <n v="68"/>
    <x v="6"/>
    <s v="Female"/>
    <x v="3"/>
    <n v="3"/>
    <n v="8344.57"/>
    <n v="1"/>
    <n v="5"/>
    <n v="0.82"/>
  </r>
  <r>
    <s v="ENC100139"/>
    <s v="PT49304"/>
    <x v="0"/>
    <x v="2"/>
    <d v="2025-05-29T00:00:00"/>
    <d v="2025-06-03T00:00:00"/>
    <x v="7"/>
    <x v="2"/>
    <x v="1"/>
    <n v="32"/>
    <x v="4"/>
    <s v="Female"/>
    <x v="1"/>
    <n v="4.4000000000000004"/>
    <n v="13214.26"/>
    <n v="1"/>
    <n v="3.5"/>
    <n v="0.78"/>
  </r>
  <r>
    <s v="ENC100140"/>
    <s v="PT98445"/>
    <x v="1"/>
    <x v="3"/>
    <d v="2025-07-14T00:00:00"/>
    <d v="2025-07-15T00:00:00"/>
    <x v="3"/>
    <x v="2"/>
    <x v="4"/>
    <n v="27"/>
    <x v="4"/>
    <s v="Female"/>
    <x v="0"/>
    <n v="0.2"/>
    <n v="311.3"/>
    <n v="0"/>
    <n v="3.9"/>
    <n v="0.75"/>
  </r>
  <r>
    <s v="ENC100141"/>
    <s v="PT29312"/>
    <x v="1"/>
    <x v="1"/>
    <d v="2025-02-19T00:00:00"/>
    <d v="2025-02-23T00:00:00"/>
    <x v="1"/>
    <x v="2"/>
    <x v="2"/>
    <n v="40"/>
    <x v="0"/>
    <s v="Male"/>
    <x v="0"/>
    <n v="3.3"/>
    <n v="10851.09"/>
    <n v="0"/>
    <n v="4.5"/>
    <n v="0.77"/>
  </r>
  <r>
    <s v="ENC100142"/>
    <s v="PT34889"/>
    <x v="1"/>
    <x v="2"/>
    <d v="2025-02-13T00:00:00"/>
    <d v="2025-02-20T00:00:00"/>
    <x v="5"/>
    <x v="2"/>
    <x v="6"/>
    <n v="20"/>
    <x v="4"/>
    <s v="Female"/>
    <x v="3"/>
    <n v="6.1"/>
    <n v="15542.66"/>
    <n v="1"/>
    <n v="4.5"/>
    <n v="0.81"/>
  </r>
  <r>
    <s v="ENC100143"/>
    <s v="PT46767"/>
    <x v="2"/>
    <x v="1"/>
    <d v="2025-07-29T00:00:00"/>
    <d v="2025-07-31T00:00:00"/>
    <x v="0"/>
    <x v="2"/>
    <x v="7"/>
    <n v="72"/>
    <x v="6"/>
    <s v="Male"/>
    <x v="1"/>
    <n v="1.6"/>
    <n v="3553.63"/>
    <n v="0"/>
    <n v="3.1"/>
    <n v="0.75"/>
  </r>
  <r>
    <s v="ENC100144"/>
    <s v="PT99338"/>
    <x v="2"/>
    <x v="0"/>
    <d v="2025-03-10T00:00:00"/>
    <d v="2025-03-15T00:00:00"/>
    <x v="9"/>
    <x v="2"/>
    <x v="6"/>
    <n v="73"/>
    <x v="6"/>
    <s v="Female"/>
    <x v="0"/>
    <n v="4.5999999999999996"/>
    <n v="11688.8"/>
    <n v="0"/>
    <n v="3.5"/>
    <n v="0.81"/>
  </r>
  <r>
    <s v="ENC100145"/>
    <s v="PT86805"/>
    <x v="2"/>
    <x v="3"/>
    <d v="2025-12-31T00:00:00"/>
    <d v="2026-01-08T00:00:00"/>
    <x v="4"/>
    <x v="2"/>
    <x v="4"/>
    <n v="37"/>
    <x v="0"/>
    <s v="Male"/>
    <x v="1"/>
    <n v="7.9"/>
    <n v="28147.98"/>
    <n v="0"/>
    <n v="3.8"/>
    <n v="0.8"/>
  </r>
  <r>
    <s v="ENC100146"/>
    <s v="PT13122"/>
    <x v="2"/>
    <x v="0"/>
    <d v="2025-11-09T00:00:00"/>
    <d v="2025-11-25T00:00:00"/>
    <x v="7"/>
    <x v="1"/>
    <x v="6"/>
    <n v="72"/>
    <x v="6"/>
    <s v="Female"/>
    <x v="0"/>
    <n v="15.1"/>
    <n v="42488.75"/>
    <n v="0"/>
    <n v="4.9000000000000004"/>
    <n v="0.72"/>
  </r>
  <r>
    <s v="ENC100147"/>
    <s v="PT31054"/>
    <x v="4"/>
    <x v="0"/>
    <d v="2025-09-13T00:00:00"/>
    <d v="2025-09-16T00:00:00"/>
    <x v="7"/>
    <x v="2"/>
    <x v="9"/>
    <n v="2"/>
    <x v="5"/>
    <s v="Female"/>
    <x v="3"/>
    <n v="2.4"/>
    <n v="6231.3"/>
    <n v="0"/>
    <n v="3.4"/>
    <n v="0.81"/>
  </r>
  <r>
    <s v="ENC100148"/>
    <s v="PT83949"/>
    <x v="3"/>
    <x v="1"/>
    <d v="2025-09-26T00:00:00"/>
    <d v="2025-10-03T00:00:00"/>
    <x v="7"/>
    <x v="2"/>
    <x v="5"/>
    <n v="14"/>
    <x v="2"/>
    <s v="Female"/>
    <x v="0"/>
    <n v="6.9"/>
    <n v="22926.05"/>
    <n v="0"/>
    <n v="3.6"/>
    <n v="0.82"/>
  </r>
  <r>
    <s v="ENC100149"/>
    <s v="PT15247"/>
    <x v="2"/>
    <x v="1"/>
    <d v="2025-08-06T00:00:00"/>
    <d v="2025-08-07T00:00:00"/>
    <x v="3"/>
    <x v="2"/>
    <x v="5"/>
    <n v="25"/>
    <x v="4"/>
    <s v="Female"/>
    <x v="0"/>
    <n v="0.3"/>
    <n v="551.69000000000005"/>
    <n v="0"/>
    <n v="4"/>
    <n v="0.78"/>
  </r>
  <r>
    <s v="ENC100150"/>
    <s v="PT87009"/>
    <x v="3"/>
    <x v="1"/>
    <d v="2025-01-23T00:00:00"/>
    <d v="2025-01-26T00:00:00"/>
    <x v="2"/>
    <x v="2"/>
    <x v="1"/>
    <n v="35"/>
    <x v="0"/>
    <s v="Female"/>
    <x v="0"/>
    <n v="2.4"/>
    <n v="6170.01"/>
    <n v="0"/>
    <n v="4.3"/>
    <n v="0.87"/>
  </r>
  <r>
    <s v="ENC100151"/>
    <s v="PT35324"/>
    <x v="2"/>
    <x v="1"/>
    <d v="2025-05-24T00:00:00"/>
    <d v="2025-05-29T00:00:00"/>
    <x v="1"/>
    <x v="2"/>
    <x v="9"/>
    <n v="21"/>
    <x v="4"/>
    <s v="Female"/>
    <x v="1"/>
    <n v="4.8"/>
    <n v="14077.81"/>
    <n v="0"/>
    <n v="4.3"/>
    <n v="0.8"/>
  </r>
  <r>
    <s v="ENC100152"/>
    <s v="PT92587"/>
    <x v="4"/>
    <x v="2"/>
    <d v="2025-06-30T00:00:00"/>
    <d v="2025-07-04T00:00:00"/>
    <x v="6"/>
    <x v="0"/>
    <x v="1"/>
    <n v="46"/>
    <x v="0"/>
    <s v="Female"/>
    <x v="1"/>
    <n v="3.9"/>
    <n v="10308.6"/>
    <n v="0"/>
    <n v="3.4"/>
    <n v="0.76"/>
  </r>
  <r>
    <s v="ENC100153"/>
    <s v="PT36423"/>
    <x v="4"/>
    <x v="3"/>
    <d v="2025-12-01T00:00:00"/>
    <d v="2025-12-03T00:00:00"/>
    <x v="6"/>
    <x v="1"/>
    <x v="7"/>
    <n v="72"/>
    <x v="6"/>
    <s v="Male"/>
    <x v="3"/>
    <n v="1.8"/>
    <n v="3315.83"/>
    <n v="0"/>
    <n v="3.6"/>
    <n v="0.82"/>
  </r>
  <r>
    <s v="ENC100154"/>
    <s v="PT49088"/>
    <x v="0"/>
    <x v="0"/>
    <d v="2025-03-22T00:00:00"/>
    <d v="2025-03-30T00:00:00"/>
    <x v="1"/>
    <x v="2"/>
    <x v="1"/>
    <n v="41"/>
    <x v="0"/>
    <s v="Female"/>
    <x v="1"/>
    <n v="7.5"/>
    <n v="28206.560000000001"/>
    <n v="0"/>
    <n v="3.8"/>
    <n v="0.73"/>
  </r>
  <r>
    <s v="ENC100155"/>
    <s v="PT69571"/>
    <x v="1"/>
    <x v="0"/>
    <d v="2025-07-01T00:00:00"/>
    <d v="2025-07-04T00:00:00"/>
    <x v="3"/>
    <x v="0"/>
    <x v="1"/>
    <n v="40"/>
    <x v="0"/>
    <s v="Male"/>
    <x v="0"/>
    <n v="2.4"/>
    <n v="4407.79"/>
    <n v="0"/>
    <n v="4.5"/>
    <n v="0.87"/>
  </r>
  <r>
    <s v="ENC100156"/>
    <s v="PT21365"/>
    <x v="0"/>
    <x v="3"/>
    <d v="2025-05-06T00:00:00"/>
    <d v="2025-05-08T00:00:00"/>
    <x v="0"/>
    <x v="2"/>
    <x v="4"/>
    <n v="5"/>
    <x v="5"/>
    <s v="Female"/>
    <x v="0"/>
    <n v="1.1000000000000001"/>
    <n v="2407.5500000000002"/>
    <n v="0"/>
    <n v="3.8"/>
    <n v="0.8"/>
  </r>
  <r>
    <s v="ENC100157"/>
    <s v="PT60132"/>
    <x v="1"/>
    <x v="1"/>
    <d v="2025-02-19T00:00:00"/>
    <d v="2025-02-23T00:00:00"/>
    <x v="5"/>
    <x v="2"/>
    <x v="1"/>
    <n v="25"/>
    <x v="4"/>
    <s v="Female"/>
    <x v="0"/>
    <n v="3.1"/>
    <n v="9170.2800000000007"/>
    <n v="0"/>
    <n v="3.9"/>
    <n v="0.82"/>
  </r>
  <r>
    <s v="ENC100158"/>
    <s v="PT55450"/>
    <x v="1"/>
    <x v="1"/>
    <d v="2025-02-07T00:00:00"/>
    <d v="2025-02-10T00:00:00"/>
    <x v="2"/>
    <x v="2"/>
    <x v="8"/>
    <n v="73"/>
    <x v="6"/>
    <s v="Female"/>
    <x v="2"/>
    <n v="2.2999999999999998"/>
    <n v="4602.04"/>
    <n v="0"/>
    <n v="3.3"/>
    <n v="0.74"/>
  </r>
  <r>
    <s v="ENC100159"/>
    <s v="PT80550"/>
    <x v="3"/>
    <x v="3"/>
    <d v="2025-05-14T00:00:00"/>
    <d v="2025-05-16T00:00:00"/>
    <x v="8"/>
    <x v="2"/>
    <x v="5"/>
    <n v="73"/>
    <x v="6"/>
    <s v="Female"/>
    <x v="0"/>
    <n v="2"/>
    <n v="5303.69"/>
    <n v="0"/>
    <n v="5"/>
    <n v="0.82"/>
  </r>
  <r>
    <s v="ENC100160"/>
    <s v="PT99648"/>
    <x v="2"/>
    <x v="0"/>
    <d v="2025-01-31T00:00:00"/>
    <d v="2025-02-07T00:00:00"/>
    <x v="2"/>
    <x v="0"/>
    <x v="1"/>
    <n v="9"/>
    <x v="5"/>
    <s v="Female"/>
    <x v="2"/>
    <n v="6.4"/>
    <n v="13678.25"/>
    <n v="0"/>
    <n v="4"/>
    <n v="0.8"/>
  </r>
  <r>
    <s v="ENC100161"/>
    <s v="PT69787"/>
    <x v="0"/>
    <x v="3"/>
    <d v="2025-01-25T00:00:00"/>
    <d v="2025-02-04T00:00:00"/>
    <x v="7"/>
    <x v="0"/>
    <x v="1"/>
    <n v="1"/>
    <x v="5"/>
    <s v="Male"/>
    <x v="0"/>
    <n v="9.6999999999999993"/>
    <n v="33784.93"/>
    <n v="1"/>
    <n v="4.3"/>
    <n v="0.78"/>
  </r>
  <r>
    <s v="ENC100162"/>
    <s v="PT46826"/>
    <x v="4"/>
    <x v="2"/>
    <d v="2025-05-09T00:00:00"/>
    <d v="2025-05-14T00:00:00"/>
    <x v="4"/>
    <x v="0"/>
    <x v="3"/>
    <n v="75"/>
    <x v="3"/>
    <s v="Male"/>
    <x v="0"/>
    <n v="4.2"/>
    <n v="21046.92"/>
    <n v="0"/>
    <n v="3.8"/>
    <n v="0.81"/>
  </r>
  <r>
    <s v="ENC100163"/>
    <s v="PT46574"/>
    <x v="0"/>
    <x v="2"/>
    <d v="2025-03-15T00:00:00"/>
    <d v="2025-03-17T00:00:00"/>
    <x v="3"/>
    <x v="2"/>
    <x v="1"/>
    <n v="15"/>
    <x v="2"/>
    <s v="Male"/>
    <x v="0"/>
    <n v="1.6"/>
    <n v="3588.92"/>
    <n v="0"/>
    <n v="3.8"/>
    <n v="0.8"/>
  </r>
  <r>
    <s v="ENC100164"/>
    <s v="PT47615"/>
    <x v="3"/>
    <x v="1"/>
    <d v="2025-07-22T00:00:00"/>
    <d v="2025-07-29T00:00:00"/>
    <x v="5"/>
    <x v="0"/>
    <x v="1"/>
    <n v="52"/>
    <x v="1"/>
    <s v="Female"/>
    <x v="0"/>
    <n v="6.8"/>
    <n v="21109.07"/>
    <n v="0"/>
    <n v="3"/>
    <n v="0.88"/>
  </r>
  <r>
    <s v="ENC100165"/>
    <s v="PT83261"/>
    <x v="2"/>
    <x v="1"/>
    <d v="2025-01-07T00:00:00"/>
    <d v="2025-01-10T00:00:00"/>
    <x v="0"/>
    <x v="2"/>
    <x v="2"/>
    <n v="75"/>
    <x v="3"/>
    <s v="Female"/>
    <x v="3"/>
    <n v="2.4"/>
    <n v="5295.4"/>
    <n v="0"/>
    <n v="2.6"/>
    <n v="0.76"/>
  </r>
  <r>
    <s v="ENC100166"/>
    <s v="PT38909"/>
    <x v="2"/>
    <x v="1"/>
    <d v="2025-04-21T00:00:00"/>
    <d v="2025-04-24T00:00:00"/>
    <x v="8"/>
    <x v="2"/>
    <x v="0"/>
    <n v="71"/>
    <x v="6"/>
    <s v="Male"/>
    <x v="1"/>
    <n v="2.4"/>
    <n v="6898.71"/>
    <n v="1"/>
    <n v="4.7"/>
    <n v="0.71"/>
  </r>
  <r>
    <s v="ENC100167"/>
    <s v="PT25027"/>
    <x v="0"/>
    <x v="2"/>
    <d v="2025-06-15T00:00:00"/>
    <d v="2025-06-16T00:00:00"/>
    <x v="3"/>
    <x v="2"/>
    <x v="8"/>
    <n v="50"/>
    <x v="1"/>
    <s v="Female"/>
    <x v="0"/>
    <n v="0.5"/>
    <n v="1055.78"/>
    <n v="0"/>
    <n v="3.7"/>
    <n v="0.8"/>
  </r>
  <r>
    <s v="ENC100168"/>
    <s v="PT40085"/>
    <x v="4"/>
    <x v="2"/>
    <d v="2025-12-18T00:00:00"/>
    <d v="2025-12-23T00:00:00"/>
    <x v="8"/>
    <x v="0"/>
    <x v="2"/>
    <n v="34"/>
    <x v="4"/>
    <s v="Female"/>
    <x v="1"/>
    <n v="4.8"/>
    <n v="12604.69"/>
    <n v="1"/>
    <n v="4"/>
    <n v="0.84"/>
  </r>
  <r>
    <s v="ENC100169"/>
    <s v="PT12044"/>
    <x v="2"/>
    <x v="2"/>
    <d v="2025-08-20T00:00:00"/>
    <d v="2025-08-21T00:00:00"/>
    <x v="6"/>
    <x v="1"/>
    <x v="6"/>
    <n v="70"/>
    <x v="6"/>
    <s v="Female"/>
    <x v="1"/>
    <n v="0.7"/>
    <n v="1583.38"/>
    <n v="0"/>
    <n v="3.2"/>
    <n v="0.77"/>
  </r>
  <r>
    <s v="ENC100170"/>
    <s v="PT19552"/>
    <x v="3"/>
    <x v="1"/>
    <d v="2025-11-18T00:00:00"/>
    <d v="2025-11-19T00:00:00"/>
    <x v="3"/>
    <x v="2"/>
    <x v="6"/>
    <n v="63"/>
    <x v="1"/>
    <s v="Female"/>
    <x v="2"/>
    <n v="0.8"/>
    <n v="1316.25"/>
    <n v="0"/>
    <n v="3.2"/>
    <n v="0.84"/>
  </r>
  <r>
    <s v="ENC100171"/>
    <s v="PT18104"/>
    <x v="0"/>
    <x v="2"/>
    <d v="2025-05-06T00:00:00"/>
    <d v="2025-05-08T00:00:00"/>
    <x v="9"/>
    <x v="0"/>
    <x v="2"/>
    <n v="76"/>
    <x v="3"/>
    <s v="Male"/>
    <x v="2"/>
    <n v="1.3"/>
    <n v="2776"/>
    <n v="0"/>
    <n v="4.5"/>
    <n v="0.89"/>
  </r>
  <r>
    <s v="ENC100172"/>
    <s v="PT79438"/>
    <x v="4"/>
    <x v="3"/>
    <d v="2025-06-14T00:00:00"/>
    <d v="2025-06-16T00:00:00"/>
    <x v="7"/>
    <x v="0"/>
    <x v="8"/>
    <n v="46"/>
    <x v="0"/>
    <s v="Female"/>
    <x v="1"/>
    <n v="1.1000000000000001"/>
    <n v="3305.98"/>
    <n v="0"/>
    <n v="4.9000000000000004"/>
    <n v="0.83"/>
  </r>
  <r>
    <s v="ENC100173"/>
    <s v="PT75011"/>
    <x v="0"/>
    <x v="2"/>
    <d v="2025-06-03T00:00:00"/>
    <d v="2025-06-06T00:00:00"/>
    <x v="1"/>
    <x v="0"/>
    <x v="7"/>
    <n v="85"/>
    <x v="3"/>
    <s v="Female"/>
    <x v="3"/>
    <n v="2.8"/>
    <n v="8145.22"/>
    <n v="0"/>
    <n v="3.5"/>
    <n v="0.83"/>
  </r>
  <r>
    <s v="ENC100174"/>
    <s v="PT72708"/>
    <x v="0"/>
    <x v="3"/>
    <d v="2025-11-20T00:00:00"/>
    <d v="2025-11-22T00:00:00"/>
    <x v="9"/>
    <x v="2"/>
    <x v="6"/>
    <n v="70"/>
    <x v="6"/>
    <s v="Male"/>
    <x v="3"/>
    <n v="1.8"/>
    <n v="4129.1400000000003"/>
    <n v="0"/>
    <n v="4.3"/>
    <n v="0.81"/>
  </r>
  <r>
    <s v="ENC100175"/>
    <s v="PT51568"/>
    <x v="3"/>
    <x v="1"/>
    <d v="2025-12-17T00:00:00"/>
    <d v="2025-12-18T00:00:00"/>
    <x v="3"/>
    <x v="0"/>
    <x v="0"/>
    <n v="5"/>
    <x v="5"/>
    <s v="Male"/>
    <x v="1"/>
    <n v="0.4"/>
    <n v="788.65"/>
    <n v="0"/>
    <n v="3.8"/>
    <n v="0.87"/>
  </r>
  <r>
    <s v="ENC100176"/>
    <s v="PT74534"/>
    <x v="2"/>
    <x v="1"/>
    <d v="2025-12-18T00:00:00"/>
    <d v="2025-12-31T00:00:00"/>
    <x v="4"/>
    <x v="0"/>
    <x v="3"/>
    <n v="26"/>
    <x v="4"/>
    <s v="Female"/>
    <x v="1"/>
    <n v="12.5"/>
    <n v="41058.79"/>
    <n v="0"/>
    <n v="3.5"/>
    <n v="0.78"/>
  </r>
  <r>
    <s v="ENC100177"/>
    <s v="PT24514"/>
    <x v="4"/>
    <x v="2"/>
    <d v="2025-10-02T00:00:00"/>
    <d v="2025-10-08T00:00:00"/>
    <x v="1"/>
    <x v="1"/>
    <x v="1"/>
    <n v="72"/>
    <x v="6"/>
    <s v="Female"/>
    <x v="0"/>
    <n v="5.4"/>
    <n v="21952.05"/>
    <n v="0"/>
    <n v="5"/>
    <n v="0.69"/>
  </r>
  <r>
    <s v="ENC100178"/>
    <s v="PT91055"/>
    <x v="4"/>
    <x v="0"/>
    <d v="2025-07-03T00:00:00"/>
    <d v="2025-07-09T00:00:00"/>
    <x v="4"/>
    <x v="2"/>
    <x v="4"/>
    <n v="10"/>
    <x v="5"/>
    <s v="Male"/>
    <x v="3"/>
    <n v="5.8"/>
    <n v="20507.919999999998"/>
    <n v="0"/>
    <n v="3.5"/>
    <n v="0.8"/>
  </r>
  <r>
    <s v="ENC100179"/>
    <s v="PT55093"/>
    <x v="0"/>
    <x v="0"/>
    <d v="2025-07-17T00:00:00"/>
    <d v="2025-07-25T00:00:00"/>
    <x v="7"/>
    <x v="1"/>
    <x v="7"/>
    <n v="64"/>
    <x v="1"/>
    <s v="Female"/>
    <x v="2"/>
    <n v="7.8"/>
    <n v="18580"/>
    <n v="0"/>
    <n v="4.4000000000000004"/>
    <n v="0.79"/>
  </r>
  <r>
    <s v="ENC100180"/>
    <s v="PT94423"/>
    <x v="1"/>
    <x v="0"/>
    <d v="2025-12-24T00:00:00"/>
    <d v="2026-01-03T00:00:00"/>
    <x v="7"/>
    <x v="2"/>
    <x v="7"/>
    <n v="30"/>
    <x v="4"/>
    <s v="Female"/>
    <x v="0"/>
    <n v="9.5"/>
    <n v="25937.03"/>
    <n v="0"/>
    <n v="3.9"/>
    <n v="0.8"/>
  </r>
  <r>
    <s v="ENC100181"/>
    <s v="PT23707"/>
    <x v="0"/>
    <x v="0"/>
    <d v="2025-04-14T00:00:00"/>
    <d v="2025-04-17T00:00:00"/>
    <x v="3"/>
    <x v="0"/>
    <x v="1"/>
    <n v="18"/>
    <x v="4"/>
    <s v="Female"/>
    <x v="3"/>
    <n v="2.2999999999999998"/>
    <n v="3970.56"/>
    <n v="0"/>
    <n v="3.7"/>
    <n v="0.79"/>
  </r>
  <r>
    <s v="ENC100182"/>
    <s v="PT54759"/>
    <x v="3"/>
    <x v="2"/>
    <d v="2025-05-07T00:00:00"/>
    <d v="2025-05-09T00:00:00"/>
    <x v="0"/>
    <x v="2"/>
    <x v="8"/>
    <n v="49"/>
    <x v="0"/>
    <s v="Female"/>
    <x v="2"/>
    <n v="1.1000000000000001"/>
    <n v="2025.11"/>
    <n v="0"/>
    <n v="4.7"/>
    <n v="0.78"/>
  </r>
  <r>
    <s v="ENC100183"/>
    <s v="PT72668"/>
    <x v="2"/>
    <x v="1"/>
    <d v="2025-11-24T00:00:00"/>
    <d v="2025-11-29T00:00:00"/>
    <x v="9"/>
    <x v="2"/>
    <x v="1"/>
    <n v="84"/>
    <x v="3"/>
    <s v="Male"/>
    <x v="0"/>
    <n v="4.0999999999999996"/>
    <n v="9938.8799999999992"/>
    <n v="0"/>
    <n v="4.0999999999999996"/>
    <n v="0.68"/>
  </r>
  <r>
    <s v="ENC100184"/>
    <s v="PT54605"/>
    <x v="1"/>
    <x v="1"/>
    <d v="2025-05-22T00:00:00"/>
    <d v="2025-05-24T00:00:00"/>
    <x v="9"/>
    <x v="2"/>
    <x v="8"/>
    <n v="81"/>
    <x v="3"/>
    <s v="Male"/>
    <x v="1"/>
    <n v="1.9"/>
    <n v="4149.71"/>
    <n v="0"/>
    <n v="3.8"/>
    <n v="0.87"/>
  </r>
  <r>
    <s v="ENC100185"/>
    <s v="PT50153"/>
    <x v="2"/>
    <x v="2"/>
    <d v="2025-03-27T00:00:00"/>
    <d v="2025-03-29T00:00:00"/>
    <x v="3"/>
    <x v="2"/>
    <x v="8"/>
    <n v="36"/>
    <x v="0"/>
    <s v="Male"/>
    <x v="2"/>
    <n v="1.2"/>
    <n v="2066.91"/>
    <n v="0"/>
    <n v="4.5"/>
    <n v="0.77"/>
  </r>
  <r>
    <s v="ENC100186"/>
    <s v="PT24959"/>
    <x v="2"/>
    <x v="3"/>
    <d v="2025-07-24T00:00:00"/>
    <d v="2025-07-26T00:00:00"/>
    <x v="2"/>
    <x v="2"/>
    <x v="5"/>
    <n v="0"/>
    <x v="5"/>
    <s v="Male"/>
    <x v="2"/>
    <n v="1.6"/>
    <n v="3617.11"/>
    <n v="0"/>
    <n v="4.5999999999999996"/>
    <n v="0.65"/>
  </r>
  <r>
    <s v="ENC100187"/>
    <s v="PT44291"/>
    <x v="4"/>
    <x v="1"/>
    <d v="2025-04-29T00:00:00"/>
    <d v="2025-05-02T00:00:00"/>
    <x v="6"/>
    <x v="2"/>
    <x v="1"/>
    <n v="80"/>
    <x v="3"/>
    <s v="Male"/>
    <x v="0"/>
    <n v="2.5"/>
    <n v="7161.14"/>
    <n v="1"/>
    <n v="4.5999999999999996"/>
    <n v="0.76"/>
  </r>
  <r>
    <s v="ENC100188"/>
    <s v="PT31488"/>
    <x v="2"/>
    <x v="1"/>
    <d v="2025-11-22T00:00:00"/>
    <d v="2025-11-29T00:00:00"/>
    <x v="1"/>
    <x v="2"/>
    <x v="7"/>
    <n v="81"/>
    <x v="3"/>
    <s v="Male"/>
    <x v="0"/>
    <n v="6.3"/>
    <n v="21970.53"/>
    <n v="0"/>
    <n v="1.6"/>
    <n v="0.79"/>
  </r>
  <r>
    <s v="ENC100189"/>
    <s v="PT37135"/>
    <x v="2"/>
    <x v="1"/>
    <d v="2025-11-28T00:00:00"/>
    <d v="2025-12-01T00:00:00"/>
    <x v="3"/>
    <x v="2"/>
    <x v="2"/>
    <n v="55"/>
    <x v="1"/>
    <s v="Male"/>
    <x v="1"/>
    <n v="3"/>
    <n v="5113.8900000000003"/>
    <n v="0"/>
    <n v="4"/>
    <n v="0.74"/>
  </r>
  <r>
    <s v="ENC100190"/>
    <s v="PT71532"/>
    <x v="3"/>
    <x v="1"/>
    <d v="2025-04-22T00:00:00"/>
    <d v="2025-04-24T00:00:00"/>
    <x v="9"/>
    <x v="0"/>
    <x v="2"/>
    <n v="57"/>
    <x v="1"/>
    <s v="Female"/>
    <x v="0"/>
    <n v="1.8"/>
    <n v="4383.3999999999996"/>
    <n v="0"/>
    <n v="4"/>
    <n v="0.89"/>
  </r>
  <r>
    <s v="ENC100191"/>
    <s v="PT66724"/>
    <x v="1"/>
    <x v="1"/>
    <d v="2025-07-13T00:00:00"/>
    <d v="2025-07-15T00:00:00"/>
    <x v="1"/>
    <x v="1"/>
    <x v="4"/>
    <n v="47"/>
    <x v="0"/>
    <s v="Female"/>
    <x v="0"/>
    <n v="1.4"/>
    <n v="4540.1899999999996"/>
    <n v="0"/>
    <n v="3.9"/>
    <n v="0.86"/>
  </r>
  <r>
    <s v="ENC100192"/>
    <s v="PT64647"/>
    <x v="1"/>
    <x v="1"/>
    <d v="2025-12-26T00:00:00"/>
    <d v="2025-12-29T00:00:00"/>
    <x v="3"/>
    <x v="0"/>
    <x v="5"/>
    <n v="1"/>
    <x v="5"/>
    <s v="Female"/>
    <x v="0"/>
    <n v="2.9"/>
    <n v="5142.3500000000004"/>
    <n v="0"/>
    <n v="4.0999999999999996"/>
    <n v="0.77"/>
  </r>
  <r>
    <s v="ENC100193"/>
    <s v="PT42562"/>
    <x v="0"/>
    <x v="3"/>
    <d v="2025-09-28T00:00:00"/>
    <d v="2025-09-29T00:00:00"/>
    <x v="3"/>
    <x v="2"/>
    <x v="8"/>
    <n v="14"/>
    <x v="2"/>
    <s v="Female"/>
    <x v="0"/>
    <n v="0.5"/>
    <n v="938.9"/>
    <n v="1"/>
    <n v="3.9"/>
    <n v="0.79"/>
  </r>
  <r>
    <s v="ENC100194"/>
    <s v="PT96371"/>
    <x v="1"/>
    <x v="2"/>
    <d v="2025-03-20T00:00:00"/>
    <d v="2025-03-21T00:00:00"/>
    <x v="1"/>
    <x v="2"/>
    <x v="6"/>
    <n v="13"/>
    <x v="2"/>
    <s v="Female"/>
    <x v="1"/>
    <n v="0.6"/>
    <n v="2022.13"/>
    <n v="0"/>
    <n v="4.3"/>
    <n v="0.8"/>
  </r>
  <r>
    <s v="ENC100195"/>
    <s v="PT17888"/>
    <x v="4"/>
    <x v="2"/>
    <d v="2025-08-04T00:00:00"/>
    <d v="2025-08-05T00:00:00"/>
    <x v="3"/>
    <x v="1"/>
    <x v="1"/>
    <n v="83"/>
    <x v="3"/>
    <s v="Female"/>
    <x v="1"/>
    <n v="0.6"/>
    <n v="1223.05"/>
    <n v="0"/>
    <n v="3.5"/>
    <n v="0.72"/>
  </r>
  <r>
    <s v="ENC100196"/>
    <s v="PT40832"/>
    <x v="3"/>
    <x v="0"/>
    <d v="2025-08-15T00:00:00"/>
    <d v="2025-08-20T00:00:00"/>
    <x v="0"/>
    <x v="2"/>
    <x v="1"/>
    <n v="4"/>
    <x v="5"/>
    <s v="Male"/>
    <x v="1"/>
    <n v="4.3"/>
    <n v="9456.3700000000008"/>
    <n v="0"/>
    <n v="4.8"/>
    <n v="0.78"/>
  </r>
  <r>
    <s v="ENC100197"/>
    <s v="PT20620"/>
    <x v="1"/>
    <x v="0"/>
    <d v="2025-08-27T00:00:00"/>
    <d v="2025-08-29T00:00:00"/>
    <x v="1"/>
    <x v="2"/>
    <x v="3"/>
    <n v="50"/>
    <x v="1"/>
    <s v="Female"/>
    <x v="3"/>
    <n v="1.7"/>
    <n v="4762.43"/>
    <n v="1"/>
    <n v="4.4000000000000004"/>
    <n v="0.79"/>
  </r>
  <r>
    <s v="ENC100198"/>
    <s v="PT40504"/>
    <x v="0"/>
    <x v="2"/>
    <d v="2025-01-10T00:00:00"/>
    <d v="2025-01-11T00:00:00"/>
    <x v="0"/>
    <x v="1"/>
    <x v="8"/>
    <n v="33"/>
    <x v="4"/>
    <s v="Female"/>
    <x v="0"/>
    <n v="0.6"/>
    <n v="1328.62"/>
    <n v="0"/>
    <n v="4.2"/>
    <n v="0.77"/>
  </r>
  <r>
    <s v="ENC100199"/>
    <s v="PT96569"/>
    <x v="3"/>
    <x v="3"/>
    <d v="2025-04-20T00:00:00"/>
    <d v="2025-04-25T00:00:00"/>
    <x v="7"/>
    <x v="1"/>
    <x v="6"/>
    <n v="0"/>
    <x v="5"/>
    <s v="Female"/>
    <x v="0"/>
    <n v="4.5"/>
    <n v="12659.96"/>
    <n v="0"/>
    <n v="4.2"/>
    <n v="0.85"/>
  </r>
  <r>
    <s v="ENC100200"/>
    <s v="PT42963"/>
    <x v="0"/>
    <x v="3"/>
    <d v="2025-11-08T00:00:00"/>
    <d v="2025-11-19T00:00:00"/>
    <x v="5"/>
    <x v="2"/>
    <x v="1"/>
    <n v="83"/>
    <x v="3"/>
    <s v="Female"/>
    <x v="0"/>
    <n v="10.6"/>
    <n v="32247.25"/>
    <n v="0"/>
    <n v="4.4000000000000004"/>
    <n v="0.84"/>
  </r>
  <r>
    <s v="ENC100201"/>
    <s v="PT91771"/>
    <x v="0"/>
    <x v="1"/>
    <d v="2025-03-30T00:00:00"/>
    <d v="2025-04-01T00:00:00"/>
    <x v="3"/>
    <x v="0"/>
    <x v="5"/>
    <n v="1"/>
    <x v="5"/>
    <s v="Male"/>
    <x v="0"/>
    <n v="1.3"/>
    <n v="2483.3200000000002"/>
    <n v="0"/>
    <n v="4.3"/>
    <n v="0.82"/>
  </r>
  <r>
    <s v="ENC100202"/>
    <s v="PT54555"/>
    <x v="0"/>
    <x v="0"/>
    <d v="2025-04-20T00:00:00"/>
    <d v="2025-04-21T00:00:00"/>
    <x v="9"/>
    <x v="2"/>
    <x v="9"/>
    <n v="77"/>
    <x v="3"/>
    <s v="Female"/>
    <x v="0"/>
    <n v="0.6"/>
    <n v="1350.11"/>
    <n v="1"/>
    <n v="3.8"/>
    <n v="0.83"/>
  </r>
  <r>
    <s v="ENC100203"/>
    <s v="PT72972"/>
    <x v="1"/>
    <x v="0"/>
    <d v="2025-04-28T00:00:00"/>
    <d v="2025-05-08T00:00:00"/>
    <x v="6"/>
    <x v="0"/>
    <x v="1"/>
    <n v="70"/>
    <x v="6"/>
    <s v="Female"/>
    <x v="0"/>
    <n v="9.4"/>
    <n v="25755.79"/>
    <n v="0"/>
    <n v="4.3"/>
    <n v="0.81"/>
  </r>
  <r>
    <s v="ENC100204"/>
    <s v="PT51167"/>
    <x v="1"/>
    <x v="3"/>
    <d v="2025-03-06T00:00:00"/>
    <d v="2025-03-11T00:00:00"/>
    <x v="8"/>
    <x v="2"/>
    <x v="2"/>
    <n v="72"/>
    <x v="6"/>
    <s v="Female"/>
    <x v="0"/>
    <n v="4.0999999999999996"/>
    <n v="11566.31"/>
    <n v="0"/>
    <n v="4"/>
    <n v="0.84"/>
  </r>
  <r>
    <s v="ENC100205"/>
    <s v="PT33928"/>
    <x v="2"/>
    <x v="1"/>
    <d v="2025-02-26T00:00:00"/>
    <d v="2025-03-04T00:00:00"/>
    <x v="6"/>
    <x v="2"/>
    <x v="0"/>
    <n v="14"/>
    <x v="2"/>
    <s v="Male"/>
    <x v="0"/>
    <n v="5.0999999999999996"/>
    <n v="14739.99"/>
    <n v="1"/>
    <n v="5"/>
    <n v="0.74"/>
  </r>
  <r>
    <s v="ENC100206"/>
    <s v="PT78779"/>
    <x v="4"/>
    <x v="2"/>
    <d v="2025-05-07T00:00:00"/>
    <d v="2025-05-08T00:00:00"/>
    <x v="9"/>
    <x v="0"/>
    <x v="9"/>
    <n v="80"/>
    <x v="3"/>
    <s v="Male"/>
    <x v="1"/>
    <n v="0.4"/>
    <n v="773.36"/>
    <n v="0"/>
    <n v="4.5999999999999996"/>
    <n v="0.76"/>
  </r>
  <r>
    <s v="ENC100207"/>
    <s v="PT97224"/>
    <x v="4"/>
    <x v="3"/>
    <d v="2025-11-16T00:00:00"/>
    <d v="2025-11-20T00:00:00"/>
    <x v="3"/>
    <x v="2"/>
    <x v="5"/>
    <n v="54"/>
    <x v="1"/>
    <s v="Female"/>
    <x v="1"/>
    <n v="3.6"/>
    <n v="6140.47"/>
    <n v="0"/>
    <n v="3.3"/>
    <n v="0.86"/>
  </r>
  <r>
    <s v="ENC100208"/>
    <s v="PT33716"/>
    <x v="1"/>
    <x v="3"/>
    <d v="2025-01-01T00:00:00"/>
    <d v="2025-01-04T00:00:00"/>
    <x v="1"/>
    <x v="0"/>
    <x v="5"/>
    <n v="36"/>
    <x v="0"/>
    <s v="Female"/>
    <x v="2"/>
    <n v="2.2000000000000002"/>
    <n v="6427.41"/>
    <n v="0"/>
    <n v="5"/>
    <n v="0.73"/>
  </r>
  <r>
    <s v="ENC100209"/>
    <s v="PT80086"/>
    <x v="3"/>
    <x v="1"/>
    <d v="2025-04-14T00:00:00"/>
    <d v="2025-04-15T00:00:00"/>
    <x v="2"/>
    <x v="2"/>
    <x v="0"/>
    <n v="61"/>
    <x v="1"/>
    <s v="Male"/>
    <x v="3"/>
    <n v="0.6"/>
    <n v="1543.8"/>
    <n v="0"/>
    <n v="2.6"/>
    <n v="0.77"/>
  </r>
  <r>
    <s v="ENC100210"/>
    <s v="PT33502"/>
    <x v="1"/>
    <x v="3"/>
    <d v="2025-01-23T00:00:00"/>
    <d v="2025-01-27T00:00:00"/>
    <x v="1"/>
    <x v="1"/>
    <x v="1"/>
    <n v="31"/>
    <x v="4"/>
    <s v="Male"/>
    <x v="1"/>
    <n v="3.8"/>
    <n v="12390.32"/>
    <n v="0"/>
    <n v="4.3"/>
    <n v="0.84"/>
  </r>
  <r>
    <s v="ENC100211"/>
    <s v="PT74519"/>
    <x v="2"/>
    <x v="3"/>
    <d v="2025-07-24T00:00:00"/>
    <d v="2025-07-28T00:00:00"/>
    <x v="9"/>
    <x v="0"/>
    <x v="6"/>
    <n v="25"/>
    <x v="4"/>
    <s v="Female"/>
    <x v="0"/>
    <n v="3.9"/>
    <n v="9927.2000000000007"/>
    <n v="0"/>
    <n v="3.5"/>
    <n v="0.74"/>
  </r>
  <r>
    <s v="ENC100212"/>
    <s v="PT81009"/>
    <x v="4"/>
    <x v="1"/>
    <d v="2025-04-02T00:00:00"/>
    <d v="2025-04-08T00:00:00"/>
    <x v="1"/>
    <x v="2"/>
    <x v="1"/>
    <n v="26"/>
    <x v="4"/>
    <s v="Female"/>
    <x v="1"/>
    <n v="5.2"/>
    <n v="18549.849999999999"/>
    <n v="0"/>
    <n v="5"/>
    <n v="0.72"/>
  </r>
  <r>
    <s v="ENC100213"/>
    <s v="PT50442"/>
    <x v="0"/>
    <x v="3"/>
    <d v="2025-10-17T00:00:00"/>
    <d v="2025-10-20T00:00:00"/>
    <x v="9"/>
    <x v="0"/>
    <x v="5"/>
    <n v="51"/>
    <x v="1"/>
    <s v="Female"/>
    <x v="0"/>
    <n v="3"/>
    <n v="7063.12"/>
    <n v="0"/>
    <n v="4.0999999999999996"/>
    <n v="0.76"/>
  </r>
  <r>
    <s v="ENC100214"/>
    <s v="PT76322"/>
    <x v="4"/>
    <x v="3"/>
    <d v="2025-08-02T00:00:00"/>
    <d v="2025-08-04T00:00:00"/>
    <x v="3"/>
    <x v="2"/>
    <x v="1"/>
    <n v="54"/>
    <x v="1"/>
    <s v="Female"/>
    <x v="1"/>
    <n v="1.5"/>
    <n v="3070.7"/>
    <n v="0"/>
    <n v="3.2"/>
    <n v="0.74"/>
  </r>
  <r>
    <s v="ENC100215"/>
    <s v="PT34501"/>
    <x v="1"/>
    <x v="2"/>
    <d v="2025-10-14T00:00:00"/>
    <d v="2025-10-18T00:00:00"/>
    <x v="2"/>
    <x v="2"/>
    <x v="8"/>
    <n v="21"/>
    <x v="4"/>
    <s v="Male"/>
    <x v="0"/>
    <n v="3.1"/>
    <n v="8073.98"/>
    <n v="0"/>
    <n v="3.7"/>
    <n v="0.86"/>
  </r>
  <r>
    <s v="ENC100216"/>
    <s v="PT17132"/>
    <x v="0"/>
    <x v="1"/>
    <d v="2025-08-20T00:00:00"/>
    <d v="2025-08-21T00:00:00"/>
    <x v="0"/>
    <x v="2"/>
    <x v="3"/>
    <n v="22"/>
    <x v="4"/>
    <s v="Male"/>
    <x v="1"/>
    <n v="0.4"/>
    <n v="954.22"/>
    <n v="0"/>
    <n v="3.5"/>
    <n v="0.85"/>
  </r>
  <r>
    <s v="ENC100217"/>
    <s v="PT18675"/>
    <x v="2"/>
    <x v="2"/>
    <d v="2025-06-10T00:00:00"/>
    <d v="2025-06-12T00:00:00"/>
    <x v="0"/>
    <x v="1"/>
    <x v="3"/>
    <n v="86"/>
    <x v="3"/>
    <s v="Male"/>
    <x v="0"/>
    <n v="1.6"/>
    <n v="3831.55"/>
    <n v="0"/>
    <n v="3.7"/>
    <n v="0.82"/>
  </r>
  <r>
    <s v="ENC100218"/>
    <s v="PT50231"/>
    <x v="1"/>
    <x v="0"/>
    <d v="2025-11-11T00:00:00"/>
    <d v="2025-11-14T00:00:00"/>
    <x v="1"/>
    <x v="0"/>
    <x v="6"/>
    <n v="46"/>
    <x v="0"/>
    <s v="Male"/>
    <x v="1"/>
    <n v="2.2999999999999998"/>
    <n v="8625.4"/>
    <n v="0"/>
    <n v="3.7"/>
    <n v="0.76"/>
  </r>
  <r>
    <s v="ENC100219"/>
    <s v="PT91233"/>
    <x v="0"/>
    <x v="1"/>
    <d v="2025-06-23T00:00:00"/>
    <d v="2025-06-29T00:00:00"/>
    <x v="9"/>
    <x v="1"/>
    <x v="0"/>
    <n v="78"/>
    <x v="3"/>
    <s v="Female"/>
    <x v="3"/>
    <n v="5.2"/>
    <n v="11807.95"/>
    <n v="0"/>
    <n v="3.4"/>
    <n v="0.75"/>
  </r>
  <r>
    <s v="ENC100220"/>
    <s v="PT21481"/>
    <x v="0"/>
    <x v="1"/>
    <d v="2025-12-13T00:00:00"/>
    <d v="2025-12-19T00:00:00"/>
    <x v="2"/>
    <x v="1"/>
    <x v="7"/>
    <n v="30"/>
    <x v="4"/>
    <s v="Male"/>
    <x v="3"/>
    <n v="5.7"/>
    <n v="12910.37"/>
    <n v="0"/>
    <n v="4.0999999999999996"/>
    <n v="0.74"/>
  </r>
  <r>
    <s v="ENC100221"/>
    <s v="PT51019"/>
    <x v="1"/>
    <x v="1"/>
    <d v="2025-12-30T00:00:00"/>
    <d v="2026-01-02T00:00:00"/>
    <x v="5"/>
    <x v="1"/>
    <x v="4"/>
    <n v="26"/>
    <x v="4"/>
    <s v="Female"/>
    <x v="1"/>
    <n v="2.2999999999999998"/>
    <n v="6007.67"/>
    <n v="0"/>
    <n v="4.0999999999999996"/>
    <n v="0.87"/>
  </r>
  <r>
    <s v="ENC100222"/>
    <s v="PT73362"/>
    <x v="0"/>
    <x v="1"/>
    <d v="2025-08-03T00:00:00"/>
    <d v="2025-08-10T00:00:00"/>
    <x v="5"/>
    <x v="2"/>
    <x v="7"/>
    <n v="25"/>
    <x v="4"/>
    <s v="Female"/>
    <x v="1"/>
    <n v="6.3"/>
    <n v="17515.62"/>
    <n v="0"/>
    <n v="3.3"/>
    <n v="0.82"/>
  </r>
  <r>
    <s v="ENC100223"/>
    <s v="PT28212"/>
    <x v="1"/>
    <x v="0"/>
    <d v="2025-09-04T00:00:00"/>
    <d v="2025-09-08T00:00:00"/>
    <x v="7"/>
    <x v="1"/>
    <x v="6"/>
    <n v="48"/>
    <x v="0"/>
    <s v="Male"/>
    <x v="0"/>
    <n v="3.9"/>
    <n v="12084.47"/>
    <n v="0"/>
    <n v="2.9"/>
    <n v="0.82"/>
  </r>
  <r>
    <s v="ENC100224"/>
    <s v="PT74944"/>
    <x v="0"/>
    <x v="3"/>
    <d v="2025-04-04T00:00:00"/>
    <d v="2025-04-05T00:00:00"/>
    <x v="7"/>
    <x v="0"/>
    <x v="5"/>
    <n v="70"/>
    <x v="6"/>
    <s v="Female"/>
    <x v="3"/>
    <n v="0.7"/>
    <n v="2051.7600000000002"/>
    <n v="1"/>
    <n v="4.0999999999999996"/>
    <n v="0.81"/>
  </r>
  <r>
    <s v="ENC100225"/>
    <s v="PT37535"/>
    <x v="1"/>
    <x v="1"/>
    <d v="2025-10-25T00:00:00"/>
    <d v="2025-10-26T00:00:00"/>
    <x v="7"/>
    <x v="2"/>
    <x v="6"/>
    <n v="45"/>
    <x v="0"/>
    <s v="Male"/>
    <x v="1"/>
    <n v="0.3"/>
    <n v="988.5"/>
    <n v="0"/>
    <n v="4.2"/>
    <n v="0.82"/>
  </r>
  <r>
    <s v="ENC100226"/>
    <s v="PT82778"/>
    <x v="0"/>
    <x v="2"/>
    <d v="2025-09-03T00:00:00"/>
    <d v="2025-09-05T00:00:00"/>
    <x v="3"/>
    <x v="0"/>
    <x v="0"/>
    <n v="26"/>
    <x v="4"/>
    <s v="Male"/>
    <x v="0"/>
    <n v="1.5"/>
    <n v="2908.85"/>
    <n v="1"/>
    <n v="4.0999999999999996"/>
    <n v="0.76"/>
  </r>
  <r>
    <s v="ENC100227"/>
    <s v="PT62129"/>
    <x v="4"/>
    <x v="1"/>
    <d v="2025-11-26T00:00:00"/>
    <d v="2025-11-27T00:00:00"/>
    <x v="3"/>
    <x v="2"/>
    <x v="8"/>
    <n v="87"/>
    <x v="3"/>
    <s v="Male"/>
    <x v="0"/>
    <n v="0.4"/>
    <n v="767.44"/>
    <n v="0"/>
    <n v="4"/>
    <n v="0.8"/>
  </r>
  <r>
    <s v="ENC100228"/>
    <s v="PT59221"/>
    <x v="0"/>
    <x v="3"/>
    <d v="2025-04-08T00:00:00"/>
    <d v="2025-04-10T00:00:00"/>
    <x v="2"/>
    <x v="2"/>
    <x v="6"/>
    <n v="52"/>
    <x v="1"/>
    <s v="Male"/>
    <x v="2"/>
    <n v="1.1000000000000001"/>
    <n v="1806.91"/>
    <n v="0"/>
    <n v="4.8"/>
    <n v="0.79"/>
  </r>
  <r>
    <s v="ENC100229"/>
    <s v="PT25909"/>
    <x v="0"/>
    <x v="2"/>
    <d v="2025-10-15T00:00:00"/>
    <d v="2025-10-17T00:00:00"/>
    <x v="5"/>
    <x v="2"/>
    <x v="2"/>
    <n v="35"/>
    <x v="0"/>
    <s v="Female"/>
    <x v="1"/>
    <n v="1.9"/>
    <n v="4937.9799999999996"/>
    <n v="0"/>
    <n v="4.5"/>
    <n v="0.75"/>
  </r>
  <r>
    <s v="ENC100230"/>
    <s v="PT51688"/>
    <x v="3"/>
    <x v="2"/>
    <d v="2025-06-21T00:00:00"/>
    <d v="2025-06-25T00:00:00"/>
    <x v="9"/>
    <x v="2"/>
    <x v="2"/>
    <n v="0"/>
    <x v="5"/>
    <s v="Female"/>
    <x v="1"/>
    <n v="3.6"/>
    <n v="7557.6"/>
    <n v="0"/>
    <n v="5"/>
    <n v="0.86"/>
  </r>
  <r>
    <s v="ENC100231"/>
    <s v="PT87094"/>
    <x v="0"/>
    <x v="3"/>
    <d v="2025-03-09T00:00:00"/>
    <d v="2025-03-22T00:00:00"/>
    <x v="4"/>
    <x v="2"/>
    <x v="4"/>
    <n v="51"/>
    <x v="1"/>
    <s v="Male"/>
    <x v="1"/>
    <n v="12.2"/>
    <n v="45886.55"/>
    <n v="0"/>
    <n v="5"/>
    <n v="0.78"/>
  </r>
  <r>
    <s v="ENC100232"/>
    <s v="PT11757"/>
    <x v="3"/>
    <x v="3"/>
    <d v="2025-03-04T00:00:00"/>
    <d v="2025-03-06T00:00:00"/>
    <x v="3"/>
    <x v="1"/>
    <x v="2"/>
    <n v="56"/>
    <x v="1"/>
    <s v="Male"/>
    <x v="0"/>
    <n v="2"/>
    <n v="4664.1099999999997"/>
    <n v="0"/>
    <n v="2.6"/>
    <n v="0.85"/>
  </r>
  <r>
    <s v="ENC100233"/>
    <s v="PT78265"/>
    <x v="4"/>
    <x v="1"/>
    <d v="2025-07-25T00:00:00"/>
    <d v="2025-07-26T00:00:00"/>
    <x v="3"/>
    <x v="0"/>
    <x v="3"/>
    <n v="84"/>
    <x v="3"/>
    <s v="Male"/>
    <x v="1"/>
    <n v="0.2"/>
    <n v="418.89"/>
    <n v="0"/>
    <n v="2.4"/>
    <n v="0.78"/>
  </r>
  <r>
    <s v="ENC100234"/>
    <s v="PT54348"/>
    <x v="4"/>
    <x v="1"/>
    <d v="2025-04-27T00:00:00"/>
    <d v="2025-04-29T00:00:00"/>
    <x v="8"/>
    <x v="2"/>
    <x v="6"/>
    <n v="20"/>
    <x v="4"/>
    <s v="Female"/>
    <x v="0"/>
    <n v="1.7"/>
    <n v="4145.67"/>
    <n v="0"/>
    <n v="3.9"/>
    <n v="0.82"/>
  </r>
  <r>
    <s v="ENC100235"/>
    <s v="PT74750"/>
    <x v="1"/>
    <x v="0"/>
    <d v="2025-02-07T00:00:00"/>
    <d v="2025-02-08T00:00:00"/>
    <x v="9"/>
    <x v="2"/>
    <x v="1"/>
    <n v="14"/>
    <x v="2"/>
    <s v="Female"/>
    <x v="1"/>
    <n v="1"/>
    <n v="2502.19"/>
    <n v="0"/>
    <n v="4.2"/>
    <n v="0.83"/>
  </r>
  <r>
    <s v="ENC100236"/>
    <s v="PT69696"/>
    <x v="0"/>
    <x v="1"/>
    <d v="2025-06-05T00:00:00"/>
    <d v="2025-06-11T00:00:00"/>
    <x v="8"/>
    <x v="2"/>
    <x v="7"/>
    <n v="90"/>
    <x v="3"/>
    <s v="Female"/>
    <x v="1"/>
    <n v="5.2"/>
    <n v="13377.24"/>
    <n v="0"/>
    <n v="3.9"/>
    <n v="0.76"/>
  </r>
  <r>
    <s v="ENC100237"/>
    <s v="PT48887"/>
    <x v="2"/>
    <x v="0"/>
    <d v="2025-08-27T00:00:00"/>
    <d v="2025-08-29T00:00:00"/>
    <x v="5"/>
    <x v="2"/>
    <x v="1"/>
    <n v="50"/>
    <x v="1"/>
    <s v="Male"/>
    <x v="0"/>
    <n v="1.9"/>
    <n v="5590.29"/>
    <n v="0"/>
    <n v="4.3"/>
    <n v="0.76"/>
  </r>
  <r>
    <s v="ENC100238"/>
    <s v="PT37779"/>
    <x v="3"/>
    <x v="1"/>
    <d v="2025-04-27T00:00:00"/>
    <d v="2025-04-29T00:00:00"/>
    <x v="9"/>
    <x v="0"/>
    <x v="7"/>
    <n v="2"/>
    <x v="5"/>
    <s v="Male"/>
    <x v="3"/>
    <n v="1.7"/>
    <n v="3489.88"/>
    <n v="0"/>
    <n v="3.7"/>
    <n v="0.85"/>
  </r>
  <r>
    <s v="ENC100239"/>
    <s v="PT66457"/>
    <x v="0"/>
    <x v="2"/>
    <d v="2025-12-15T00:00:00"/>
    <d v="2025-12-19T00:00:00"/>
    <x v="9"/>
    <x v="2"/>
    <x v="9"/>
    <n v="9"/>
    <x v="5"/>
    <s v="Male"/>
    <x v="0"/>
    <n v="3.8"/>
    <n v="8932.9699999999993"/>
    <n v="0"/>
    <n v="3.5"/>
    <n v="0.82"/>
  </r>
  <r>
    <s v="ENC100240"/>
    <s v="PT22620"/>
    <x v="2"/>
    <x v="2"/>
    <d v="2025-10-12T00:00:00"/>
    <d v="2025-10-15T00:00:00"/>
    <x v="8"/>
    <x v="0"/>
    <x v="1"/>
    <n v="43"/>
    <x v="0"/>
    <s v="Female"/>
    <x v="1"/>
    <n v="3"/>
    <n v="7249.24"/>
    <n v="0"/>
    <n v="3.6"/>
    <n v="0.79"/>
  </r>
  <r>
    <s v="ENC100241"/>
    <s v="PT62568"/>
    <x v="1"/>
    <x v="2"/>
    <d v="2025-07-07T00:00:00"/>
    <d v="2025-07-09T00:00:00"/>
    <x v="3"/>
    <x v="0"/>
    <x v="1"/>
    <n v="56"/>
    <x v="1"/>
    <s v="Female"/>
    <x v="1"/>
    <n v="1.2"/>
    <n v="2064.23"/>
    <n v="1"/>
    <n v="3.6"/>
    <n v="0.8"/>
  </r>
  <r>
    <s v="ENC100242"/>
    <s v="PT18522"/>
    <x v="1"/>
    <x v="3"/>
    <d v="2025-12-08T00:00:00"/>
    <d v="2025-12-09T00:00:00"/>
    <x v="3"/>
    <x v="0"/>
    <x v="8"/>
    <n v="22"/>
    <x v="4"/>
    <s v="Female"/>
    <x v="1"/>
    <n v="0.8"/>
    <n v="1466.27"/>
    <n v="0"/>
    <n v="4.2"/>
    <n v="0.85"/>
  </r>
  <r>
    <s v="ENC100243"/>
    <s v="PT68485"/>
    <x v="3"/>
    <x v="1"/>
    <d v="2025-06-08T00:00:00"/>
    <d v="2025-06-10T00:00:00"/>
    <x v="3"/>
    <x v="1"/>
    <x v="0"/>
    <n v="33"/>
    <x v="4"/>
    <s v="Female"/>
    <x v="1"/>
    <n v="1.9"/>
    <n v="3782.95"/>
    <n v="0"/>
    <n v="3.4"/>
    <n v="0.77"/>
  </r>
  <r>
    <s v="ENC100244"/>
    <s v="PT66586"/>
    <x v="1"/>
    <x v="1"/>
    <d v="2025-02-20T00:00:00"/>
    <d v="2025-02-27T00:00:00"/>
    <x v="8"/>
    <x v="2"/>
    <x v="1"/>
    <n v="66"/>
    <x v="6"/>
    <s v="Female"/>
    <x v="2"/>
    <n v="6.8"/>
    <n v="15877.27"/>
    <n v="0"/>
    <n v="3.7"/>
    <n v="0.82"/>
  </r>
  <r>
    <s v="ENC100245"/>
    <s v="PT17599"/>
    <x v="1"/>
    <x v="3"/>
    <d v="2025-01-14T00:00:00"/>
    <d v="2025-01-17T00:00:00"/>
    <x v="0"/>
    <x v="1"/>
    <x v="7"/>
    <n v="88"/>
    <x v="3"/>
    <s v="Male"/>
    <x v="1"/>
    <n v="2.8"/>
    <n v="5120.88"/>
    <n v="0"/>
    <n v="4.2"/>
    <n v="0.81"/>
  </r>
  <r>
    <s v="ENC100246"/>
    <s v="PT78173"/>
    <x v="3"/>
    <x v="3"/>
    <d v="2025-12-09T00:00:00"/>
    <d v="2025-12-16T00:00:00"/>
    <x v="1"/>
    <x v="0"/>
    <x v="1"/>
    <n v="44"/>
    <x v="0"/>
    <s v="Female"/>
    <x v="3"/>
    <n v="6.5"/>
    <n v="20353.240000000002"/>
    <n v="0"/>
    <n v="3.8"/>
    <n v="0.9"/>
  </r>
  <r>
    <s v="ENC100247"/>
    <s v="PT47422"/>
    <x v="3"/>
    <x v="0"/>
    <d v="2025-12-17T00:00:00"/>
    <d v="2025-12-26T00:00:00"/>
    <x v="0"/>
    <x v="0"/>
    <x v="4"/>
    <n v="37"/>
    <x v="0"/>
    <s v="Female"/>
    <x v="1"/>
    <n v="8.9"/>
    <n v="18241.650000000001"/>
    <n v="1"/>
    <n v="4.4000000000000004"/>
    <n v="0.83"/>
  </r>
  <r>
    <s v="ENC100248"/>
    <s v="PT80818"/>
    <x v="2"/>
    <x v="0"/>
    <d v="2025-09-27T00:00:00"/>
    <d v="2025-10-06T00:00:00"/>
    <x v="4"/>
    <x v="0"/>
    <x v="1"/>
    <n v="32"/>
    <x v="4"/>
    <s v="Male"/>
    <x v="0"/>
    <n v="8.8000000000000007"/>
    <n v="41141.910000000003"/>
    <n v="0"/>
    <n v="3"/>
    <n v="0.77"/>
  </r>
  <r>
    <s v="ENC100249"/>
    <s v="PT13745"/>
    <x v="4"/>
    <x v="0"/>
    <d v="2025-02-07T00:00:00"/>
    <d v="2025-02-10T00:00:00"/>
    <x v="8"/>
    <x v="0"/>
    <x v="7"/>
    <n v="12"/>
    <x v="5"/>
    <s v="Male"/>
    <x v="0"/>
    <n v="2.8"/>
    <n v="8225.08"/>
    <n v="0"/>
    <n v="3.2"/>
    <n v="0.71"/>
  </r>
  <r>
    <s v="ENC100250"/>
    <s v="PT26150"/>
    <x v="3"/>
    <x v="1"/>
    <d v="2025-04-18T00:00:00"/>
    <d v="2025-04-23T00:00:00"/>
    <x v="1"/>
    <x v="1"/>
    <x v="1"/>
    <n v="4"/>
    <x v="5"/>
    <s v="Female"/>
    <x v="1"/>
    <n v="4.2"/>
    <n v="13219.83"/>
    <n v="0"/>
    <n v="4.0999999999999996"/>
    <n v="0.83"/>
  </r>
  <r>
    <s v="ENC100251"/>
    <s v="PT54458"/>
    <x v="1"/>
    <x v="0"/>
    <d v="2025-01-15T00:00:00"/>
    <d v="2025-01-28T00:00:00"/>
    <x v="4"/>
    <x v="2"/>
    <x v="0"/>
    <n v="75"/>
    <x v="3"/>
    <s v="Female"/>
    <x v="0"/>
    <n v="13"/>
    <n v="65423.33"/>
    <n v="0"/>
    <n v="3.8"/>
    <n v="0.79"/>
  </r>
  <r>
    <s v="ENC100252"/>
    <s v="PT26940"/>
    <x v="0"/>
    <x v="0"/>
    <d v="2025-01-19T00:00:00"/>
    <d v="2025-01-22T00:00:00"/>
    <x v="1"/>
    <x v="0"/>
    <x v="6"/>
    <n v="3"/>
    <x v="5"/>
    <s v="Male"/>
    <x v="0"/>
    <n v="2.2000000000000002"/>
    <n v="7250.89"/>
    <n v="0"/>
    <n v="3.4"/>
    <n v="0.9"/>
  </r>
  <r>
    <s v="ENC100253"/>
    <s v="PT39687"/>
    <x v="4"/>
    <x v="3"/>
    <d v="2025-03-31T00:00:00"/>
    <d v="2025-04-02T00:00:00"/>
    <x v="9"/>
    <x v="0"/>
    <x v="1"/>
    <n v="74"/>
    <x v="6"/>
    <s v="Male"/>
    <x v="0"/>
    <n v="1.3"/>
    <n v="3506.32"/>
    <n v="0"/>
    <n v="4.7"/>
    <n v="0.75"/>
  </r>
  <r>
    <s v="ENC100254"/>
    <s v="PT69453"/>
    <x v="3"/>
    <x v="2"/>
    <d v="2025-07-28T00:00:00"/>
    <d v="2025-08-01T00:00:00"/>
    <x v="6"/>
    <x v="2"/>
    <x v="4"/>
    <n v="22"/>
    <x v="4"/>
    <s v="Male"/>
    <x v="1"/>
    <n v="3.3"/>
    <n v="6766.95"/>
    <n v="0"/>
    <n v="5"/>
    <n v="0.84"/>
  </r>
  <r>
    <s v="ENC100255"/>
    <s v="PT23007"/>
    <x v="3"/>
    <x v="3"/>
    <d v="2025-01-24T00:00:00"/>
    <d v="2025-01-25T00:00:00"/>
    <x v="3"/>
    <x v="1"/>
    <x v="8"/>
    <n v="63"/>
    <x v="1"/>
    <s v="Female"/>
    <x v="0"/>
    <n v="0.9"/>
    <n v="2019.37"/>
    <n v="0"/>
    <n v="3.3"/>
    <n v="0.85"/>
  </r>
  <r>
    <s v="ENC100256"/>
    <s v="PT70992"/>
    <x v="2"/>
    <x v="3"/>
    <d v="2025-12-26T00:00:00"/>
    <d v="2025-12-28T00:00:00"/>
    <x v="8"/>
    <x v="2"/>
    <x v="6"/>
    <n v="86"/>
    <x v="3"/>
    <s v="Female"/>
    <x v="3"/>
    <n v="1.4"/>
    <n v="2936.17"/>
    <n v="0"/>
    <n v="4.8"/>
    <n v="0.69"/>
  </r>
  <r>
    <s v="ENC100257"/>
    <s v="PT19306"/>
    <x v="1"/>
    <x v="2"/>
    <d v="2025-06-16T00:00:00"/>
    <d v="2025-06-21T00:00:00"/>
    <x v="7"/>
    <x v="0"/>
    <x v="6"/>
    <n v="68"/>
    <x v="6"/>
    <s v="Male"/>
    <x v="1"/>
    <n v="4.5"/>
    <n v="15134.71"/>
    <n v="0"/>
    <n v="2.5"/>
    <n v="0.8"/>
  </r>
  <r>
    <s v="ENC100258"/>
    <s v="PT25766"/>
    <x v="0"/>
    <x v="1"/>
    <d v="2025-04-07T00:00:00"/>
    <d v="2025-04-13T00:00:00"/>
    <x v="9"/>
    <x v="2"/>
    <x v="6"/>
    <n v="66"/>
    <x v="6"/>
    <s v="Female"/>
    <x v="1"/>
    <n v="5.7"/>
    <n v="13016.88"/>
    <n v="0"/>
    <n v="4.5"/>
    <n v="0.82"/>
  </r>
  <r>
    <s v="ENC100259"/>
    <s v="PT62887"/>
    <x v="4"/>
    <x v="3"/>
    <d v="2025-07-08T00:00:00"/>
    <d v="2025-07-15T00:00:00"/>
    <x v="7"/>
    <x v="2"/>
    <x v="2"/>
    <n v="24"/>
    <x v="4"/>
    <s v="Female"/>
    <x v="0"/>
    <n v="6.2"/>
    <n v="20393.11"/>
    <n v="0"/>
    <n v="3.4"/>
    <n v="0.78"/>
  </r>
  <r>
    <s v="ENC100260"/>
    <s v="PT81412"/>
    <x v="3"/>
    <x v="0"/>
    <d v="2025-10-16T00:00:00"/>
    <d v="2025-10-17T00:00:00"/>
    <x v="2"/>
    <x v="0"/>
    <x v="1"/>
    <n v="54"/>
    <x v="1"/>
    <s v="Male"/>
    <x v="1"/>
    <n v="0.9"/>
    <n v="2282.5500000000002"/>
    <n v="0"/>
    <n v="4.5"/>
    <n v="0.75"/>
  </r>
  <r>
    <s v="ENC100261"/>
    <s v="PT25353"/>
    <x v="1"/>
    <x v="3"/>
    <d v="2025-04-25T00:00:00"/>
    <d v="2025-04-29T00:00:00"/>
    <x v="0"/>
    <x v="2"/>
    <x v="1"/>
    <n v="58"/>
    <x v="1"/>
    <s v="Female"/>
    <x v="0"/>
    <n v="3.2"/>
    <n v="8042.81"/>
    <n v="0"/>
    <n v="3.3"/>
    <n v="0.8"/>
  </r>
  <r>
    <s v="ENC100262"/>
    <s v="PT36999"/>
    <x v="1"/>
    <x v="1"/>
    <d v="2025-01-18T00:00:00"/>
    <d v="2025-01-21T00:00:00"/>
    <x v="8"/>
    <x v="2"/>
    <x v="8"/>
    <n v="38"/>
    <x v="0"/>
    <s v="Male"/>
    <x v="1"/>
    <n v="2.6"/>
    <n v="6393.21"/>
    <n v="0"/>
    <n v="3.9"/>
    <n v="0.86"/>
  </r>
  <r>
    <s v="ENC100263"/>
    <s v="PT93259"/>
    <x v="2"/>
    <x v="2"/>
    <d v="2025-01-19T00:00:00"/>
    <d v="2025-01-29T00:00:00"/>
    <x v="6"/>
    <x v="2"/>
    <x v="1"/>
    <n v="3"/>
    <x v="5"/>
    <s v="Male"/>
    <x v="0"/>
    <n v="10"/>
    <n v="28170.43"/>
    <n v="0"/>
    <n v="3.2"/>
    <n v="0.77"/>
  </r>
  <r>
    <s v="ENC100264"/>
    <s v="PT99070"/>
    <x v="0"/>
    <x v="2"/>
    <d v="2025-11-07T00:00:00"/>
    <d v="2025-11-16T00:00:00"/>
    <x v="4"/>
    <x v="2"/>
    <x v="7"/>
    <n v="83"/>
    <x v="3"/>
    <s v="Female"/>
    <x v="2"/>
    <n v="8.6"/>
    <n v="35288.81"/>
    <n v="0"/>
    <n v="3.5"/>
    <n v="0.85"/>
  </r>
  <r>
    <s v="ENC100265"/>
    <s v="PT62294"/>
    <x v="3"/>
    <x v="1"/>
    <d v="2025-02-10T00:00:00"/>
    <d v="2025-02-12T00:00:00"/>
    <x v="2"/>
    <x v="0"/>
    <x v="3"/>
    <n v="17"/>
    <x v="2"/>
    <s v="Male"/>
    <x v="0"/>
    <n v="1.6"/>
    <n v="3597.15"/>
    <n v="0"/>
    <n v="5"/>
    <n v="0.8"/>
  </r>
  <r>
    <s v="ENC100266"/>
    <s v="PT50232"/>
    <x v="1"/>
    <x v="1"/>
    <d v="2025-08-20T00:00:00"/>
    <d v="2025-08-27T00:00:00"/>
    <x v="7"/>
    <x v="1"/>
    <x v="6"/>
    <n v="88"/>
    <x v="3"/>
    <s v="Female"/>
    <x v="1"/>
    <n v="7"/>
    <n v="24210.22"/>
    <n v="0"/>
    <n v="3.8"/>
    <n v="0.87"/>
  </r>
  <r>
    <s v="ENC100267"/>
    <s v="PT41217"/>
    <x v="3"/>
    <x v="1"/>
    <d v="2025-05-21T00:00:00"/>
    <d v="2025-05-25T00:00:00"/>
    <x v="8"/>
    <x v="2"/>
    <x v="8"/>
    <n v="84"/>
    <x v="3"/>
    <s v="Male"/>
    <x v="0"/>
    <n v="3.8"/>
    <n v="10999.65"/>
    <n v="0"/>
    <n v="5"/>
    <n v="0.84"/>
  </r>
  <r>
    <s v="ENC100268"/>
    <s v="PT65120"/>
    <x v="1"/>
    <x v="2"/>
    <d v="2025-10-11T00:00:00"/>
    <d v="2025-10-18T00:00:00"/>
    <x v="2"/>
    <x v="0"/>
    <x v="8"/>
    <n v="1"/>
    <x v="5"/>
    <s v="Male"/>
    <x v="1"/>
    <n v="6.3"/>
    <n v="13438.51"/>
    <n v="0"/>
    <n v="3.7"/>
    <n v="0.88"/>
  </r>
  <r>
    <s v="ENC100269"/>
    <s v="PT63181"/>
    <x v="1"/>
    <x v="3"/>
    <d v="2025-01-23T00:00:00"/>
    <d v="2025-01-26T00:00:00"/>
    <x v="8"/>
    <x v="2"/>
    <x v="3"/>
    <n v="67"/>
    <x v="6"/>
    <s v="Male"/>
    <x v="1"/>
    <n v="2.1"/>
    <n v="5186.42"/>
    <n v="0"/>
    <n v="4.8"/>
    <n v="0.82"/>
  </r>
  <r>
    <s v="ENC100270"/>
    <s v="PT36527"/>
    <x v="0"/>
    <x v="1"/>
    <d v="2025-11-24T00:00:00"/>
    <d v="2025-11-27T00:00:00"/>
    <x v="9"/>
    <x v="0"/>
    <x v="8"/>
    <n v="57"/>
    <x v="1"/>
    <s v="Female"/>
    <x v="0"/>
    <n v="3"/>
    <n v="7318.89"/>
    <n v="0"/>
    <n v="2.9"/>
    <n v="0.72"/>
  </r>
  <r>
    <s v="ENC100271"/>
    <s v="PT12052"/>
    <x v="4"/>
    <x v="2"/>
    <d v="2025-09-12T00:00:00"/>
    <d v="2025-09-13T00:00:00"/>
    <x v="8"/>
    <x v="2"/>
    <x v="8"/>
    <n v="20"/>
    <x v="4"/>
    <s v="Male"/>
    <x v="0"/>
    <n v="0.7"/>
    <n v="1658.14"/>
    <n v="0"/>
    <n v="3.7"/>
    <n v="0.81"/>
  </r>
  <r>
    <s v="ENC100272"/>
    <s v="PT23634"/>
    <x v="0"/>
    <x v="0"/>
    <d v="2025-06-13T00:00:00"/>
    <d v="2025-06-15T00:00:00"/>
    <x v="3"/>
    <x v="2"/>
    <x v="3"/>
    <n v="73"/>
    <x v="6"/>
    <s v="Male"/>
    <x v="0"/>
    <n v="1.1000000000000001"/>
    <n v="2105.65"/>
    <n v="1"/>
    <n v="3.4"/>
    <n v="0.78"/>
  </r>
  <r>
    <s v="ENC100273"/>
    <s v="PT96269"/>
    <x v="1"/>
    <x v="0"/>
    <d v="2025-03-17T00:00:00"/>
    <d v="2025-03-19T00:00:00"/>
    <x v="5"/>
    <x v="2"/>
    <x v="3"/>
    <n v="10"/>
    <x v="5"/>
    <s v="Male"/>
    <x v="0"/>
    <n v="1.3"/>
    <n v="3779.79"/>
    <n v="0"/>
    <n v="4.8"/>
    <n v="0.8"/>
  </r>
  <r>
    <s v="ENC100274"/>
    <s v="PT47633"/>
    <x v="1"/>
    <x v="0"/>
    <d v="2025-12-23T00:00:00"/>
    <d v="2025-12-27T00:00:00"/>
    <x v="5"/>
    <x v="0"/>
    <x v="7"/>
    <n v="22"/>
    <x v="4"/>
    <s v="Male"/>
    <x v="2"/>
    <n v="3.8"/>
    <n v="7971.4"/>
    <n v="0"/>
    <n v="4"/>
    <n v="0.76"/>
  </r>
  <r>
    <s v="ENC100275"/>
    <s v="PT53406"/>
    <x v="2"/>
    <x v="3"/>
    <d v="2025-04-21T00:00:00"/>
    <d v="2025-04-26T00:00:00"/>
    <x v="5"/>
    <x v="2"/>
    <x v="1"/>
    <n v="86"/>
    <x v="3"/>
    <s v="Female"/>
    <x v="0"/>
    <n v="4.9000000000000004"/>
    <n v="15704.1"/>
    <n v="0"/>
    <n v="2.6"/>
    <n v="0.81"/>
  </r>
  <r>
    <s v="ENC100276"/>
    <s v="PT52039"/>
    <x v="1"/>
    <x v="0"/>
    <d v="2025-06-29T00:00:00"/>
    <d v="2025-07-06T00:00:00"/>
    <x v="7"/>
    <x v="2"/>
    <x v="3"/>
    <n v="67"/>
    <x v="6"/>
    <s v="Male"/>
    <x v="0"/>
    <n v="6.4"/>
    <n v="20750.37"/>
    <n v="0"/>
    <n v="3.1"/>
    <n v="0.8"/>
  </r>
  <r>
    <s v="ENC100277"/>
    <s v="PT80445"/>
    <x v="2"/>
    <x v="1"/>
    <d v="2025-05-24T00:00:00"/>
    <d v="2025-05-26T00:00:00"/>
    <x v="9"/>
    <x v="0"/>
    <x v="1"/>
    <n v="10"/>
    <x v="5"/>
    <s v="Female"/>
    <x v="2"/>
    <n v="1.3"/>
    <n v="2701.7"/>
    <n v="0"/>
    <n v="3.3"/>
    <n v="0.81"/>
  </r>
  <r>
    <s v="ENC100278"/>
    <s v="PT15846"/>
    <x v="2"/>
    <x v="0"/>
    <d v="2025-03-26T00:00:00"/>
    <d v="2025-03-30T00:00:00"/>
    <x v="5"/>
    <x v="0"/>
    <x v="8"/>
    <n v="13"/>
    <x v="2"/>
    <s v="Female"/>
    <x v="0"/>
    <n v="3.7"/>
    <n v="10508.39"/>
    <n v="0"/>
    <n v="4.5"/>
    <n v="0.73"/>
  </r>
  <r>
    <s v="ENC100279"/>
    <s v="PT17445"/>
    <x v="1"/>
    <x v="2"/>
    <d v="2025-06-02T00:00:00"/>
    <d v="2025-06-11T00:00:00"/>
    <x v="5"/>
    <x v="2"/>
    <x v="5"/>
    <n v="23"/>
    <x v="4"/>
    <s v="Male"/>
    <x v="0"/>
    <n v="8.1"/>
    <n v="23390.95"/>
    <n v="0"/>
    <n v="4.2"/>
    <n v="0.78"/>
  </r>
  <r>
    <s v="ENC100280"/>
    <s v="PT34825"/>
    <x v="2"/>
    <x v="0"/>
    <d v="2025-02-25T00:00:00"/>
    <d v="2025-03-10T00:00:00"/>
    <x v="7"/>
    <x v="0"/>
    <x v="1"/>
    <n v="6"/>
    <x v="5"/>
    <s v="Male"/>
    <x v="1"/>
    <n v="12.4"/>
    <n v="38974.49"/>
    <n v="0"/>
    <n v="3.5"/>
    <n v="0.8"/>
  </r>
  <r>
    <s v="ENC100281"/>
    <s v="PT53798"/>
    <x v="4"/>
    <x v="2"/>
    <d v="2025-01-01T00:00:00"/>
    <d v="2025-01-03T00:00:00"/>
    <x v="3"/>
    <x v="1"/>
    <x v="6"/>
    <n v="16"/>
    <x v="2"/>
    <s v="Male"/>
    <x v="3"/>
    <n v="1.1000000000000001"/>
    <n v="1743.37"/>
    <n v="0"/>
    <n v="3.4"/>
    <n v="0.78"/>
  </r>
  <r>
    <s v="ENC100282"/>
    <s v="PT70400"/>
    <x v="4"/>
    <x v="3"/>
    <d v="2025-04-16T00:00:00"/>
    <d v="2025-04-29T00:00:00"/>
    <x v="4"/>
    <x v="2"/>
    <x v="0"/>
    <n v="52"/>
    <x v="1"/>
    <s v="Female"/>
    <x v="1"/>
    <n v="13"/>
    <n v="60520.35"/>
    <n v="0"/>
    <n v="4"/>
    <n v="0.78"/>
  </r>
  <r>
    <s v="ENC100283"/>
    <s v="PT54163"/>
    <x v="1"/>
    <x v="3"/>
    <d v="2025-02-10T00:00:00"/>
    <d v="2025-02-12T00:00:00"/>
    <x v="8"/>
    <x v="0"/>
    <x v="2"/>
    <n v="0"/>
    <x v="5"/>
    <s v="Female"/>
    <x v="1"/>
    <n v="1.4"/>
    <n v="3540.05"/>
    <n v="0"/>
    <n v="3.2"/>
    <n v="0.77"/>
  </r>
  <r>
    <s v="ENC100284"/>
    <s v="PT49704"/>
    <x v="3"/>
    <x v="1"/>
    <d v="2025-06-01T00:00:00"/>
    <d v="2025-06-06T00:00:00"/>
    <x v="4"/>
    <x v="2"/>
    <x v="7"/>
    <n v="26"/>
    <x v="4"/>
    <s v="Female"/>
    <x v="2"/>
    <n v="4.3"/>
    <n v="13951.65"/>
    <n v="0"/>
    <n v="4.0999999999999996"/>
    <n v="0.82"/>
  </r>
  <r>
    <s v="ENC100285"/>
    <s v="PT94403"/>
    <x v="0"/>
    <x v="2"/>
    <d v="2025-11-11T00:00:00"/>
    <d v="2025-11-13T00:00:00"/>
    <x v="3"/>
    <x v="0"/>
    <x v="0"/>
    <n v="28"/>
    <x v="4"/>
    <s v="Female"/>
    <x v="0"/>
    <n v="1.1000000000000001"/>
    <n v="2282.48"/>
    <n v="0"/>
    <n v="3.9"/>
    <n v="0.82"/>
  </r>
  <r>
    <s v="ENC100286"/>
    <s v="PT24491"/>
    <x v="0"/>
    <x v="1"/>
    <d v="2025-03-01T00:00:00"/>
    <d v="2025-03-04T00:00:00"/>
    <x v="9"/>
    <x v="2"/>
    <x v="9"/>
    <n v="88"/>
    <x v="3"/>
    <s v="Male"/>
    <x v="2"/>
    <n v="2.1"/>
    <n v="4295.78"/>
    <n v="0"/>
    <n v="3.7"/>
    <n v="0.75"/>
  </r>
  <r>
    <s v="ENC100287"/>
    <s v="PT61454"/>
    <x v="3"/>
    <x v="1"/>
    <d v="2025-01-01T00:00:00"/>
    <d v="2025-01-04T00:00:00"/>
    <x v="5"/>
    <x v="0"/>
    <x v="0"/>
    <n v="88"/>
    <x v="3"/>
    <s v="Male"/>
    <x v="3"/>
    <n v="2.9"/>
    <n v="8502.82"/>
    <n v="0"/>
    <n v="4.0999999999999996"/>
    <n v="0.82"/>
  </r>
  <r>
    <s v="ENC100288"/>
    <s v="PT58801"/>
    <x v="4"/>
    <x v="1"/>
    <d v="2025-02-10T00:00:00"/>
    <d v="2025-02-18T00:00:00"/>
    <x v="1"/>
    <x v="2"/>
    <x v="7"/>
    <n v="76"/>
    <x v="3"/>
    <s v="Female"/>
    <x v="2"/>
    <n v="7.1"/>
    <n v="18956.71"/>
    <n v="0"/>
    <n v="3.8"/>
    <n v="0.76"/>
  </r>
  <r>
    <s v="ENC100289"/>
    <s v="PT52613"/>
    <x v="3"/>
    <x v="1"/>
    <d v="2025-07-05T00:00:00"/>
    <d v="2025-07-07T00:00:00"/>
    <x v="5"/>
    <x v="2"/>
    <x v="8"/>
    <n v="31"/>
    <x v="4"/>
    <s v="Female"/>
    <x v="0"/>
    <n v="1.5"/>
    <n v="4610.82"/>
    <n v="1"/>
    <n v="4.2"/>
    <n v="0.84"/>
  </r>
  <r>
    <s v="ENC100290"/>
    <s v="PT82682"/>
    <x v="2"/>
    <x v="2"/>
    <d v="2025-04-11T00:00:00"/>
    <d v="2025-04-12T00:00:00"/>
    <x v="3"/>
    <x v="1"/>
    <x v="0"/>
    <n v="47"/>
    <x v="0"/>
    <s v="Female"/>
    <x v="0"/>
    <n v="0.4"/>
    <n v="782.99"/>
    <n v="0"/>
    <n v="2.9"/>
    <n v="0.81"/>
  </r>
  <r>
    <s v="ENC100291"/>
    <s v="PT34027"/>
    <x v="3"/>
    <x v="2"/>
    <d v="2025-06-28T00:00:00"/>
    <d v="2025-06-29T00:00:00"/>
    <x v="1"/>
    <x v="2"/>
    <x v="9"/>
    <n v="45"/>
    <x v="0"/>
    <s v="Male"/>
    <x v="1"/>
    <n v="1"/>
    <n v="2750.06"/>
    <n v="0"/>
    <n v="4.3"/>
    <n v="0.83"/>
  </r>
  <r>
    <s v="ENC100292"/>
    <s v="PT95838"/>
    <x v="3"/>
    <x v="3"/>
    <d v="2025-01-11T00:00:00"/>
    <d v="2025-01-18T00:00:00"/>
    <x v="4"/>
    <x v="1"/>
    <x v="8"/>
    <n v="78"/>
    <x v="3"/>
    <s v="Male"/>
    <x v="1"/>
    <n v="7"/>
    <n v="28935.81"/>
    <n v="0"/>
    <n v="4.4000000000000004"/>
    <n v="0.81"/>
  </r>
  <r>
    <s v="ENC100293"/>
    <s v="PT39840"/>
    <x v="3"/>
    <x v="1"/>
    <d v="2025-05-02T00:00:00"/>
    <d v="2025-05-05T00:00:00"/>
    <x v="2"/>
    <x v="1"/>
    <x v="8"/>
    <n v="67"/>
    <x v="6"/>
    <s v="Female"/>
    <x v="1"/>
    <n v="2.2000000000000002"/>
    <n v="5443.7"/>
    <n v="1"/>
    <n v="4.0999999999999996"/>
    <n v="0.95"/>
  </r>
  <r>
    <s v="ENC100294"/>
    <s v="PT59049"/>
    <x v="1"/>
    <x v="2"/>
    <d v="2025-05-30T00:00:00"/>
    <d v="2025-06-08T00:00:00"/>
    <x v="7"/>
    <x v="1"/>
    <x v="7"/>
    <n v="82"/>
    <x v="3"/>
    <s v="Female"/>
    <x v="2"/>
    <n v="8.1999999999999993"/>
    <n v="21183.09"/>
    <n v="0"/>
    <n v="4.0999999999999996"/>
    <n v="0.8"/>
  </r>
  <r>
    <s v="ENC100295"/>
    <s v="PT56859"/>
    <x v="3"/>
    <x v="3"/>
    <d v="2025-06-07T00:00:00"/>
    <d v="2025-06-14T00:00:00"/>
    <x v="4"/>
    <x v="2"/>
    <x v="6"/>
    <n v="50"/>
    <x v="1"/>
    <s v="Female"/>
    <x v="1"/>
    <n v="6.9"/>
    <n v="27939.14"/>
    <n v="0"/>
    <n v="3.7"/>
    <n v="0.83"/>
  </r>
  <r>
    <s v="ENC100296"/>
    <s v="PT86479"/>
    <x v="3"/>
    <x v="0"/>
    <d v="2025-07-21T00:00:00"/>
    <d v="2025-07-23T00:00:00"/>
    <x v="1"/>
    <x v="0"/>
    <x v="5"/>
    <n v="83"/>
    <x v="3"/>
    <s v="Female"/>
    <x v="0"/>
    <n v="2"/>
    <n v="7478.22"/>
    <n v="0"/>
    <n v="4.4000000000000004"/>
    <n v="0.83"/>
  </r>
  <r>
    <s v="ENC100297"/>
    <s v="PT49501"/>
    <x v="2"/>
    <x v="0"/>
    <d v="2025-10-12T00:00:00"/>
    <d v="2025-10-16T00:00:00"/>
    <x v="4"/>
    <x v="2"/>
    <x v="5"/>
    <n v="67"/>
    <x v="6"/>
    <s v="Male"/>
    <x v="0"/>
    <n v="3.2"/>
    <n v="13656.74"/>
    <n v="0"/>
    <n v="3.8"/>
    <n v="0.74"/>
  </r>
  <r>
    <s v="ENC100298"/>
    <s v="PT35610"/>
    <x v="4"/>
    <x v="3"/>
    <d v="2025-06-20T00:00:00"/>
    <d v="2025-06-23T00:00:00"/>
    <x v="6"/>
    <x v="2"/>
    <x v="4"/>
    <n v="67"/>
    <x v="6"/>
    <s v="Male"/>
    <x v="0"/>
    <n v="2.4"/>
    <n v="6653.97"/>
    <n v="1"/>
    <n v="3.2"/>
    <n v="0.78"/>
  </r>
  <r>
    <s v="ENC100299"/>
    <s v="PT11945"/>
    <x v="3"/>
    <x v="1"/>
    <d v="2025-11-04T00:00:00"/>
    <d v="2025-11-05T00:00:00"/>
    <x v="2"/>
    <x v="1"/>
    <x v="4"/>
    <n v="60"/>
    <x v="1"/>
    <s v="Female"/>
    <x v="0"/>
    <n v="1"/>
    <n v="2067.81"/>
    <n v="0"/>
    <n v="4.4000000000000004"/>
    <n v="0.88"/>
  </r>
  <r>
    <s v="ENC100300"/>
    <s v="PT42730"/>
    <x v="1"/>
    <x v="0"/>
    <d v="2025-07-13T00:00:00"/>
    <d v="2025-07-19T00:00:00"/>
    <x v="2"/>
    <x v="0"/>
    <x v="6"/>
    <n v="30"/>
    <x v="4"/>
    <s v="Male"/>
    <x v="0"/>
    <n v="5.6"/>
    <n v="12002.21"/>
    <n v="0"/>
    <n v="2.9"/>
    <n v="0.84"/>
  </r>
  <r>
    <s v="ENC100301"/>
    <s v="PT84365"/>
    <x v="0"/>
    <x v="3"/>
    <d v="2025-04-06T00:00:00"/>
    <d v="2025-04-08T00:00:00"/>
    <x v="9"/>
    <x v="2"/>
    <x v="8"/>
    <n v="55"/>
    <x v="1"/>
    <s v="Female"/>
    <x v="3"/>
    <n v="1.7"/>
    <n v="3666.61"/>
    <n v="0"/>
    <n v="4.0999999999999996"/>
    <n v="0.84"/>
  </r>
  <r>
    <s v="ENC100302"/>
    <s v="PT10892"/>
    <x v="0"/>
    <x v="1"/>
    <d v="2025-03-25T00:00:00"/>
    <d v="2025-03-27T00:00:00"/>
    <x v="7"/>
    <x v="2"/>
    <x v="2"/>
    <n v="32"/>
    <x v="4"/>
    <s v="Female"/>
    <x v="1"/>
    <n v="1.1000000000000001"/>
    <n v="3158.24"/>
    <n v="0"/>
    <n v="3.7"/>
    <n v="0.84"/>
  </r>
  <r>
    <s v="ENC100303"/>
    <s v="PT90653"/>
    <x v="1"/>
    <x v="0"/>
    <d v="2025-04-28T00:00:00"/>
    <d v="2025-05-08T00:00:00"/>
    <x v="7"/>
    <x v="0"/>
    <x v="6"/>
    <n v="59"/>
    <x v="1"/>
    <s v="Male"/>
    <x v="1"/>
    <n v="9.6999999999999993"/>
    <n v="26833.11"/>
    <n v="0"/>
    <n v="3.4"/>
    <n v="0.83"/>
  </r>
  <r>
    <s v="ENC100304"/>
    <s v="PT58853"/>
    <x v="2"/>
    <x v="3"/>
    <d v="2025-08-07T00:00:00"/>
    <d v="2025-08-10T00:00:00"/>
    <x v="1"/>
    <x v="0"/>
    <x v="4"/>
    <n v="23"/>
    <x v="4"/>
    <s v="Female"/>
    <x v="0"/>
    <n v="2.8"/>
    <n v="10608.59"/>
    <n v="0"/>
    <n v="4"/>
    <n v="0.77"/>
  </r>
  <r>
    <s v="ENC100305"/>
    <s v="PT22622"/>
    <x v="1"/>
    <x v="3"/>
    <d v="2025-03-30T00:00:00"/>
    <d v="2025-04-05T00:00:00"/>
    <x v="5"/>
    <x v="2"/>
    <x v="3"/>
    <n v="72"/>
    <x v="6"/>
    <s v="Female"/>
    <x v="1"/>
    <n v="5.7"/>
    <n v="16145.29"/>
    <n v="0"/>
    <n v="3.5"/>
    <n v="0.86"/>
  </r>
  <r>
    <s v="ENC100306"/>
    <s v="PT37195"/>
    <x v="2"/>
    <x v="2"/>
    <d v="2025-11-30T00:00:00"/>
    <d v="2025-12-02T00:00:00"/>
    <x v="2"/>
    <x v="1"/>
    <x v="1"/>
    <n v="51"/>
    <x v="1"/>
    <s v="Male"/>
    <x v="3"/>
    <n v="1.8"/>
    <n v="4047.93"/>
    <n v="0"/>
    <n v="4.2"/>
    <n v="0.71"/>
  </r>
  <r>
    <s v="ENC100307"/>
    <s v="PT59862"/>
    <x v="3"/>
    <x v="2"/>
    <d v="2025-06-25T00:00:00"/>
    <d v="2025-07-05T00:00:00"/>
    <x v="5"/>
    <x v="2"/>
    <x v="8"/>
    <n v="64"/>
    <x v="1"/>
    <s v="Male"/>
    <x v="3"/>
    <n v="9.1"/>
    <n v="22488.49"/>
    <n v="0"/>
    <n v="3.7"/>
    <n v="0.94"/>
  </r>
  <r>
    <s v="ENC100308"/>
    <s v="PT38411"/>
    <x v="4"/>
    <x v="3"/>
    <d v="2025-11-12T00:00:00"/>
    <d v="2025-11-14T00:00:00"/>
    <x v="8"/>
    <x v="2"/>
    <x v="3"/>
    <n v="20"/>
    <x v="4"/>
    <s v="Female"/>
    <x v="1"/>
    <n v="1.6"/>
    <n v="4059.01"/>
    <n v="0"/>
    <n v="3.5"/>
    <n v="0.76"/>
  </r>
  <r>
    <s v="ENC100309"/>
    <s v="PT19771"/>
    <x v="2"/>
    <x v="3"/>
    <d v="2025-09-07T00:00:00"/>
    <d v="2025-09-10T00:00:00"/>
    <x v="2"/>
    <x v="0"/>
    <x v="4"/>
    <n v="72"/>
    <x v="6"/>
    <s v="Male"/>
    <x v="3"/>
    <n v="2.1"/>
    <n v="4311.18"/>
    <n v="0"/>
    <n v="4.7"/>
    <n v="0.74"/>
  </r>
  <r>
    <s v="ENC100310"/>
    <s v="PT69938"/>
    <x v="1"/>
    <x v="3"/>
    <d v="2025-05-02T00:00:00"/>
    <d v="2025-05-03T00:00:00"/>
    <x v="3"/>
    <x v="1"/>
    <x v="1"/>
    <n v="73"/>
    <x v="6"/>
    <s v="Female"/>
    <x v="1"/>
    <n v="0.2"/>
    <n v="324.7"/>
    <n v="0"/>
    <n v="3.8"/>
    <n v="0.77"/>
  </r>
  <r>
    <s v="ENC100311"/>
    <s v="PT70500"/>
    <x v="3"/>
    <x v="3"/>
    <d v="2025-03-25T00:00:00"/>
    <d v="2025-04-02T00:00:00"/>
    <x v="8"/>
    <x v="2"/>
    <x v="6"/>
    <n v="13"/>
    <x v="2"/>
    <s v="Male"/>
    <x v="1"/>
    <n v="7.9"/>
    <n v="18397.04"/>
    <n v="0"/>
    <n v="4.0999999999999996"/>
    <n v="0.79"/>
  </r>
  <r>
    <s v="ENC100312"/>
    <s v="PT20698"/>
    <x v="3"/>
    <x v="1"/>
    <d v="2025-09-29T00:00:00"/>
    <d v="2025-10-03T00:00:00"/>
    <x v="4"/>
    <x v="2"/>
    <x v="9"/>
    <n v="31"/>
    <x v="4"/>
    <s v="Female"/>
    <x v="3"/>
    <n v="3.3"/>
    <n v="11955.49"/>
    <n v="0"/>
    <n v="4.5999999999999996"/>
    <n v="0.88"/>
  </r>
  <r>
    <s v="ENC100313"/>
    <s v="PT35310"/>
    <x v="1"/>
    <x v="3"/>
    <d v="2025-05-01T00:00:00"/>
    <d v="2025-05-05T00:00:00"/>
    <x v="2"/>
    <x v="2"/>
    <x v="7"/>
    <n v="61"/>
    <x v="1"/>
    <s v="Male"/>
    <x v="0"/>
    <n v="3.7"/>
    <n v="9019.7999999999993"/>
    <n v="0"/>
    <n v="4.7"/>
    <n v="0.91"/>
  </r>
  <r>
    <s v="ENC100314"/>
    <s v="PT31948"/>
    <x v="2"/>
    <x v="3"/>
    <d v="2025-04-01T00:00:00"/>
    <d v="2025-04-06T00:00:00"/>
    <x v="1"/>
    <x v="1"/>
    <x v="2"/>
    <n v="79"/>
    <x v="3"/>
    <s v="Female"/>
    <x v="0"/>
    <n v="4.5999999999999996"/>
    <n v="14992.92"/>
    <n v="0"/>
    <n v="4.2"/>
    <n v="0.73"/>
  </r>
  <r>
    <s v="ENC100315"/>
    <s v="PT69347"/>
    <x v="0"/>
    <x v="0"/>
    <d v="2025-12-06T00:00:00"/>
    <d v="2025-12-12T00:00:00"/>
    <x v="6"/>
    <x v="2"/>
    <x v="7"/>
    <n v="67"/>
    <x v="6"/>
    <s v="Male"/>
    <x v="0"/>
    <n v="5.7"/>
    <n v="14135.44"/>
    <n v="0"/>
    <n v="3.7"/>
    <n v="0.81"/>
  </r>
  <r>
    <s v="ENC100316"/>
    <s v="PT75725"/>
    <x v="0"/>
    <x v="2"/>
    <d v="2025-06-26T00:00:00"/>
    <d v="2025-06-28T00:00:00"/>
    <x v="3"/>
    <x v="2"/>
    <x v="6"/>
    <n v="42"/>
    <x v="0"/>
    <s v="Male"/>
    <x v="1"/>
    <n v="1.2"/>
    <n v="2134.0500000000002"/>
    <n v="0"/>
    <n v="2.8"/>
    <n v="0.81"/>
  </r>
  <r>
    <s v="ENC100317"/>
    <s v="PT75428"/>
    <x v="2"/>
    <x v="3"/>
    <d v="2025-01-18T00:00:00"/>
    <d v="2025-01-20T00:00:00"/>
    <x v="9"/>
    <x v="1"/>
    <x v="9"/>
    <n v="27"/>
    <x v="4"/>
    <s v="Female"/>
    <x v="1"/>
    <n v="2"/>
    <n v="4721.63"/>
    <n v="0"/>
    <n v="4"/>
    <n v="0.79"/>
  </r>
  <r>
    <s v="ENC100318"/>
    <s v="PT94487"/>
    <x v="0"/>
    <x v="0"/>
    <d v="2025-06-30T00:00:00"/>
    <d v="2025-07-03T00:00:00"/>
    <x v="3"/>
    <x v="2"/>
    <x v="2"/>
    <n v="82"/>
    <x v="3"/>
    <s v="Male"/>
    <x v="1"/>
    <n v="2.1"/>
    <n v="3223.21"/>
    <n v="0"/>
    <n v="4.4000000000000004"/>
    <n v="0.89"/>
  </r>
  <r>
    <s v="ENC100319"/>
    <s v="PT79177"/>
    <x v="2"/>
    <x v="1"/>
    <d v="2025-06-18T00:00:00"/>
    <d v="2025-06-23T00:00:00"/>
    <x v="8"/>
    <x v="0"/>
    <x v="3"/>
    <n v="79"/>
    <x v="3"/>
    <s v="Female"/>
    <x v="1"/>
    <n v="4.0999999999999996"/>
    <n v="11547.24"/>
    <n v="0"/>
    <n v="4.0999999999999996"/>
    <n v="0.81"/>
  </r>
  <r>
    <s v="ENC100320"/>
    <s v="PT38860"/>
    <x v="4"/>
    <x v="1"/>
    <d v="2025-11-12T00:00:00"/>
    <d v="2025-11-15T00:00:00"/>
    <x v="6"/>
    <x v="2"/>
    <x v="6"/>
    <n v="81"/>
    <x v="3"/>
    <s v="Male"/>
    <x v="0"/>
    <n v="2.2000000000000002"/>
    <n v="5507.74"/>
    <n v="0"/>
    <n v="1.8"/>
    <n v="0.77"/>
  </r>
  <r>
    <s v="ENC100321"/>
    <s v="PT19696"/>
    <x v="4"/>
    <x v="0"/>
    <d v="2025-09-17T00:00:00"/>
    <d v="2025-09-22T00:00:00"/>
    <x v="0"/>
    <x v="0"/>
    <x v="8"/>
    <n v="27"/>
    <x v="4"/>
    <s v="Female"/>
    <x v="3"/>
    <n v="4.5999999999999996"/>
    <n v="9860.16"/>
    <n v="0"/>
    <n v="4.4000000000000004"/>
    <n v="0.8"/>
  </r>
  <r>
    <s v="ENC100322"/>
    <s v="PT65317"/>
    <x v="3"/>
    <x v="0"/>
    <d v="2025-03-11T00:00:00"/>
    <d v="2025-03-17T00:00:00"/>
    <x v="1"/>
    <x v="2"/>
    <x v="0"/>
    <n v="39"/>
    <x v="0"/>
    <s v="Female"/>
    <x v="0"/>
    <n v="5.0999999999999996"/>
    <n v="17995.41"/>
    <n v="0"/>
    <n v="4.5"/>
    <n v="0.87"/>
  </r>
  <r>
    <s v="ENC100323"/>
    <s v="PT92440"/>
    <x v="1"/>
    <x v="1"/>
    <d v="2025-02-24T00:00:00"/>
    <d v="2025-02-25T00:00:00"/>
    <x v="2"/>
    <x v="2"/>
    <x v="6"/>
    <n v="22"/>
    <x v="4"/>
    <s v="Male"/>
    <x v="2"/>
    <n v="0.9"/>
    <n v="1787.46"/>
    <n v="1"/>
    <n v="3.7"/>
    <n v="0.82"/>
  </r>
  <r>
    <s v="ENC100324"/>
    <s v="PT97763"/>
    <x v="0"/>
    <x v="1"/>
    <d v="2025-08-09T00:00:00"/>
    <d v="2025-08-18T00:00:00"/>
    <x v="2"/>
    <x v="2"/>
    <x v="6"/>
    <n v="86"/>
    <x v="3"/>
    <s v="Female"/>
    <x v="0"/>
    <n v="8.1999999999999993"/>
    <n v="18965.59"/>
    <n v="0"/>
    <n v="4.3"/>
    <n v="0.76"/>
  </r>
  <r>
    <s v="ENC100325"/>
    <s v="PT30719"/>
    <x v="1"/>
    <x v="1"/>
    <d v="2025-01-18T00:00:00"/>
    <d v="2025-01-20T00:00:00"/>
    <x v="8"/>
    <x v="0"/>
    <x v="2"/>
    <n v="78"/>
    <x v="3"/>
    <s v="Female"/>
    <x v="1"/>
    <n v="1.8"/>
    <n v="4203.53"/>
    <n v="0"/>
    <n v="4.3"/>
    <n v="0.79"/>
  </r>
  <r>
    <s v="ENC100326"/>
    <s v="PT31280"/>
    <x v="3"/>
    <x v="2"/>
    <d v="2025-04-27T00:00:00"/>
    <d v="2025-05-03T00:00:00"/>
    <x v="6"/>
    <x v="0"/>
    <x v="0"/>
    <n v="15"/>
    <x v="2"/>
    <s v="Female"/>
    <x v="1"/>
    <n v="5.2"/>
    <n v="12292.67"/>
    <n v="0"/>
    <n v="3.5"/>
    <n v="0.89"/>
  </r>
  <r>
    <s v="ENC100327"/>
    <s v="PT13367"/>
    <x v="0"/>
    <x v="3"/>
    <d v="2025-02-20T00:00:00"/>
    <d v="2025-02-21T00:00:00"/>
    <x v="5"/>
    <x v="2"/>
    <x v="1"/>
    <n v="22"/>
    <x v="4"/>
    <s v="Female"/>
    <x v="3"/>
    <n v="0.9"/>
    <n v="2283.8000000000002"/>
    <n v="0"/>
    <n v="4.7"/>
    <n v="0.85"/>
  </r>
  <r>
    <s v="ENC100328"/>
    <s v="PT22713"/>
    <x v="4"/>
    <x v="0"/>
    <d v="2025-01-08T00:00:00"/>
    <d v="2025-01-10T00:00:00"/>
    <x v="3"/>
    <x v="2"/>
    <x v="7"/>
    <n v="50"/>
    <x v="1"/>
    <s v="Female"/>
    <x v="0"/>
    <n v="2"/>
    <n v="3637.42"/>
    <n v="0"/>
    <n v="2.9"/>
    <n v="0.77"/>
  </r>
  <r>
    <s v="ENC100329"/>
    <s v="PT59936"/>
    <x v="4"/>
    <x v="1"/>
    <d v="2025-12-02T00:00:00"/>
    <d v="2025-12-03T00:00:00"/>
    <x v="6"/>
    <x v="1"/>
    <x v="7"/>
    <n v="37"/>
    <x v="0"/>
    <s v="Male"/>
    <x v="3"/>
    <n v="0.9"/>
    <n v="1785.7"/>
    <n v="0"/>
    <n v="3.9"/>
    <n v="0.79"/>
  </r>
  <r>
    <s v="ENC100330"/>
    <s v="PT59211"/>
    <x v="0"/>
    <x v="1"/>
    <d v="2025-02-02T00:00:00"/>
    <d v="2025-02-06T00:00:00"/>
    <x v="6"/>
    <x v="2"/>
    <x v="8"/>
    <n v="41"/>
    <x v="0"/>
    <s v="Male"/>
    <x v="1"/>
    <n v="3.1"/>
    <n v="7275.41"/>
    <n v="0"/>
    <n v="3.8"/>
    <n v="0.85"/>
  </r>
  <r>
    <s v="ENC100331"/>
    <s v="PT43382"/>
    <x v="3"/>
    <x v="1"/>
    <d v="2025-01-04T00:00:00"/>
    <d v="2025-01-06T00:00:00"/>
    <x v="3"/>
    <x v="2"/>
    <x v="1"/>
    <n v="33"/>
    <x v="4"/>
    <s v="Female"/>
    <x v="1"/>
    <n v="1.5"/>
    <n v="2388.04"/>
    <n v="0"/>
    <n v="3.2"/>
    <n v="0.77"/>
  </r>
  <r>
    <s v="ENC100332"/>
    <s v="PT37895"/>
    <x v="0"/>
    <x v="0"/>
    <d v="2025-12-07T00:00:00"/>
    <d v="2025-12-09T00:00:00"/>
    <x v="0"/>
    <x v="0"/>
    <x v="1"/>
    <n v="61"/>
    <x v="1"/>
    <s v="Female"/>
    <x v="1"/>
    <n v="1.6"/>
    <n v="3396"/>
    <n v="0"/>
    <n v="4.0999999999999996"/>
    <n v="0.78"/>
  </r>
  <r>
    <s v="ENC100333"/>
    <s v="PT84680"/>
    <x v="0"/>
    <x v="1"/>
    <d v="2025-03-10T00:00:00"/>
    <d v="2025-03-13T00:00:00"/>
    <x v="2"/>
    <x v="2"/>
    <x v="3"/>
    <n v="81"/>
    <x v="3"/>
    <s v="Male"/>
    <x v="0"/>
    <n v="3"/>
    <n v="7854.5"/>
    <n v="1"/>
    <n v="4.7"/>
    <n v="0.88"/>
  </r>
  <r>
    <s v="ENC100334"/>
    <s v="PT51402"/>
    <x v="2"/>
    <x v="0"/>
    <d v="2025-10-26T00:00:00"/>
    <d v="2025-10-27T00:00:00"/>
    <x v="3"/>
    <x v="2"/>
    <x v="7"/>
    <n v="83"/>
    <x v="3"/>
    <s v="Male"/>
    <x v="1"/>
    <n v="0.4"/>
    <n v="707.38"/>
    <n v="0"/>
    <n v="4.4000000000000004"/>
    <n v="0.76"/>
  </r>
  <r>
    <s v="ENC100335"/>
    <s v="PT82741"/>
    <x v="4"/>
    <x v="2"/>
    <d v="2025-01-12T00:00:00"/>
    <d v="2025-01-19T00:00:00"/>
    <x v="5"/>
    <x v="2"/>
    <x v="3"/>
    <n v="41"/>
    <x v="0"/>
    <s v="Male"/>
    <x v="0"/>
    <n v="6.8"/>
    <n v="20055.560000000001"/>
    <n v="1"/>
    <n v="4.3"/>
    <n v="0.73"/>
  </r>
  <r>
    <s v="ENC100336"/>
    <s v="PT96688"/>
    <x v="0"/>
    <x v="0"/>
    <d v="2025-02-26T00:00:00"/>
    <d v="2025-03-02T00:00:00"/>
    <x v="2"/>
    <x v="2"/>
    <x v="2"/>
    <n v="75"/>
    <x v="3"/>
    <s v="Female"/>
    <x v="0"/>
    <n v="3.6"/>
    <n v="8478.1"/>
    <n v="0"/>
    <n v="2.9"/>
    <n v="0.8"/>
  </r>
  <r>
    <s v="ENC100337"/>
    <s v="PT38542"/>
    <x v="4"/>
    <x v="2"/>
    <d v="2025-02-10T00:00:00"/>
    <d v="2025-02-12T00:00:00"/>
    <x v="2"/>
    <x v="2"/>
    <x v="2"/>
    <n v="63"/>
    <x v="1"/>
    <s v="Male"/>
    <x v="1"/>
    <n v="1.4"/>
    <n v="2808.33"/>
    <n v="1"/>
    <n v="3.1"/>
    <n v="0.82"/>
  </r>
  <r>
    <s v="ENC100338"/>
    <s v="PT28246"/>
    <x v="1"/>
    <x v="1"/>
    <d v="2025-09-15T00:00:00"/>
    <d v="2025-09-19T00:00:00"/>
    <x v="1"/>
    <x v="0"/>
    <x v="1"/>
    <n v="17"/>
    <x v="2"/>
    <s v="Male"/>
    <x v="1"/>
    <n v="3.9"/>
    <n v="14688.48"/>
    <n v="0"/>
    <n v="4"/>
    <n v="0.72"/>
  </r>
  <r>
    <s v="ENC100339"/>
    <s v="PT95759"/>
    <x v="2"/>
    <x v="1"/>
    <d v="2025-08-15T00:00:00"/>
    <d v="2025-08-20T00:00:00"/>
    <x v="5"/>
    <x v="0"/>
    <x v="4"/>
    <n v="72"/>
    <x v="6"/>
    <s v="Female"/>
    <x v="0"/>
    <n v="4.3"/>
    <n v="13259.93"/>
    <n v="0"/>
    <n v="3.9"/>
    <n v="0.76"/>
  </r>
  <r>
    <s v="ENC100340"/>
    <s v="PT67134"/>
    <x v="3"/>
    <x v="2"/>
    <d v="2025-06-23T00:00:00"/>
    <d v="2025-06-27T00:00:00"/>
    <x v="1"/>
    <x v="2"/>
    <x v="6"/>
    <n v="31"/>
    <x v="4"/>
    <s v="Female"/>
    <x v="0"/>
    <n v="3.7"/>
    <n v="12715.89"/>
    <n v="0"/>
    <n v="3.6"/>
    <n v="0.83"/>
  </r>
  <r>
    <s v="ENC100341"/>
    <s v="PT36182"/>
    <x v="3"/>
    <x v="0"/>
    <d v="2025-03-30T00:00:00"/>
    <d v="2025-03-31T00:00:00"/>
    <x v="8"/>
    <x v="0"/>
    <x v="6"/>
    <n v="57"/>
    <x v="1"/>
    <s v="Female"/>
    <x v="0"/>
    <n v="0.2"/>
    <n v="665.44"/>
    <n v="0"/>
    <n v="5"/>
    <n v="0.77"/>
  </r>
  <r>
    <s v="ENC100342"/>
    <s v="PT65966"/>
    <x v="3"/>
    <x v="3"/>
    <d v="2025-02-02T00:00:00"/>
    <d v="2025-02-06T00:00:00"/>
    <x v="7"/>
    <x v="2"/>
    <x v="8"/>
    <n v="65"/>
    <x v="6"/>
    <s v="Male"/>
    <x v="0"/>
    <n v="3.4"/>
    <n v="10416.57"/>
    <n v="0"/>
    <n v="4"/>
    <n v="0.84"/>
  </r>
  <r>
    <s v="ENC100343"/>
    <s v="PT56354"/>
    <x v="0"/>
    <x v="2"/>
    <d v="2025-07-27T00:00:00"/>
    <d v="2025-08-02T00:00:00"/>
    <x v="8"/>
    <x v="0"/>
    <x v="7"/>
    <n v="85"/>
    <x v="3"/>
    <s v="Female"/>
    <x v="1"/>
    <n v="5.4"/>
    <n v="11750.35"/>
    <n v="0"/>
    <n v="4.2"/>
    <n v="0.79"/>
  </r>
  <r>
    <s v="ENC100344"/>
    <s v="PT91496"/>
    <x v="4"/>
    <x v="3"/>
    <d v="2025-03-26T00:00:00"/>
    <d v="2025-04-01T00:00:00"/>
    <x v="5"/>
    <x v="2"/>
    <x v="8"/>
    <n v="86"/>
    <x v="3"/>
    <s v="Male"/>
    <x v="0"/>
    <n v="5.5"/>
    <n v="15127.52"/>
    <n v="0"/>
    <n v="4.5"/>
    <n v="0.78"/>
  </r>
  <r>
    <s v="ENC100345"/>
    <s v="PT33036"/>
    <x v="2"/>
    <x v="0"/>
    <d v="2025-08-04T00:00:00"/>
    <d v="2025-08-10T00:00:00"/>
    <x v="7"/>
    <x v="0"/>
    <x v="4"/>
    <n v="73"/>
    <x v="6"/>
    <s v="Male"/>
    <x v="3"/>
    <n v="5.9"/>
    <n v="14996.45"/>
    <n v="0"/>
    <n v="3.9"/>
    <n v="0.74"/>
  </r>
  <r>
    <s v="ENC100346"/>
    <s v="PT99223"/>
    <x v="3"/>
    <x v="3"/>
    <d v="2025-09-08T00:00:00"/>
    <d v="2025-09-12T00:00:00"/>
    <x v="8"/>
    <x v="2"/>
    <x v="7"/>
    <n v="46"/>
    <x v="0"/>
    <s v="Female"/>
    <x v="0"/>
    <n v="4"/>
    <n v="12323.64"/>
    <n v="0"/>
    <n v="5"/>
    <n v="0.8"/>
  </r>
  <r>
    <s v="ENC100347"/>
    <s v="PT94242"/>
    <x v="2"/>
    <x v="1"/>
    <d v="2025-11-07T00:00:00"/>
    <d v="2025-11-13T00:00:00"/>
    <x v="2"/>
    <x v="2"/>
    <x v="3"/>
    <n v="36"/>
    <x v="0"/>
    <s v="Male"/>
    <x v="0"/>
    <n v="5.8"/>
    <n v="13720.29"/>
    <n v="0"/>
    <n v="3.3"/>
    <n v="0.69"/>
  </r>
  <r>
    <s v="ENC100348"/>
    <s v="PT26262"/>
    <x v="0"/>
    <x v="1"/>
    <d v="2025-06-30T00:00:00"/>
    <d v="2025-07-02T00:00:00"/>
    <x v="6"/>
    <x v="2"/>
    <x v="7"/>
    <n v="40"/>
    <x v="0"/>
    <s v="Male"/>
    <x v="3"/>
    <n v="1.7"/>
    <n v="3343.48"/>
    <n v="0"/>
    <n v="3.5"/>
    <n v="0.77"/>
  </r>
  <r>
    <s v="ENC100349"/>
    <s v="PT24814"/>
    <x v="2"/>
    <x v="1"/>
    <d v="2025-01-02T00:00:00"/>
    <d v="2025-01-04T00:00:00"/>
    <x v="6"/>
    <x v="2"/>
    <x v="8"/>
    <n v="86"/>
    <x v="3"/>
    <s v="Female"/>
    <x v="0"/>
    <n v="1.4"/>
    <n v="3367.97"/>
    <n v="0"/>
    <n v="3.3"/>
    <n v="0.78"/>
  </r>
  <r>
    <s v="ENC100350"/>
    <s v="PT57983"/>
    <x v="2"/>
    <x v="2"/>
    <d v="2025-04-13T00:00:00"/>
    <d v="2025-04-17T00:00:00"/>
    <x v="3"/>
    <x v="2"/>
    <x v="5"/>
    <n v="18"/>
    <x v="4"/>
    <s v="Male"/>
    <x v="1"/>
    <n v="3.4"/>
    <n v="6459.11"/>
    <n v="0"/>
    <n v="4.5999999999999996"/>
    <n v="0.76"/>
  </r>
  <r>
    <s v="ENC100351"/>
    <s v="PT14041"/>
    <x v="3"/>
    <x v="3"/>
    <d v="2025-11-08T00:00:00"/>
    <d v="2025-11-11T00:00:00"/>
    <x v="7"/>
    <x v="0"/>
    <x v="2"/>
    <n v="47"/>
    <x v="0"/>
    <s v="Female"/>
    <x v="2"/>
    <n v="2.2999999999999998"/>
    <n v="6649.58"/>
    <n v="0"/>
    <n v="4.4000000000000004"/>
    <n v="0.84"/>
  </r>
  <r>
    <s v="ENC100352"/>
    <s v="PT36891"/>
    <x v="2"/>
    <x v="1"/>
    <d v="2025-07-14T00:00:00"/>
    <d v="2025-07-15T00:00:00"/>
    <x v="6"/>
    <x v="0"/>
    <x v="3"/>
    <n v="61"/>
    <x v="1"/>
    <s v="Female"/>
    <x v="2"/>
    <n v="0.7"/>
    <n v="1509.79"/>
    <n v="0"/>
    <n v="3.6"/>
    <n v="0.71"/>
  </r>
  <r>
    <s v="ENC100353"/>
    <s v="PT49158"/>
    <x v="0"/>
    <x v="1"/>
    <d v="2025-08-14T00:00:00"/>
    <d v="2025-08-18T00:00:00"/>
    <x v="7"/>
    <x v="2"/>
    <x v="1"/>
    <n v="2"/>
    <x v="5"/>
    <s v="Male"/>
    <x v="1"/>
    <n v="3.7"/>
    <n v="9826.77"/>
    <n v="0"/>
    <n v="3.4"/>
    <n v="0.79"/>
  </r>
  <r>
    <s v="ENC100354"/>
    <s v="PT97242"/>
    <x v="4"/>
    <x v="3"/>
    <d v="2025-06-17T00:00:00"/>
    <d v="2025-06-21T00:00:00"/>
    <x v="8"/>
    <x v="1"/>
    <x v="2"/>
    <n v="57"/>
    <x v="1"/>
    <s v="Male"/>
    <x v="0"/>
    <n v="3.4"/>
    <n v="8443.9500000000007"/>
    <n v="1"/>
    <n v="4.7"/>
    <n v="0.81"/>
  </r>
  <r>
    <s v="ENC100355"/>
    <s v="PT99312"/>
    <x v="0"/>
    <x v="2"/>
    <d v="2025-03-01T00:00:00"/>
    <d v="2025-03-07T00:00:00"/>
    <x v="2"/>
    <x v="0"/>
    <x v="2"/>
    <n v="23"/>
    <x v="4"/>
    <s v="Female"/>
    <x v="1"/>
    <n v="5.2"/>
    <n v="12709.42"/>
    <n v="0"/>
    <n v="4.0999999999999996"/>
    <n v="0.82"/>
  </r>
  <r>
    <s v="ENC100356"/>
    <s v="PT23638"/>
    <x v="4"/>
    <x v="1"/>
    <d v="2025-11-24T00:00:00"/>
    <d v="2025-11-26T00:00:00"/>
    <x v="9"/>
    <x v="1"/>
    <x v="8"/>
    <n v="25"/>
    <x v="4"/>
    <s v="Male"/>
    <x v="2"/>
    <n v="1.6"/>
    <n v="3564.4"/>
    <n v="0"/>
    <n v="4.7"/>
    <n v="0.76"/>
  </r>
  <r>
    <s v="ENC100357"/>
    <s v="PT90250"/>
    <x v="3"/>
    <x v="0"/>
    <d v="2025-10-10T00:00:00"/>
    <d v="2025-10-13T00:00:00"/>
    <x v="5"/>
    <x v="0"/>
    <x v="6"/>
    <n v="56"/>
    <x v="1"/>
    <s v="Male"/>
    <x v="2"/>
    <n v="2.5"/>
    <n v="6113.6"/>
    <n v="0"/>
    <n v="3.9"/>
    <n v="0.74"/>
  </r>
  <r>
    <s v="ENC100358"/>
    <s v="PT18183"/>
    <x v="0"/>
    <x v="2"/>
    <d v="2025-12-30T00:00:00"/>
    <d v="2026-01-05T00:00:00"/>
    <x v="4"/>
    <x v="0"/>
    <x v="3"/>
    <n v="0"/>
    <x v="5"/>
    <s v="Male"/>
    <x v="0"/>
    <n v="5.4"/>
    <n v="28677.89"/>
    <n v="0"/>
    <n v="4.0999999999999996"/>
    <n v="0.77"/>
  </r>
  <r>
    <s v="ENC100359"/>
    <s v="PT77373"/>
    <x v="0"/>
    <x v="2"/>
    <d v="2025-11-09T00:00:00"/>
    <d v="2025-11-12T00:00:00"/>
    <x v="1"/>
    <x v="2"/>
    <x v="8"/>
    <n v="14"/>
    <x v="2"/>
    <s v="Female"/>
    <x v="0"/>
    <n v="2.2000000000000002"/>
    <n v="8794.36"/>
    <n v="0"/>
    <n v="4.0999999999999996"/>
    <n v="0.78"/>
  </r>
  <r>
    <s v="ENC100360"/>
    <s v="PT86106"/>
    <x v="4"/>
    <x v="2"/>
    <d v="2025-04-17T00:00:00"/>
    <d v="2025-04-18T00:00:00"/>
    <x v="9"/>
    <x v="0"/>
    <x v="7"/>
    <n v="41"/>
    <x v="0"/>
    <s v="Female"/>
    <x v="0"/>
    <n v="0.5"/>
    <n v="1146.69"/>
    <n v="0"/>
    <n v="3.5"/>
    <n v="0.74"/>
  </r>
  <r>
    <s v="ENC100361"/>
    <s v="PT90170"/>
    <x v="2"/>
    <x v="1"/>
    <d v="2025-04-03T00:00:00"/>
    <d v="2025-04-05T00:00:00"/>
    <x v="4"/>
    <x v="1"/>
    <x v="7"/>
    <n v="53"/>
    <x v="1"/>
    <s v="Female"/>
    <x v="0"/>
    <n v="1.8"/>
    <n v="7549.37"/>
    <n v="1"/>
    <n v="3.7"/>
    <n v="0.73"/>
  </r>
  <r>
    <s v="ENC100362"/>
    <s v="PT30107"/>
    <x v="0"/>
    <x v="1"/>
    <d v="2025-04-01T00:00:00"/>
    <d v="2025-04-10T00:00:00"/>
    <x v="1"/>
    <x v="2"/>
    <x v="1"/>
    <n v="9"/>
    <x v="5"/>
    <s v="Male"/>
    <x v="1"/>
    <n v="8.1"/>
    <n v="25741.13"/>
    <n v="0"/>
    <n v="3"/>
    <n v="0.83"/>
  </r>
  <r>
    <s v="ENC100363"/>
    <s v="PT90409"/>
    <x v="1"/>
    <x v="0"/>
    <d v="2025-12-02T00:00:00"/>
    <d v="2025-12-08T00:00:00"/>
    <x v="1"/>
    <x v="2"/>
    <x v="0"/>
    <n v="32"/>
    <x v="4"/>
    <s v="Female"/>
    <x v="0"/>
    <n v="5.8"/>
    <n v="21402.16"/>
    <n v="0"/>
    <n v="4.2"/>
    <n v="0.82"/>
  </r>
  <r>
    <s v="ENC100364"/>
    <s v="PT20438"/>
    <x v="3"/>
    <x v="1"/>
    <d v="2025-07-23T00:00:00"/>
    <d v="2025-07-26T00:00:00"/>
    <x v="2"/>
    <x v="2"/>
    <x v="5"/>
    <n v="27"/>
    <x v="4"/>
    <s v="Male"/>
    <x v="0"/>
    <n v="2.9"/>
    <n v="5846.23"/>
    <n v="0"/>
    <n v="4.4000000000000004"/>
    <n v="0.88"/>
  </r>
  <r>
    <s v="ENC100365"/>
    <s v="PT56696"/>
    <x v="4"/>
    <x v="2"/>
    <d v="2025-06-15T00:00:00"/>
    <d v="2025-06-21T00:00:00"/>
    <x v="5"/>
    <x v="1"/>
    <x v="9"/>
    <n v="48"/>
    <x v="0"/>
    <s v="Female"/>
    <x v="0"/>
    <n v="5.3"/>
    <n v="12603.81"/>
    <n v="0"/>
    <n v="4.5"/>
    <n v="0.72"/>
  </r>
  <r>
    <s v="ENC100366"/>
    <s v="PT52258"/>
    <x v="0"/>
    <x v="1"/>
    <d v="2025-12-20T00:00:00"/>
    <d v="2025-12-22T00:00:00"/>
    <x v="3"/>
    <x v="2"/>
    <x v="8"/>
    <n v="27"/>
    <x v="4"/>
    <s v="Male"/>
    <x v="1"/>
    <n v="1.8"/>
    <n v="2805.78"/>
    <n v="0"/>
    <n v="4.0999999999999996"/>
    <n v="0.79"/>
  </r>
  <r>
    <s v="ENC100367"/>
    <s v="PT38433"/>
    <x v="1"/>
    <x v="3"/>
    <d v="2025-08-09T00:00:00"/>
    <d v="2025-08-10T00:00:00"/>
    <x v="3"/>
    <x v="0"/>
    <x v="9"/>
    <n v="0"/>
    <x v="5"/>
    <s v="Male"/>
    <x v="0"/>
    <n v="0.6"/>
    <n v="1173.69"/>
    <n v="0"/>
    <n v="3.6"/>
    <n v="0.74"/>
  </r>
  <r>
    <s v="ENC100368"/>
    <s v="PT11990"/>
    <x v="0"/>
    <x v="2"/>
    <d v="2025-11-28T00:00:00"/>
    <d v="2025-11-30T00:00:00"/>
    <x v="5"/>
    <x v="0"/>
    <x v="1"/>
    <n v="48"/>
    <x v="0"/>
    <s v="Male"/>
    <x v="1"/>
    <n v="1.4"/>
    <n v="3445.44"/>
    <n v="0"/>
    <n v="4.8"/>
    <n v="0.78"/>
  </r>
  <r>
    <s v="ENC100369"/>
    <s v="PT79480"/>
    <x v="2"/>
    <x v="2"/>
    <d v="2025-12-26T00:00:00"/>
    <d v="2026-01-03T00:00:00"/>
    <x v="5"/>
    <x v="1"/>
    <x v="8"/>
    <n v="77"/>
    <x v="3"/>
    <s v="Male"/>
    <x v="0"/>
    <n v="7.7"/>
    <n v="25955.83"/>
    <n v="1"/>
    <n v="4.2"/>
    <n v="0.71"/>
  </r>
  <r>
    <s v="ENC100370"/>
    <s v="PT40202"/>
    <x v="3"/>
    <x v="3"/>
    <d v="2025-01-29T00:00:00"/>
    <d v="2025-01-30T00:00:00"/>
    <x v="7"/>
    <x v="2"/>
    <x v="5"/>
    <n v="53"/>
    <x v="1"/>
    <s v="Male"/>
    <x v="2"/>
    <n v="0.4"/>
    <n v="998.82"/>
    <n v="0"/>
    <n v="4.7"/>
    <n v="0.89"/>
  </r>
  <r>
    <s v="ENC100371"/>
    <s v="PT69548"/>
    <x v="1"/>
    <x v="2"/>
    <d v="2025-05-12T00:00:00"/>
    <d v="2025-05-15T00:00:00"/>
    <x v="0"/>
    <x v="0"/>
    <x v="6"/>
    <n v="32"/>
    <x v="4"/>
    <s v="Female"/>
    <x v="0"/>
    <n v="2.8"/>
    <n v="7099.08"/>
    <n v="0"/>
    <n v="4.8"/>
    <n v="0.84"/>
  </r>
  <r>
    <s v="ENC100372"/>
    <s v="PT46919"/>
    <x v="3"/>
    <x v="1"/>
    <d v="2025-09-25T00:00:00"/>
    <d v="2025-09-28T00:00:00"/>
    <x v="0"/>
    <x v="1"/>
    <x v="4"/>
    <n v="43"/>
    <x v="0"/>
    <s v="Male"/>
    <x v="1"/>
    <n v="2.2999999999999998"/>
    <n v="4273.5"/>
    <n v="0"/>
    <n v="3.8"/>
    <n v="0.88"/>
  </r>
  <r>
    <s v="ENC100373"/>
    <s v="PT43628"/>
    <x v="2"/>
    <x v="0"/>
    <d v="2025-10-24T00:00:00"/>
    <d v="2025-10-31T00:00:00"/>
    <x v="1"/>
    <x v="2"/>
    <x v="2"/>
    <n v="12"/>
    <x v="5"/>
    <s v="Male"/>
    <x v="0"/>
    <n v="7"/>
    <n v="20573.060000000001"/>
    <n v="0"/>
    <n v="4.0999999999999996"/>
    <n v="0.73"/>
  </r>
  <r>
    <s v="ENC100374"/>
    <s v="PT89765"/>
    <x v="4"/>
    <x v="1"/>
    <d v="2025-02-24T00:00:00"/>
    <d v="2025-02-26T00:00:00"/>
    <x v="3"/>
    <x v="0"/>
    <x v="1"/>
    <n v="21"/>
    <x v="4"/>
    <s v="Male"/>
    <x v="0"/>
    <n v="1.5"/>
    <n v="3334.57"/>
    <n v="0"/>
    <n v="4.2"/>
    <n v="0.74"/>
  </r>
  <r>
    <s v="ENC100375"/>
    <s v="PT18501"/>
    <x v="1"/>
    <x v="2"/>
    <d v="2025-04-27T00:00:00"/>
    <d v="2025-05-02T00:00:00"/>
    <x v="8"/>
    <x v="2"/>
    <x v="2"/>
    <n v="39"/>
    <x v="0"/>
    <s v="Female"/>
    <x v="0"/>
    <n v="4.9000000000000004"/>
    <n v="14877.22"/>
    <n v="0"/>
    <n v="3.2"/>
    <n v="0.78"/>
  </r>
  <r>
    <s v="ENC100376"/>
    <s v="PT76294"/>
    <x v="4"/>
    <x v="2"/>
    <d v="2025-07-20T00:00:00"/>
    <d v="2025-07-22T00:00:00"/>
    <x v="2"/>
    <x v="0"/>
    <x v="1"/>
    <n v="53"/>
    <x v="1"/>
    <s v="Male"/>
    <x v="0"/>
    <n v="1.2"/>
    <n v="2742.48"/>
    <n v="0"/>
    <n v="3.2"/>
    <n v="0.79"/>
  </r>
  <r>
    <s v="ENC100377"/>
    <s v="PT77210"/>
    <x v="3"/>
    <x v="1"/>
    <d v="2025-10-19T00:00:00"/>
    <d v="2025-10-26T00:00:00"/>
    <x v="1"/>
    <x v="2"/>
    <x v="2"/>
    <n v="44"/>
    <x v="0"/>
    <s v="Female"/>
    <x v="0"/>
    <n v="6.1"/>
    <n v="19952.2"/>
    <n v="0"/>
    <n v="3.1"/>
    <n v="0.91"/>
  </r>
  <r>
    <s v="ENC100378"/>
    <s v="PT44198"/>
    <x v="4"/>
    <x v="1"/>
    <d v="2025-02-11T00:00:00"/>
    <d v="2025-02-15T00:00:00"/>
    <x v="9"/>
    <x v="2"/>
    <x v="3"/>
    <n v="87"/>
    <x v="3"/>
    <s v="Female"/>
    <x v="1"/>
    <n v="3.1"/>
    <n v="6765.44"/>
    <n v="1"/>
    <n v="3.8"/>
    <n v="0.8"/>
  </r>
  <r>
    <s v="ENC100379"/>
    <s v="PT33621"/>
    <x v="0"/>
    <x v="0"/>
    <d v="2025-08-08T00:00:00"/>
    <d v="2025-08-10T00:00:00"/>
    <x v="1"/>
    <x v="2"/>
    <x v="3"/>
    <n v="58"/>
    <x v="1"/>
    <s v="Female"/>
    <x v="1"/>
    <n v="1.7"/>
    <n v="5511.46"/>
    <n v="0"/>
    <n v="3.7"/>
    <n v="0.79"/>
  </r>
  <r>
    <s v="ENC100380"/>
    <s v="PT10477"/>
    <x v="2"/>
    <x v="1"/>
    <d v="2025-04-19T00:00:00"/>
    <d v="2025-04-23T00:00:00"/>
    <x v="1"/>
    <x v="2"/>
    <x v="5"/>
    <n v="2"/>
    <x v="5"/>
    <s v="Female"/>
    <x v="0"/>
    <n v="4"/>
    <n v="13426.83"/>
    <n v="1"/>
    <n v="3"/>
    <n v="0.74"/>
  </r>
  <r>
    <s v="ENC100381"/>
    <s v="PT94312"/>
    <x v="3"/>
    <x v="2"/>
    <d v="2025-03-20T00:00:00"/>
    <d v="2025-03-21T00:00:00"/>
    <x v="6"/>
    <x v="2"/>
    <x v="0"/>
    <n v="47"/>
    <x v="0"/>
    <s v="Female"/>
    <x v="1"/>
    <n v="1"/>
    <n v="2559.7199999999998"/>
    <n v="0"/>
    <n v="4"/>
    <n v="0.84"/>
  </r>
  <r>
    <s v="ENC100382"/>
    <s v="PT95294"/>
    <x v="2"/>
    <x v="1"/>
    <d v="2025-07-08T00:00:00"/>
    <d v="2025-07-12T00:00:00"/>
    <x v="7"/>
    <x v="0"/>
    <x v="2"/>
    <n v="53"/>
    <x v="1"/>
    <s v="Female"/>
    <x v="1"/>
    <n v="3.6"/>
    <n v="9011.61"/>
    <n v="0"/>
    <n v="3.8"/>
    <n v="0.83"/>
  </r>
  <r>
    <s v="ENC100383"/>
    <s v="PT31687"/>
    <x v="2"/>
    <x v="2"/>
    <d v="2025-06-01T00:00:00"/>
    <d v="2025-06-13T00:00:00"/>
    <x v="6"/>
    <x v="2"/>
    <x v="5"/>
    <n v="3"/>
    <x v="5"/>
    <s v="Male"/>
    <x v="0"/>
    <n v="11.1"/>
    <n v="26418.11"/>
    <n v="0"/>
    <n v="4.4000000000000004"/>
    <n v="0.8"/>
  </r>
  <r>
    <s v="ENC100384"/>
    <s v="PT12871"/>
    <x v="1"/>
    <x v="3"/>
    <d v="2025-08-21T00:00:00"/>
    <d v="2025-08-24T00:00:00"/>
    <x v="4"/>
    <x v="2"/>
    <x v="2"/>
    <n v="35"/>
    <x v="0"/>
    <s v="Female"/>
    <x v="0"/>
    <n v="2.5"/>
    <n v="11645.5"/>
    <n v="0"/>
    <n v="5"/>
    <n v="0.83"/>
  </r>
  <r>
    <s v="ENC100385"/>
    <s v="PT21048"/>
    <x v="3"/>
    <x v="0"/>
    <d v="2025-04-26T00:00:00"/>
    <d v="2025-04-27T00:00:00"/>
    <x v="9"/>
    <x v="0"/>
    <x v="4"/>
    <n v="79"/>
    <x v="3"/>
    <s v="Female"/>
    <x v="0"/>
    <n v="0.5"/>
    <n v="1108.17"/>
    <n v="0"/>
    <n v="4.2"/>
    <n v="0.84"/>
  </r>
  <r>
    <s v="ENC100386"/>
    <s v="PT16087"/>
    <x v="4"/>
    <x v="1"/>
    <d v="2025-10-28T00:00:00"/>
    <d v="2025-10-29T00:00:00"/>
    <x v="6"/>
    <x v="0"/>
    <x v="2"/>
    <n v="32"/>
    <x v="4"/>
    <s v="Male"/>
    <x v="0"/>
    <n v="0.8"/>
    <n v="1963.19"/>
    <n v="0"/>
    <n v="3.5"/>
    <n v="0.79"/>
  </r>
  <r>
    <s v="ENC100387"/>
    <s v="PT84799"/>
    <x v="1"/>
    <x v="2"/>
    <d v="2025-01-29T00:00:00"/>
    <d v="2025-01-31T00:00:00"/>
    <x v="0"/>
    <x v="2"/>
    <x v="6"/>
    <n v="41"/>
    <x v="0"/>
    <s v="Male"/>
    <x v="1"/>
    <n v="1.8"/>
    <n v="3448.85"/>
    <n v="0"/>
    <n v="4.3"/>
    <n v="0.84"/>
  </r>
  <r>
    <s v="ENC100388"/>
    <s v="PT90271"/>
    <x v="3"/>
    <x v="3"/>
    <d v="2025-11-11T00:00:00"/>
    <d v="2025-11-16T00:00:00"/>
    <x v="6"/>
    <x v="1"/>
    <x v="7"/>
    <n v="20"/>
    <x v="4"/>
    <s v="Female"/>
    <x v="2"/>
    <n v="4.2"/>
    <n v="8149.85"/>
    <n v="0"/>
    <n v="3.9"/>
    <n v="0.82"/>
  </r>
  <r>
    <s v="ENC100389"/>
    <s v="PT23795"/>
    <x v="1"/>
    <x v="0"/>
    <d v="2025-01-11T00:00:00"/>
    <d v="2025-01-15T00:00:00"/>
    <x v="8"/>
    <x v="2"/>
    <x v="6"/>
    <n v="7"/>
    <x v="5"/>
    <s v="Female"/>
    <x v="2"/>
    <n v="3.4"/>
    <n v="8862.6"/>
    <n v="0"/>
    <n v="3.8"/>
    <n v="0.79"/>
  </r>
  <r>
    <s v="ENC100390"/>
    <s v="PT77205"/>
    <x v="1"/>
    <x v="0"/>
    <d v="2025-09-26T00:00:00"/>
    <d v="2025-09-27T00:00:00"/>
    <x v="8"/>
    <x v="0"/>
    <x v="6"/>
    <n v="28"/>
    <x v="4"/>
    <s v="Male"/>
    <x v="2"/>
    <n v="0.8"/>
    <n v="1703.2"/>
    <n v="1"/>
    <n v="3.4"/>
    <n v="0.86"/>
  </r>
  <r>
    <s v="ENC100391"/>
    <s v="PT26133"/>
    <x v="2"/>
    <x v="2"/>
    <d v="2025-05-07T00:00:00"/>
    <d v="2025-05-09T00:00:00"/>
    <x v="3"/>
    <x v="2"/>
    <x v="5"/>
    <n v="70"/>
    <x v="6"/>
    <s v="Male"/>
    <x v="1"/>
    <n v="1.7"/>
    <n v="3130.3"/>
    <n v="0"/>
    <n v="3.4"/>
    <n v="0.75"/>
  </r>
  <r>
    <s v="ENC100392"/>
    <s v="PT43048"/>
    <x v="4"/>
    <x v="2"/>
    <d v="2025-05-20T00:00:00"/>
    <d v="2025-05-21T00:00:00"/>
    <x v="9"/>
    <x v="0"/>
    <x v="1"/>
    <n v="89"/>
    <x v="3"/>
    <s v="Male"/>
    <x v="0"/>
    <n v="0.3"/>
    <n v="775.71"/>
    <n v="0"/>
    <n v="3.8"/>
    <n v="0.82"/>
  </r>
  <r>
    <s v="ENC100393"/>
    <s v="PT63943"/>
    <x v="1"/>
    <x v="2"/>
    <d v="2025-01-07T00:00:00"/>
    <d v="2025-01-09T00:00:00"/>
    <x v="7"/>
    <x v="1"/>
    <x v="5"/>
    <n v="60"/>
    <x v="1"/>
    <s v="Female"/>
    <x v="0"/>
    <n v="1.3"/>
    <n v="4135.4399999999996"/>
    <n v="0"/>
    <n v="4.4000000000000004"/>
    <n v="0.89"/>
  </r>
  <r>
    <s v="ENC100394"/>
    <s v="PT74792"/>
    <x v="2"/>
    <x v="3"/>
    <d v="2025-09-14T00:00:00"/>
    <d v="2025-09-16T00:00:00"/>
    <x v="1"/>
    <x v="0"/>
    <x v="7"/>
    <n v="75"/>
    <x v="3"/>
    <s v="Male"/>
    <x v="0"/>
    <n v="1.9"/>
    <n v="5723.78"/>
    <n v="0"/>
    <n v="4.2"/>
    <n v="0.77"/>
  </r>
  <r>
    <s v="ENC100395"/>
    <s v="PT88709"/>
    <x v="2"/>
    <x v="2"/>
    <d v="2025-03-02T00:00:00"/>
    <d v="2025-03-08T00:00:00"/>
    <x v="2"/>
    <x v="0"/>
    <x v="7"/>
    <n v="59"/>
    <x v="1"/>
    <s v="Male"/>
    <x v="0"/>
    <n v="5.7"/>
    <n v="12187.1"/>
    <n v="0"/>
    <n v="5"/>
    <n v="0.76"/>
  </r>
  <r>
    <s v="ENC100396"/>
    <s v="PT14030"/>
    <x v="3"/>
    <x v="1"/>
    <d v="2025-08-29T00:00:00"/>
    <d v="2025-09-02T00:00:00"/>
    <x v="8"/>
    <x v="0"/>
    <x v="0"/>
    <n v="59"/>
    <x v="1"/>
    <s v="Male"/>
    <x v="0"/>
    <n v="3.2"/>
    <n v="9813.11"/>
    <n v="0"/>
    <n v="4.3"/>
    <n v="0.97"/>
  </r>
  <r>
    <s v="ENC100397"/>
    <s v="PT27678"/>
    <x v="1"/>
    <x v="3"/>
    <d v="2025-09-22T00:00:00"/>
    <d v="2025-09-26T00:00:00"/>
    <x v="8"/>
    <x v="2"/>
    <x v="8"/>
    <n v="38"/>
    <x v="0"/>
    <s v="Male"/>
    <x v="1"/>
    <n v="3.6"/>
    <n v="9009.59"/>
    <n v="0"/>
    <n v="4.2"/>
    <n v="0.83"/>
  </r>
  <r>
    <s v="ENC100398"/>
    <s v="PT35245"/>
    <x v="0"/>
    <x v="0"/>
    <d v="2025-11-05T00:00:00"/>
    <d v="2025-11-06T00:00:00"/>
    <x v="1"/>
    <x v="0"/>
    <x v="9"/>
    <n v="5"/>
    <x v="5"/>
    <s v="Male"/>
    <x v="0"/>
    <n v="0.9"/>
    <n v="2956.36"/>
    <n v="0"/>
    <n v="3.7"/>
    <n v="0.76"/>
  </r>
  <r>
    <s v="ENC100399"/>
    <s v="PT37928"/>
    <x v="3"/>
    <x v="3"/>
    <d v="2025-09-16T00:00:00"/>
    <d v="2025-09-18T00:00:00"/>
    <x v="6"/>
    <x v="0"/>
    <x v="6"/>
    <n v="37"/>
    <x v="0"/>
    <s v="Male"/>
    <x v="0"/>
    <n v="1.6"/>
    <n v="4219.3599999999997"/>
    <n v="0"/>
    <n v="3.3"/>
    <n v="0.83"/>
  </r>
  <r>
    <s v="ENC100400"/>
    <s v="PT99821"/>
    <x v="1"/>
    <x v="2"/>
    <d v="2025-04-21T00:00:00"/>
    <d v="2025-04-28T00:00:00"/>
    <x v="1"/>
    <x v="1"/>
    <x v="8"/>
    <n v="78"/>
    <x v="3"/>
    <s v="Male"/>
    <x v="1"/>
    <n v="6.3"/>
    <n v="23768.26"/>
    <n v="0"/>
    <n v="3.6"/>
    <n v="0.88"/>
  </r>
  <r>
    <s v="ENC100401"/>
    <s v="PT79965"/>
    <x v="1"/>
    <x v="2"/>
    <d v="2025-09-27T00:00:00"/>
    <d v="2025-09-29T00:00:00"/>
    <x v="3"/>
    <x v="2"/>
    <x v="1"/>
    <n v="48"/>
    <x v="0"/>
    <s v="Male"/>
    <x v="0"/>
    <n v="1.4"/>
    <n v="2885.21"/>
    <n v="0"/>
    <n v="3.3"/>
    <n v="0.77"/>
  </r>
  <r>
    <s v="ENC100402"/>
    <s v="PT38837"/>
    <x v="1"/>
    <x v="0"/>
    <d v="2025-10-29T00:00:00"/>
    <d v="2025-11-03T00:00:00"/>
    <x v="2"/>
    <x v="2"/>
    <x v="1"/>
    <n v="69"/>
    <x v="6"/>
    <s v="Female"/>
    <x v="3"/>
    <n v="4.9000000000000004"/>
    <n v="8999.4"/>
    <n v="1"/>
    <n v="2.4"/>
    <n v="0.79"/>
  </r>
  <r>
    <s v="ENC100403"/>
    <s v="PT97463"/>
    <x v="0"/>
    <x v="3"/>
    <d v="2025-04-26T00:00:00"/>
    <d v="2025-04-30T00:00:00"/>
    <x v="1"/>
    <x v="0"/>
    <x v="3"/>
    <n v="4"/>
    <x v="5"/>
    <s v="Female"/>
    <x v="0"/>
    <n v="3.1"/>
    <n v="11927.27"/>
    <n v="0"/>
    <n v="3.3"/>
    <n v="0.84"/>
  </r>
  <r>
    <s v="ENC100404"/>
    <s v="PT54937"/>
    <x v="1"/>
    <x v="2"/>
    <d v="2025-02-15T00:00:00"/>
    <d v="2025-02-22T00:00:00"/>
    <x v="8"/>
    <x v="2"/>
    <x v="1"/>
    <n v="18"/>
    <x v="4"/>
    <s v="Male"/>
    <x v="1"/>
    <n v="6.3"/>
    <n v="16783.14"/>
    <n v="0"/>
    <n v="4.9000000000000004"/>
    <n v="0.81"/>
  </r>
  <r>
    <s v="ENC100405"/>
    <s v="PT55066"/>
    <x v="2"/>
    <x v="2"/>
    <d v="2025-11-21T00:00:00"/>
    <d v="2025-11-22T00:00:00"/>
    <x v="6"/>
    <x v="2"/>
    <x v="2"/>
    <n v="27"/>
    <x v="4"/>
    <s v="Male"/>
    <x v="0"/>
    <n v="0.8"/>
    <n v="2340.48"/>
    <n v="0"/>
    <n v="4.0999999999999996"/>
    <n v="0.75"/>
  </r>
  <r>
    <s v="ENC100406"/>
    <s v="PT49032"/>
    <x v="3"/>
    <x v="3"/>
    <d v="2025-02-23T00:00:00"/>
    <d v="2025-02-25T00:00:00"/>
    <x v="9"/>
    <x v="2"/>
    <x v="2"/>
    <n v="32"/>
    <x v="4"/>
    <s v="Female"/>
    <x v="1"/>
    <n v="1.9"/>
    <n v="4769.46"/>
    <n v="0"/>
    <n v="3.7"/>
    <n v="0.88"/>
  </r>
  <r>
    <s v="ENC100407"/>
    <s v="PT22950"/>
    <x v="1"/>
    <x v="1"/>
    <d v="2025-08-05T00:00:00"/>
    <d v="2025-08-09T00:00:00"/>
    <x v="6"/>
    <x v="0"/>
    <x v="7"/>
    <n v="89"/>
    <x v="3"/>
    <s v="Female"/>
    <x v="0"/>
    <n v="3.5"/>
    <n v="8060.46"/>
    <n v="1"/>
    <n v="4.0999999999999996"/>
    <n v="0.79"/>
  </r>
  <r>
    <s v="ENC100408"/>
    <s v="PT94092"/>
    <x v="2"/>
    <x v="0"/>
    <d v="2025-03-28T00:00:00"/>
    <d v="2025-03-29T00:00:00"/>
    <x v="7"/>
    <x v="2"/>
    <x v="2"/>
    <n v="42"/>
    <x v="0"/>
    <s v="Male"/>
    <x v="0"/>
    <n v="0.9"/>
    <n v="2998.73"/>
    <n v="0"/>
    <n v="2.7"/>
    <n v="0.69"/>
  </r>
  <r>
    <s v="ENC100409"/>
    <s v="PT11254"/>
    <x v="1"/>
    <x v="2"/>
    <d v="2025-02-15T00:00:00"/>
    <d v="2025-02-16T00:00:00"/>
    <x v="7"/>
    <x v="2"/>
    <x v="2"/>
    <n v="60"/>
    <x v="1"/>
    <s v="Male"/>
    <x v="1"/>
    <n v="0.2"/>
    <n v="558.05999999999995"/>
    <n v="0"/>
    <n v="4.0999999999999996"/>
    <n v="0.76"/>
  </r>
  <r>
    <s v="ENC100410"/>
    <s v="PT25684"/>
    <x v="1"/>
    <x v="3"/>
    <d v="2025-10-11T00:00:00"/>
    <d v="2025-10-22T00:00:00"/>
    <x v="8"/>
    <x v="2"/>
    <x v="3"/>
    <n v="58"/>
    <x v="1"/>
    <s v="Female"/>
    <x v="0"/>
    <n v="10.7"/>
    <n v="30608.59"/>
    <n v="0"/>
    <n v="4.5"/>
    <n v="0.84"/>
  </r>
  <r>
    <s v="ENC100411"/>
    <s v="PT30668"/>
    <x v="2"/>
    <x v="3"/>
    <d v="2025-02-22T00:00:00"/>
    <d v="2025-02-25T00:00:00"/>
    <x v="2"/>
    <x v="1"/>
    <x v="1"/>
    <n v="38"/>
    <x v="0"/>
    <s v="Female"/>
    <x v="0"/>
    <n v="3"/>
    <n v="7791.75"/>
    <n v="0"/>
    <n v="3.8"/>
    <n v="0.76"/>
  </r>
  <r>
    <s v="ENC100412"/>
    <s v="PT35136"/>
    <x v="0"/>
    <x v="3"/>
    <d v="2025-09-02T00:00:00"/>
    <d v="2025-09-03T00:00:00"/>
    <x v="2"/>
    <x v="0"/>
    <x v="7"/>
    <n v="87"/>
    <x v="3"/>
    <s v="Female"/>
    <x v="2"/>
    <n v="0.5"/>
    <n v="1018.25"/>
    <n v="0"/>
    <n v="2.8"/>
    <n v="0.77"/>
  </r>
  <r>
    <s v="ENC100413"/>
    <s v="PT21863"/>
    <x v="3"/>
    <x v="0"/>
    <d v="2025-09-10T00:00:00"/>
    <d v="2025-09-15T00:00:00"/>
    <x v="7"/>
    <x v="2"/>
    <x v="7"/>
    <n v="20"/>
    <x v="4"/>
    <s v="Male"/>
    <x v="0"/>
    <n v="4.8"/>
    <n v="15431.28"/>
    <n v="0"/>
    <n v="3.7"/>
    <n v="0.79"/>
  </r>
  <r>
    <s v="ENC100414"/>
    <s v="PT11616"/>
    <x v="0"/>
    <x v="0"/>
    <d v="2025-01-22T00:00:00"/>
    <d v="2025-01-24T00:00:00"/>
    <x v="1"/>
    <x v="2"/>
    <x v="0"/>
    <n v="3"/>
    <x v="5"/>
    <s v="Male"/>
    <x v="1"/>
    <n v="1.1000000000000001"/>
    <n v="3886.02"/>
    <n v="0"/>
    <n v="4.7"/>
    <n v="0.79"/>
  </r>
  <r>
    <s v="ENC100415"/>
    <s v="PT70988"/>
    <x v="1"/>
    <x v="2"/>
    <d v="2025-03-05T00:00:00"/>
    <d v="2025-03-07T00:00:00"/>
    <x v="8"/>
    <x v="0"/>
    <x v="0"/>
    <n v="67"/>
    <x v="6"/>
    <s v="Male"/>
    <x v="1"/>
    <n v="1.3"/>
    <n v="4446.1400000000003"/>
    <n v="0"/>
    <n v="4.0999999999999996"/>
    <n v="0.86"/>
  </r>
  <r>
    <s v="ENC100416"/>
    <s v="PT97236"/>
    <x v="0"/>
    <x v="1"/>
    <d v="2025-10-17T00:00:00"/>
    <d v="2025-10-20T00:00:00"/>
    <x v="3"/>
    <x v="2"/>
    <x v="0"/>
    <n v="59"/>
    <x v="1"/>
    <s v="Female"/>
    <x v="0"/>
    <n v="2.2999999999999998"/>
    <n v="4742.54"/>
    <n v="0"/>
    <n v="2.8"/>
    <n v="0.77"/>
  </r>
  <r>
    <s v="ENC100417"/>
    <s v="PT20964"/>
    <x v="1"/>
    <x v="3"/>
    <d v="2025-07-05T00:00:00"/>
    <d v="2025-07-07T00:00:00"/>
    <x v="0"/>
    <x v="0"/>
    <x v="2"/>
    <n v="23"/>
    <x v="4"/>
    <s v="Male"/>
    <x v="1"/>
    <n v="1.2"/>
    <n v="2144.38"/>
    <n v="0"/>
    <n v="5"/>
    <n v="0.79"/>
  </r>
  <r>
    <s v="ENC100418"/>
    <s v="PT36687"/>
    <x v="3"/>
    <x v="3"/>
    <d v="2025-02-14T00:00:00"/>
    <d v="2025-02-16T00:00:00"/>
    <x v="9"/>
    <x v="2"/>
    <x v="8"/>
    <n v="78"/>
    <x v="3"/>
    <s v="Female"/>
    <x v="0"/>
    <n v="1.4"/>
    <n v="3084.02"/>
    <n v="0"/>
    <n v="3.1"/>
    <n v="0.79"/>
  </r>
  <r>
    <s v="ENC100419"/>
    <s v="PT55569"/>
    <x v="2"/>
    <x v="2"/>
    <d v="2025-12-28T00:00:00"/>
    <d v="2025-12-29T00:00:00"/>
    <x v="3"/>
    <x v="1"/>
    <x v="1"/>
    <n v="14"/>
    <x v="2"/>
    <s v="Male"/>
    <x v="3"/>
    <n v="0.3"/>
    <n v="594.98"/>
    <n v="0"/>
    <n v="3.6"/>
    <n v="0.74"/>
  </r>
  <r>
    <s v="ENC100420"/>
    <s v="PT93474"/>
    <x v="4"/>
    <x v="0"/>
    <d v="2025-04-07T00:00:00"/>
    <d v="2025-04-10T00:00:00"/>
    <x v="8"/>
    <x v="2"/>
    <x v="2"/>
    <n v="22"/>
    <x v="4"/>
    <s v="Female"/>
    <x v="0"/>
    <n v="2.5"/>
    <n v="6783.15"/>
    <n v="0"/>
    <n v="3.3"/>
    <n v="0.79"/>
  </r>
  <r>
    <s v="ENC100421"/>
    <s v="PT72482"/>
    <x v="0"/>
    <x v="3"/>
    <d v="2025-01-02T00:00:00"/>
    <d v="2025-01-06T00:00:00"/>
    <x v="5"/>
    <x v="0"/>
    <x v="6"/>
    <n v="14"/>
    <x v="2"/>
    <s v="Female"/>
    <x v="0"/>
    <n v="3.8"/>
    <n v="11013.99"/>
    <n v="0"/>
    <n v="3.3"/>
    <n v="0.88"/>
  </r>
  <r>
    <s v="ENC100422"/>
    <s v="PT78956"/>
    <x v="2"/>
    <x v="1"/>
    <d v="2025-12-04T00:00:00"/>
    <d v="2025-12-07T00:00:00"/>
    <x v="1"/>
    <x v="2"/>
    <x v="2"/>
    <n v="16"/>
    <x v="2"/>
    <s v="Male"/>
    <x v="0"/>
    <n v="2.2000000000000002"/>
    <n v="7071.17"/>
    <n v="0"/>
    <n v="3.6"/>
    <n v="0.76"/>
  </r>
  <r>
    <s v="ENC100423"/>
    <s v="PT62299"/>
    <x v="3"/>
    <x v="1"/>
    <d v="2025-01-07T00:00:00"/>
    <d v="2025-01-11T00:00:00"/>
    <x v="3"/>
    <x v="1"/>
    <x v="2"/>
    <n v="66"/>
    <x v="6"/>
    <s v="Female"/>
    <x v="3"/>
    <n v="3.8"/>
    <n v="6091.27"/>
    <n v="0"/>
    <n v="4.0999999999999996"/>
    <n v="0.84"/>
  </r>
  <r>
    <s v="ENC100424"/>
    <s v="PT47532"/>
    <x v="1"/>
    <x v="0"/>
    <d v="2025-07-21T00:00:00"/>
    <d v="2025-07-23T00:00:00"/>
    <x v="7"/>
    <x v="1"/>
    <x v="3"/>
    <n v="64"/>
    <x v="1"/>
    <s v="Male"/>
    <x v="3"/>
    <n v="1.7"/>
    <n v="4625.9399999999996"/>
    <n v="0"/>
    <n v="4.7"/>
    <n v="0.85"/>
  </r>
  <r>
    <s v="ENC100425"/>
    <s v="PT27979"/>
    <x v="1"/>
    <x v="1"/>
    <d v="2025-12-29T00:00:00"/>
    <d v="2025-12-30T00:00:00"/>
    <x v="2"/>
    <x v="0"/>
    <x v="0"/>
    <n v="58"/>
    <x v="1"/>
    <s v="Male"/>
    <x v="2"/>
    <n v="1"/>
    <n v="2289.77"/>
    <n v="0"/>
    <n v="3.7"/>
    <n v="0.85"/>
  </r>
  <r>
    <s v="ENC100426"/>
    <s v="PT87787"/>
    <x v="1"/>
    <x v="2"/>
    <d v="2025-07-30T00:00:00"/>
    <d v="2025-08-03T00:00:00"/>
    <x v="7"/>
    <x v="2"/>
    <x v="1"/>
    <n v="78"/>
    <x v="3"/>
    <s v="Female"/>
    <x v="1"/>
    <n v="3.3"/>
    <n v="10231.51"/>
    <n v="0"/>
    <n v="3.3"/>
    <n v="0.8"/>
  </r>
  <r>
    <s v="ENC100427"/>
    <s v="PT82370"/>
    <x v="4"/>
    <x v="2"/>
    <d v="2025-08-02T00:00:00"/>
    <d v="2025-08-14T00:00:00"/>
    <x v="8"/>
    <x v="2"/>
    <x v="2"/>
    <n v="6"/>
    <x v="5"/>
    <s v="Female"/>
    <x v="1"/>
    <n v="11.6"/>
    <n v="30476.16"/>
    <n v="0"/>
    <n v="4"/>
    <n v="0.87"/>
  </r>
  <r>
    <s v="ENC100428"/>
    <s v="PT12259"/>
    <x v="0"/>
    <x v="1"/>
    <d v="2025-05-22T00:00:00"/>
    <d v="2025-05-27T00:00:00"/>
    <x v="8"/>
    <x v="0"/>
    <x v="1"/>
    <n v="56"/>
    <x v="1"/>
    <s v="Male"/>
    <x v="1"/>
    <n v="5"/>
    <n v="13908.5"/>
    <n v="1"/>
    <n v="4.2"/>
    <n v="0.8"/>
  </r>
  <r>
    <s v="ENC100429"/>
    <s v="PT74385"/>
    <x v="1"/>
    <x v="2"/>
    <d v="2025-02-16T00:00:00"/>
    <d v="2025-02-19T00:00:00"/>
    <x v="7"/>
    <x v="0"/>
    <x v="1"/>
    <n v="10"/>
    <x v="5"/>
    <s v="Male"/>
    <x v="3"/>
    <n v="2.5"/>
    <n v="7140.15"/>
    <n v="0"/>
    <n v="4"/>
    <n v="0.83"/>
  </r>
  <r>
    <s v="ENC100430"/>
    <s v="PT17594"/>
    <x v="4"/>
    <x v="0"/>
    <d v="2025-07-29T00:00:00"/>
    <d v="2025-08-01T00:00:00"/>
    <x v="5"/>
    <x v="2"/>
    <x v="4"/>
    <n v="86"/>
    <x v="3"/>
    <s v="Female"/>
    <x v="1"/>
    <n v="2.2999999999999998"/>
    <n v="4999.3"/>
    <n v="1"/>
    <n v="4.0999999999999996"/>
    <n v="0.8"/>
  </r>
  <r>
    <s v="ENC100431"/>
    <s v="PT76507"/>
    <x v="0"/>
    <x v="3"/>
    <d v="2025-11-24T00:00:00"/>
    <d v="2025-11-26T00:00:00"/>
    <x v="1"/>
    <x v="2"/>
    <x v="7"/>
    <n v="57"/>
    <x v="1"/>
    <s v="Female"/>
    <x v="0"/>
    <n v="1.3"/>
    <n v="3645.56"/>
    <n v="0"/>
    <n v="3.8"/>
    <n v="0.81"/>
  </r>
  <r>
    <s v="ENC100432"/>
    <s v="PT84335"/>
    <x v="1"/>
    <x v="2"/>
    <d v="2025-02-03T00:00:00"/>
    <d v="2025-02-08T00:00:00"/>
    <x v="4"/>
    <x v="2"/>
    <x v="0"/>
    <n v="69"/>
    <x v="6"/>
    <s v="Male"/>
    <x v="1"/>
    <n v="4.2"/>
    <n v="24045.360000000001"/>
    <n v="0"/>
    <n v="3.9"/>
    <n v="0.88"/>
  </r>
  <r>
    <s v="ENC100433"/>
    <s v="PT21795"/>
    <x v="3"/>
    <x v="3"/>
    <d v="2025-11-18T00:00:00"/>
    <d v="2025-11-21T00:00:00"/>
    <x v="2"/>
    <x v="0"/>
    <x v="0"/>
    <n v="51"/>
    <x v="1"/>
    <s v="Female"/>
    <x v="1"/>
    <n v="2.2000000000000002"/>
    <n v="5939.51"/>
    <n v="0"/>
    <n v="3.8"/>
    <n v="0.82"/>
  </r>
  <r>
    <s v="ENC100434"/>
    <s v="PT49044"/>
    <x v="0"/>
    <x v="1"/>
    <d v="2025-06-01T00:00:00"/>
    <d v="2025-06-05T00:00:00"/>
    <x v="9"/>
    <x v="0"/>
    <x v="5"/>
    <n v="34"/>
    <x v="4"/>
    <s v="Male"/>
    <x v="0"/>
    <n v="3.3"/>
    <n v="8739.91"/>
    <n v="0"/>
    <n v="4.5"/>
    <n v="0.83"/>
  </r>
  <r>
    <s v="ENC100435"/>
    <s v="PT21137"/>
    <x v="4"/>
    <x v="1"/>
    <d v="2025-07-15T00:00:00"/>
    <d v="2025-07-21T00:00:00"/>
    <x v="7"/>
    <x v="0"/>
    <x v="6"/>
    <n v="62"/>
    <x v="1"/>
    <s v="Male"/>
    <x v="0"/>
    <n v="5.6"/>
    <n v="16846.93"/>
    <n v="0"/>
    <n v="5"/>
    <n v="0.79"/>
  </r>
  <r>
    <s v="ENC100436"/>
    <s v="PT61054"/>
    <x v="0"/>
    <x v="0"/>
    <d v="2025-03-02T00:00:00"/>
    <d v="2025-03-05T00:00:00"/>
    <x v="7"/>
    <x v="0"/>
    <x v="1"/>
    <n v="76"/>
    <x v="3"/>
    <s v="Female"/>
    <x v="0"/>
    <n v="2.8"/>
    <n v="9415.16"/>
    <n v="0"/>
    <n v="4"/>
    <n v="0.84"/>
  </r>
  <r>
    <s v="ENC100437"/>
    <s v="PT93479"/>
    <x v="4"/>
    <x v="2"/>
    <d v="2025-08-15T00:00:00"/>
    <d v="2025-08-21T00:00:00"/>
    <x v="9"/>
    <x v="2"/>
    <x v="2"/>
    <n v="16"/>
    <x v="2"/>
    <s v="Male"/>
    <x v="3"/>
    <n v="6"/>
    <n v="11919.45"/>
    <n v="0"/>
    <n v="3.9"/>
    <n v="0.77"/>
  </r>
  <r>
    <s v="ENC100438"/>
    <s v="PT17278"/>
    <x v="3"/>
    <x v="3"/>
    <d v="2025-03-08T00:00:00"/>
    <d v="2025-03-10T00:00:00"/>
    <x v="8"/>
    <x v="2"/>
    <x v="0"/>
    <n v="79"/>
    <x v="3"/>
    <s v="Female"/>
    <x v="0"/>
    <n v="1.8"/>
    <n v="4942.7299999999996"/>
    <n v="0"/>
    <n v="4.0999999999999996"/>
    <n v="0.83"/>
  </r>
  <r>
    <s v="ENC100439"/>
    <s v="PT45781"/>
    <x v="0"/>
    <x v="0"/>
    <d v="2025-04-10T00:00:00"/>
    <d v="2025-04-11T00:00:00"/>
    <x v="2"/>
    <x v="2"/>
    <x v="6"/>
    <n v="66"/>
    <x v="6"/>
    <s v="Female"/>
    <x v="3"/>
    <n v="0.7"/>
    <n v="1368.85"/>
    <n v="1"/>
    <n v="3.5"/>
    <n v="0.83"/>
  </r>
  <r>
    <s v="ENC100440"/>
    <s v="PT97579"/>
    <x v="0"/>
    <x v="1"/>
    <d v="2025-09-21T00:00:00"/>
    <d v="2025-09-25T00:00:00"/>
    <x v="2"/>
    <x v="0"/>
    <x v="1"/>
    <n v="7"/>
    <x v="5"/>
    <s v="Male"/>
    <x v="1"/>
    <n v="3.1"/>
    <n v="7857.38"/>
    <n v="0"/>
    <n v="4.4000000000000004"/>
    <n v="0.81"/>
  </r>
  <r>
    <s v="ENC100441"/>
    <s v="PT37085"/>
    <x v="3"/>
    <x v="2"/>
    <d v="2025-01-19T00:00:00"/>
    <d v="2025-01-22T00:00:00"/>
    <x v="3"/>
    <x v="2"/>
    <x v="8"/>
    <n v="85"/>
    <x v="3"/>
    <s v="Male"/>
    <x v="3"/>
    <n v="2.1"/>
    <n v="3834.14"/>
    <n v="0"/>
    <n v="4"/>
    <n v="0.81"/>
  </r>
  <r>
    <s v="ENC100442"/>
    <s v="PT21899"/>
    <x v="3"/>
    <x v="0"/>
    <d v="2025-06-13T00:00:00"/>
    <d v="2025-06-17T00:00:00"/>
    <x v="5"/>
    <x v="2"/>
    <x v="8"/>
    <n v="16"/>
    <x v="2"/>
    <s v="Male"/>
    <x v="0"/>
    <n v="3.6"/>
    <n v="9682.9500000000007"/>
    <n v="0"/>
    <n v="3.6"/>
    <n v="0.89"/>
  </r>
  <r>
    <s v="ENC100443"/>
    <s v="PT53972"/>
    <x v="3"/>
    <x v="3"/>
    <d v="2025-08-06T00:00:00"/>
    <d v="2025-08-07T00:00:00"/>
    <x v="8"/>
    <x v="2"/>
    <x v="8"/>
    <n v="54"/>
    <x v="1"/>
    <s v="Female"/>
    <x v="2"/>
    <n v="1"/>
    <n v="2326.69"/>
    <n v="0"/>
    <n v="4.4000000000000004"/>
    <n v="0.87"/>
  </r>
  <r>
    <s v="ENC100444"/>
    <s v="PT55753"/>
    <x v="4"/>
    <x v="3"/>
    <d v="2025-02-18T00:00:00"/>
    <d v="2025-02-22T00:00:00"/>
    <x v="8"/>
    <x v="2"/>
    <x v="3"/>
    <n v="11"/>
    <x v="5"/>
    <s v="Male"/>
    <x v="1"/>
    <n v="3.6"/>
    <n v="10149.129999999999"/>
    <n v="0"/>
    <n v="3.9"/>
    <n v="0.78"/>
  </r>
  <r>
    <s v="ENC100445"/>
    <s v="PT69657"/>
    <x v="1"/>
    <x v="1"/>
    <d v="2025-04-18T00:00:00"/>
    <d v="2025-04-23T00:00:00"/>
    <x v="5"/>
    <x v="0"/>
    <x v="5"/>
    <n v="17"/>
    <x v="2"/>
    <s v="Female"/>
    <x v="0"/>
    <n v="4.0999999999999996"/>
    <n v="10986.92"/>
    <n v="0"/>
    <n v="3.3"/>
    <n v="0.8"/>
  </r>
  <r>
    <s v="ENC100446"/>
    <s v="PT38236"/>
    <x v="2"/>
    <x v="1"/>
    <d v="2025-05-06T00:00:00"/>
    <d v="2025-05-10T00:00:00"/>
    <x v="6"/>
    <x v="2"/>
    <x v="3"/>
    <n v="58"/>
    <x v="1"/>
    <s v="Male"/>
    <x v="0"/>
    <n v="3.5"/>
    <n v="9298.83"/>
    <n v="0"/>
    <n v="4.0999999999999996"/>
    <n v="0.76"/>
  </r>
  <r>
    <s v="ENC100447"/>
    <s v="PT96005"/>
    <x v="0"/>
    <x v="0"/>
    <d v="2025-08-31T00:00:00"/>
    <d v="2025-09-04T00:00:00"/>
    <x v="2"/>
    <x v="2"/>
    <x v="1"/>
    <n v="61"/>
    <x v="1"/>
    <s v="Female"/>
    <x v="0"/>
    <n v="3.3"/>
    <n v="8392.6"/>
    <n v="1"/>
    <n v="4"/>
    <n v="0.83"/>
  </r>
  <r>
    <s v="ENC100448"/>
    <s v="PT56891"/>
    <x v="2"/>
    <x v="0"/>
    <d v="2025-12-23T00:00:00"/>
    <d v="2025-12-31T00:00:00"/>
    <x v="1"/>
    <x v="0"/>
    <x v="2"/>
    <n v="62"/>
    <x v="1"/>
    <s v="Female"/>
    <x v="0"/>
    <n v="7.1"/>
    <n v="24602.080000000002"/>
    <n v="0"/>
    <n v="4.3"/>
    <n v="0.69"/>
  </r>
  <r>
    <s v="ENC100449"/>
    <s v="PT35779"/>
    <x v="2"/>
    <x v="3"/>
    <d v="2025-11-02T00:00:00"/>
    <d v="2025-11-04T00:00:00"/>
    <x v="1"/>
    <x v="2"/>
    <x v="4"/>
    <n v="31"/>
    <x v="4"/>
    <s v="Female"/>
    <x v="1"/>
    <n v="1.3"/>
    <n v="3868.51"/>
    <n v="0"/>
    <n v="4.4000000000000004"/>
    <n v="0.77"/>
  </r>
  <r>
    <s v="ENC100450"/>
    <s v="PT96424"/>
    <x v="4"/>
    <x v="2"/>
    <d v="2025-03-11T00:00:00"/>
    <d v="2025-03-12T00:00:00"/>
    <x v="6"/>
    <x v="2"/>
    <x v="3"/>
    <n v="74"/>
    <x v="6"/>
    <s v="Male"/>
    <x v="2"/>
    <n v="0.2"/>
    <n v="425.33"/>
    <n v="1"/>
    <n v="3.8"/>
    <n v="0.81"/>
  </r>
  <r>
    <s v="ENC100451"/>
    <s v="PT93231"/>
    <x v="4"/>
    <x v="1"/>
    <d v="2025-01-07T00:00:00"/>
    <d v="2025-01-08T00:00:00"/>
    <x v="6"/>
    <x v="2"/>
    <x v="2"/>
    <n v="4"/>
    <x v="5"/>
    <s v="Female"/>
    <x v="1"/>
    <n v="0.4"/>
    <n v="896.12"/>
    <n v="0"/>
    <n v="3.6"/>
    <n v="0.69"/>
  </r>
  <r>
    <s v="ENC100452"/>
    <s v="PT54924"/>
    <x v="0"/>
    <x v="3"/>
    <d v="2025-01-19T00:00:00"/>
    <d v="2025-01-20T00:00:00"/>
    <x v="8"/>
    <x v="0"/>
    <x v="8"/>
    <n v="77"/>
    <x v="3"/>
    <s v="Male"/>
    <x v="1"/>
    <n v="0.9"/>
    <n v="2137.14"/>
    <n v="0"/>
    <n v="3.9"/>
    <n v="0.81"/>
  </r>
  <r>
    <s v="ENC100453"/>
    <s v="PT12237"/>
    <x v="4"/>
    <x v="1"/>
    <d v="2025-08-06T00:00:00"/>
    <d v="2025-08-08T00:00:00"/>
    <x v="3"/>
    <x v="2"/>
    <x v="4"/>
    <n v="27"/>
    <x v="4"/>
    <s v="Male"/>
    <x v="1"/>
    <n v="1.9"/>
    <n v="2727.65"/>
    <n v="0"/>
    <n v="3.9"/>
    <n v="0.81"/>
  </r>
  <r>
    <s v="ENC100454"/>
    <s v="PT63723"/>
    <x v="2"/>
    <x v="1"/>
    <d v="2025-02-27T00:00:00"/>
    <d v="2025-03-01T00:00:00"/>
    <x v="9"/>
    <x v="0"/>
    <x v="9"/>
    <n v="56"/>
    <x v="1"/>
    <s v="Female"/>
    <x v="3"/>
    <n v="1.5"/>
    <n v="3008.13"/>
    <n v="0"/>
    <n v="4.2"/>
    <n v="0.77"/>
  </r>
  <r>
    <s v="ENC100455"/>
    <s v="PT59967"/>
    <x v="2"/>
    <x v="3"/>
    <d v="2025-03-26T00:00:00"/>
    <d v="2025-04-08T00:00:00"/>
    <x v="7"/>
    <x v="1"/>
    <x v="7"/>
    <n v="82"/>
    <x v="3"/>
    <s v="Female"/>
    <x v="3"/>
    <n v="12.1"/>
    <n v="34029.97"/>
    <n v="0"/>
    <n v="3.9"/>
    <n v="0.78"/>
  </r>
  <r>
    <s v="ENC100456"/>
    <s v="PT23338"/>
    <x v="0"/>
    <x v="2"/>
    <d v="2025-11-06T00:00:00"/>
    <d v="2025-11-07T00:00:00"/>
    <x v="8"/>
    <x v="0"/>
    <x v="6"/>
    <n v="23"/>
    <x v="4"/>
    <s v="Female"/>
    <x v="0"/>
    <n v="1"/>
    <n v="2451.6799999999998"/>
    <n v="1"/>
    <n v="3.8"/>
    <n v="0.79"/>
  </r>
  <r>
    <s v="ENC100457"/>
    <s v="PT67057"/>
    <x v="2"/>
    <x v="3"/>
    <d v="2025-11-15T00:00:00"/>
    <d v="2025-11-25T00:00:00"/>
    <x v="1"/>
    <x v="2"/>
    <x v="0"/>
    <n v="37"/>
    <x v="0"/>
    <s v="Female"/>
    <x v="2"/>
    <n v="9.6"/>
    <n v="31485.03"/>
    <n v="0"/>
    <n v="4.3"/>
    <n v="0.71"/>
  </r>
  <r>
    <s v="ENC100458"/>
    <s v="PT85670"/>
    <x v="0"/>
    <x v="1"/>
    <d v="2025-11-03T00:00:00"/>
    <d v="2025-11-05T00:00:00"/>
    <x v="7"/>
    <x v="0"/>
    <x v="0"/>
    <n v="75"/>
    <x v="3"/>
    <s v="Male"/>
    <x v="0"/>
    <n v="1.8"/>
    <n v="6771.97"/>
    <n v="1"/>
    <n v="3.5"/>
    <n v="0.73"/>
  </r>
  <r>
    <s v="ENC100459"/>
    <s v="PT19530"/>
    <x v="2"/>
    <x v="3"/>
    <d v="2025-04-03T00:00:00"/>
    <d v="2025-04-04T00:00:00"/>
    <x v="3"/>
    <x v="2"/>
    <x v="1"/>
    <n v="78"/>
    <x v="3"/>
    <s v="Male"/>
    <x v="3"/>
    <n v="0.9"/>
    <n v="1362.06"/>
    <n v="0"/>
    <n v="5"/>
    <n v="0.79"/>
  </r>
  <r>
    <s v="ENC100460"/>
    <s v="PT75098"/>
    <x v="4"/>
    <x v="0"/>
    <d v="2025-08-15T00:00:00"/>
    <d v="2025-08-16T00:00:00"/>
    <x v="8"/>
    <x v="2"/>
    <x v="5"/>
    <n v="21"/>
    <x v="4"/>
    <s v="Male"/>
    <x v="2"/>
    <n v="0.6"/>
    <n v="1349.19"/>
    <n v="0"/>
    <n v="4.4000000000000004"/>
    <n v="0.81"/>
  </r>
  <r>
    <s v="ENC100461"/>
    <s v="PT22630"/>
    <x v="2"/>
    <x v="2"/>
    <d v="2025-08-11T00:00:00"/>
    <d v="2025-08-26T00:00:00"/>
    <x v="4"/>
    <x v="2"/>
    <x v="6"/>
    <n v="46"/>
    <x v="0"/>
    <s v="Female"/>
    <x v="1"/>
    <n v="14.9"/>
    <n v="69815.92"/>
    <n v="1"/>
    <n v="2.9"/>
    <n v="0.8"/>
  </r>
  <r>
    <s v="ENC100462"/>
    <s v="PT77393"/>
    <x v="2"/>
    <x v="3"/>
    <d v="2025-03-09T00:00:00"/>
    <d v="2025-03-12T00:00:00"/>
    <x v="2"/>
    <x v="2"/>
    <x v="1"/>
    <n v="30"/>
    <x v="4"/>
    <s v="Female"/>
    <x v="0"/>
    <n v="2.7"/>
    <n v="6946.56"/>
    <n v="0"/>
    <n v="4"/>
    <n v="0.72"/>
  </r>
  <r>
    <s v="ENC100463"/>
    <s v="PT47719"/>
    <x v="4"/>
    <x v="2"/>
    <d v="2025-07-22T00:00:00"/>
    <d v="2025-08-04T00:00:00"/>
    <x v="8"/>
    <x v="2"/>
    <x v="7"/>
    <n v="47"/>
    <x v="0"/>
    <s v="Female"/>
    <x v="1"/>
    <n v="12.9"/>
    <n v="26524.71"/>
    <n v="0"/>
    <n v="4.2"/>
    <n v="0.81"/>
  </r>
  <r>
    <s v="ENC100464"/>
    <s v="PT10585"/>
    <x v="0"/>
    <x v="1"/>
    <d v="2025-07-11T00:00:00"/>
    <d v="2025-07-19T00:00:00"/>
    <x v="1"/>
    <x v="2"/>
    <x v="8"/>
    <n v="34"/>
    <x v="4"/>
    <s v="Male"/>
    <x v="0"/>
    <n v="7.4"/>
    <n v="26921.33"/>
    <n v="0"/>
    <n v="3.5"/>
    <n v="0.74"/>
  </r>
  <r>
    <s v="ENC100465"/>
    <s v="PT96959"/>
    <x v="3"/>
    <x v="0"/>
    <d v="2025-05-25T00:00:00"/>
    <d v="2025-05-28T00:00:00"/>
    <x v="1"/>
    <x v="2"/>
    <x v="2"/>
    <n v="0"/>
    <x v="5"/>
    <s v="Female"/>
    <x v="3"/>
    <n v="2.8"/>
    <n v="7783.8"/>
    <n v="1"/>
    <n v="3"/>
    <n v="0.81"/>
  </r>
  <r>
    <s v="ENC100466"/>
    <s v="PT24937"/>
    <x v="4"/>
    <x v="3"/>
    <d v="2025-10-02T00:00:00"/>
    <d v="2025-10-04T00:00:00"/>
    <x v="1"/>
    <x v="2"/>
    <x v="8"/>
    <n v="84"/>
    <x v="3"/>
    <s v="Female"/>
    <x v="0"/>
    <n v="1.8"/>
    <n v="6564.84"/>
    <n v="1"/>
    <n v="3.3"/>
    <n v="0.79"/>
  </r>
  <r>
    <s v="ENC100467"/>
    <s v="PT63643"/>
    <x v="2"/>
    <x v="0"/>
    <d v="2025-09-05T00:00:00"/>
    <d v="2025-09-11T00:00:00"/>
    <x v="8"/>
    <x v="0"/>
    <x v="4"/>
    <n v="57"/>
    <x v="1"/>
    <s v="Male"/>
    <x v="1"/>
    <n v="5.6"/>
    <n v="12537.39"/>
    <n v="0"/>
    <n v="4.2"/>
    <n v="0.78"/>
  </r>
  <r>
    <s v="ENC100468"/>
    <s v="PT26331"/>
    <x v="3"/>
    <x v="3"/>
    <d v="2025-07-14T00:00:00"/>
    <d v="2025-07-15T00:00:00"/>
    <x v="3"/>
    <x v="1"/>
    <x v="7"/>
    <n v="42"/>
    <x v="0"/>
    <s v="Male"/>
    <x v="3"/>
    <n v="1"/>
    <n v="1577.28"/>
    <n v="0"/>
    <n v="2.6"/>
    <n v="0.91"/>
  </r>
  <r>
    <s v="ENC100469"/>
    <s v="PT93971"/>
    <x v="3"/>
    <x v="0"/>
    <d v="2025-09-22T00:00:00"/>
    <d v="2025-09-24T00:00:00"/>
    <x v="1"/>
    <x v="2"/>
    <x v="3"/>
    <n v="9"/>
    <x v="5"/>
    <s v="Female"/>
    <x v="0"/>
    <n v="1.7"/>
    <n v="5726.67"/>
    <n v="0"/>
    <n v="3"/>
    <n v="0.83"/>
  </r>
  <r>
    <s v="ENC100470"/>
    <s v="PT76448"/>
    <x v="4"/>
    <x v="2"/>
    <d v="2025-10-06T00:00:00"/>
    <d v="2025-10-09T00:00:00"/>
    <x v="6"/>
    <x v="0"/>
    <x v="7"/>
    <n v="6"/>
    <x v="5"/>
    <s v="Male"/>
    <x v="0"/>
    <n v="2.6"/>
    <n v="6241.58"/>
    <n v="0"/>
    <n v="4.2"/>
    <n v="0.75"/>
  </r>
  <r>
    <s v="ENC100471"/>
    <s v="PT82391"/>
    <x v="2"/>
    <x v="1"/>
    <d v="2025-07-26T00:00:00"/>
    <d v="2025-07-27T00:00:00"/>
    <x v="4"/>
    <x v="2"/>
    <x v="7"/>
    <n v="43"/>
    <x v="0"/>
    <s v="Female"/>
    <x v="1"/>
    <n v="0.7"/>
    <n v="2610.12"/>
    <n v="0"/>
    <n v="3.7"/>
    <n v="0.71"/>
  </r>
  <r>
    <s v="ENC100472"/>
    <s v="PT48886"/>
    <x v="3"/>
    <x v="2"/>
    <d v="2025-04-08T00:00:00"/>
    <d v="2025-04-12T00:00:00"/>
    <x v="2"/>
    <x v="2"/>
    <x v="4"/>
    <n v="59"/>
    <x v="1"/>
    <s v="Female"/>
    <x v="0"/>
    <n v="3.9"/>
    <n v="8258.0300000000007"/>
    <n v="0"/>
    <n v="3.5"/>
    <n v="0.81"/>
  </r>
  <r>
    <s v="ENC100473"/>
    <s v="PT52063"/>
    <x v="0"/>
    <x v="0"/>
    <d v="2025-10-04T00:00:00"/>
    <d v="2025-10-06T00:00:00"/>
    <x v="3"/>
    <x v="2"/>
    <x v="4"/>
    <n v="23"/>
    <x v="4"/>
    <s v="Female"/>
    <x v="0"/>
    <n v="1.6"/>
    <n v="2556.96"/>
    <n v="1"/>
    <n v="3.4"/>
    <n v="0.89"/>
  </r>
  <r>
    <s v="ENC100474"/>
    <s v="PT67086"/>
    <x v="1"/>
    <x v="0"/>
    <d v="2025-09-19T00:00:00"/>
    <d v="2025-09-20T00:00:00"/>
    <x v="2"/>
    <x v="2"/>
    <x v="0"/>
    <n v="67"/>
    <x v="6"/>
    <s v="Female"/>
    <x v="0"/>
    <n v="1"/>
    <n v="2697.9"/>
    <n v="0"/>
    <n v="3"/>
    <n v="0.85"/>
  </r>
  <r>
    <s v="ENC100475"/>
    <s v="PT80627"/>
    <x v="1"/>
    <x v="3"/>
    <d v="2025-12-25T00:00:00"/>
    <d v="2025-12-31T00:00:00"/>
    <x v="9"/>
    <x v="2"/>
    <x v="9"/>
    <n v="35"/>
    <x v="0"/>
    <s v="Male"/>
    <x v="0"/>
    <n v="5.2"/>
    <n v="12127.71"/>
    <n v="0"/>
    <n v="4.2"/>
    <n v="0.86"/>
  </r>
  <r>
    <s v="ENC100476"/>
    <s v="PT86227"/>
    <x v="3"/>
    <x v="1"/>
    <d v="2025-02-24T00:00:00"/>
    <d v="2025-03-02T00:00:00"/>
    <x v="2"/>
    <x v="2"/>
    <x v="6"/>
    <n v="1"/>
    <x v="5"/>
    <s v="Male"/>
    <x v="1"/>
    <n v="5.8"/>
    <n v="10952.08"/>
    <n v="0"/>
    <n v="3.4"/>
    <n v="0.83"/>
  </r>
  <r>
    <s v="ENC100477"/>
    <s v="PT11605"/>
    <x v="0"/>
    <x v="2"/>
    <d v="2025-06-03T00:00:00"/>
    <d v="2025-06-08T00:00:00"/>
    <x v="5"/>
    <x v="2"/>
    <x v="5"/>
    <n v="48"/>
    <x v="0"/>
    <s v="Male"/>
    <x v="1"/>
    <n v="4.5999999999999996"/>
    <n v="12966.83"/>
    <n v="0"/>
    <n v="3.6"/>
    <n v="0.8"/>
  </r>
  <r>
    <s v="ENC100478"/>
    <s v="PT69719"/>
    <x v="4"/>
    <x v="2"/>
    <d v="2025-12-04T00:00:00"/>
    <d v="2025-12-06T00:00:00"/>
    <x v="1"/>
    <x v="2"/>
    <x v="1"/>
    <n v="16"/>
    <x v="2"/>
    <s v="Female"/>
    <x v="0"/>
    <n v="1.4"/>
    <n v="4946.84"/>
    <n v="0"/>
    <n v="4.0999999999999996"/>
    <n v="0.81"/>
  </r>
  <r>
    <s v="ENC100479"/>
    <s v="PT19822"/>
    <x v="4"/>
    <x v="2"/>
    <d v="2025-07-07T00:00:00"/>
    <d v="2025-07-11T00:00:00"/>
    <x v="0"/>
    <x v="2"/>
    <x v="9"/>
    <n v="1"/>
    <x v="5"/>
    <s v="Male"/>
    <x v="1"/>
    <n v="3.3"/>
    <n v="6528.3"/>
    <n v="0"/>
    <n v="3.7"/>
    <n v="0.76"/>
  </r>
  <r>
    <s v="ENC100480"/>
    <s v="PT35913"/>
    <x v="2"/>
    <x v="2"/>
    <d v="2025-12-11T00:00:00"/>
    <d v="2025-12-14T00:00:00"/>
    <x v="2"/>
    <x v="2"/>
    <x v="7"/>
    <n v="11"/>
    <x v="5"/>
    <s v="Male"/>
    <x v="0"/>
    <n v="2.1"/>
    <n v="4902.58"/>
    <n v="0"/>
    <n v="3.5"/>
    <n v="0.74"/>
  </r>
  <r>
    <s v="ENC100481"/>
    <s v="PT84647"/>
    <x v="0"/>
    <x v="3"/>
    <d v="2025-01-05T00:00:00"/>
    <d v="2025-01-09T00:00:00"/>
    <x v="1"/>
    <x v="2"/>
    <x v="8"/>
    <n v="25"/>
    <x v="4"/>
    <s v="Female"/>
    <x v="0"/>
    <n v="4"/>
    <n v="14187.01"/>
    <n v="0"/>
    <n v="2.7"/>
    <n v="0.77"/>
  </r>
  <r>
    <s v="ENC100482"/>
    <s v="PT32545"/>
    <x v="3"/>
    <x v="0"/>
    <d v="2025-01-13T00:00:00"/>
    <d v="2025-01-18T00:00:00"/>
    <x v="2"/>
    <x v="2"/>
    <x v="7"/>
    <n v="46"/>
    <x v="0"/>
    <s v="Male"/>
    <x v="3"/>
    <n v="5"/>
    <n v="10582.33"/>
    <n v="0"/>
    <n v="4.0999999999999996"/>
    <n v="0.82"/>
  </r>
  <r>
    <s v="ENC100483"/>
    <s v="PT81712"/>
    <x v="2"/>
    <x v="2"/>
    <d v="2025-10-18T00:00:00"/>
    <d v="2025-10-19T00:00:00"/>
    <x v="6"/>
    <x v="2"/>
    <x v="0"/>
    <n v="90"/>
    <x v="3"/>
    <s v="Male"/>
    <x v="0"/>
    <n v="0.7"/>
    <n v="1935.89"/>
    <n v="1"/>
    <n v="3.9"/>
    <n v="0.75"/>
  </r>
  <r>
    <s v="ENC100484"/>
    <s v="PT51670"/>
    <x v="3"/>
    <x v="1"/>
    <d v="2025-05-11T00:00:00"/>
    <d v="2025-05-12T00:00:00"/>
    <x v="3"/>
    <x v="2"/>
    <x v="1"/>
    <n v="19"/>
    <x v="4"/>
    <s v="Male"/>
    <x v="1"/>
    <n v="0.2"/>
    <n v="406.01"/>
    <n v="0"/>
    <n v="3.4"/>
    <n v="0.81"/>
  </r>
  <r>
    <s v="ENC100485"/>
    <s v="PT30937"/>
    <x v="3"/>
    <x v="2"/>
    <d v="2025-07-09T00:00:00"/>
    <d v="2025-07-12T00:00:00"/>
    <x v="8"/>
    <x v="2"/>
    <x v="2"/>
    <n v="5"/>
    <x v="5"/>
    <s v="Female"/>
    <x v="2"/>
    <n v="2.2000000000000002"/>
    <n v="5155.3"/>
    <n v="0"/>
    <n v="3.3"/>
    <n v="0.85"/>
  </r>
  <r>
    <s v="ENC100486"/>
    <s v="PT40081"/>
    <x v="4"/>
    <x v="0"/>
    <d v="2025-06-06T00:00:00"/>
    <d v="2025-06-19T00:00:00"/>
    <x v="5"/>
    <x v="2"/>
    <x v="9"/>
    <n v="17"/>
    <x v="2"/>
    <s v="Male"/>
    <x v="1"/>
    <n v="13"/>
    <n v="33968.65"/>
    <n v="0"/>
    <n v="3.7"/>
    <n v="0.79"/>
  </r>
  <r>
    <s v="ENC100487"/>
    <s v="PT57768"/>
    <x v="2"/>
    <x v="3"/>
    <d v="2025-05-29T00:00:00"/>
    <d v="2025-06-13T00:00:00"/>
    <x v="5"/>
    <x v="1"/>
    <x v="6"/>
    <n v="29"/>
    <x v="4"/>
    <s v="Female"/>
    <x v="1"/>
    <n v="14.3"/>
    <n v="39290.76"/>
    <n v="0"/>
    <n v="4"/>
    <n v="0.74"/>
  </r>
  <r>
    <s v="ENC100488"/>
    <s v="PT78862"/>
    <x v="1"/>
    <x v="0"/>
    <d v="2025-12-09T00:00:00"/>
    <d v="2025-12-12T00:00:00"/>
    <x v="0"/>
    <x v="2"/>
    <x v="8"/>
    <n v="18"/>
    <x v="4"/>
    <s v="Male"/>
    <x v="0"/>
    <n v="2.7"/>
    <n v="6731.42"/>
    <n v="0"/>
    <n v="4"/>
    <n v="0.79"/>
  </r>
  <r>
    <s v="ENC100489"/>
    <s v="PT64540"/>
    <x v="3"/>
    <x v="0"/>
    <d v="2025-02-04T00:00:00"/>
    <d v="2025-02-13T00:00:00"/>
    <x v="7"/>
    <x v="2"/>
    <x v="6"/>
    <n v="29"/>
    <x v="4"/>
    <s v="Male"/>
    <x v="0"/>
    <n v="9"/>
    <n v="30271.75"/>
    <n v="0"/>
    <n v="4.7"/>
    <n v="0.84"/>
  </r>
  <r>
    <s v="ENC100490"/>
    <s v="PT93989"/>
    <x v="4"/>
    <x v="1"/>
    <d v="2025-10-09T00:00:00"/>
    <d v="2025-10-12T00:00:00"/>
    <x v="2"/>
    <x v="2"/>
    <x v="8"/>
    <n v="88"/>
    <x v="3"/>
    <s v="Female"/>
    <x v="0"/>
    <n v="2.8"/>
    <n v="6417.05"/>
    <n v="0"/>
    <n v="4.3"/>
    <n v="0.76"/>
  </r>
  <r>
    <s v="ENC100491"/>
    <s v="PT88095"/>
    <x v="2"/>
    <x v="0"/>
    <d v="2025-11-21T00:00:00"/>
    <d v="2025-11-25T00:00:00"/>
    <x v="1"/>
    <x v="1"/>
    <x v="0"/>
    <n v="34"/>
    <x v="4"/>
    <s v="Male"/>
    <x v="3"/>
    <n v="3.5"/>
    <n v="11033.44"/>
    <n v="0"/>
    <n v="3.8"/>
    <n v="0.75"/>
  </r>
  <r>
    <s v="ENC100492"/>
    <s v="PT77801"/>
    <x v="3"/>
    <x v="0"/>
    <d v="2025-08-28T00:00:00"/>
    <d v="2025-08-31T00:00:00"/>
    <x v="8"/>
    <x v="0"/>
    <x v="4"/>
    <n v="57"/>
    <x v="1"/>
    <s v="Male"/>
    <x v="3"/>
    <n v="2.5"/>
    <n v="5583.29"/>
    <n v="0"/>
    <n v="4.3"/>
    <n v="0.88"/>
  </r>
  <r>
    <s v="ENC100493"/>
    <s v="PT64279"/>
    <x v="1"/>
    <x v="1"/>
    <d v="2025-05-25T00:00:00"/>
    <d v="2025-05-31T00:00:00"/>
    <x v="2"/>
    <x v="0"/>
    <x v="5"/>
    <n v="62"/>
    <x v="1"/>
    <s v="Male"/>
    <x v="0"/>
    <n v="5.8"/>
    <n v="12463.45"/>
    <n v="0"/>
    <n v="3.9"/>
    <n v="0.77"/>
  </r>
  <r>
    <s v="ENC100494"/>
    <s v="PT36086"/>
    <x v="3"/>
    <x v="1"/>
    <d v="2025-02-28T00:00:00"/>
    <d v="2025-03-08T00:00:00"/>
    <x v="2"/>
    <x v="1"/>
    <x v="9"/>
    <n v="11"/>
    <x v="5"/>
    <s v="Female"/>
    <x v="0"/>
    <n v="8"/>
    <n v="16118.51"/>
    <n v="1"/>
    <n v="3.7"/>
    <n v="0.93"/>
  </r>
  <r>
    <s v="ENC100495"/>
    <s v="PT47131"/>
    <x v="1"/>
    <x v="3"/>
    <d v="2025-09-07T00:00:00"/>
    <d v="2025-09-10T00:00:00"/>
    <x v="0"/>
    <x v="2"/>
    <x v="6"/>
    <n v="22"/>
    <x v="4"/>
    <s v="Female"/>
    <x v="0"/>
    <n v="2.2000000000000002"/>
    <n v="4063.48"/>
    <n v="0"/>
    <n v="4.7"/>
    <n v="0.82"/>
  </r>
  <r>
    <s v="ENC100496"/>
    <s v="PT20700"/>
    <x v="0"/>
    <x v="0"/>
    <d v="2025-06-21T00:00:00"/>
    <d v="2025-06-25T00:00:00"/>
    <x v="8"/>
    <x v="1"/>
    <x v="7"/>
    <n v="37"/>
    <x v="0"/>
    <s v="Female"/>
    <x v="1"/>
    <n v="3.3"/>
    <n v="6990.43"/>
    <n v="0"/>
    <n v="3.4"/>
    <n v="0.82"/>
  </r>
  <r>
    <s v="ENC100497"/>
    <s v="PT43676"/>
    <x v="0"/>
    <x v="2"/>
    <d v="2025-02-24T00:00:00"/>
    <d v="2025-02-27T00:00:00"/>
    <x v="2"/>
    <x v="2"/>
    <x v="1"/>
    <n v="41"/>
    <x v="0"/>
    <s v="Female"/>
    <x v="1"/>
    <n v="2.6"/>
    <n v="6904.27"/>
    <n v="0"/>
    <n v="3.9"/>
    <n v="0.77"/>
  </r>
  <r>
    <s v="ENC100498"/>
    <s v="PT93381"/>
    <x v="4"/>
    <x v="1"/>
    <d v="2025-05-12T00:00:00"/>
    <d v="2025-05-18T00:00:00"/>
    <x v="9"/>
    <x v="0"/>
    <x v="8"/>
    <n v="1"/>
    <x v="5"/>
    <s v="Male"/>
    <x v="1"/>
    <n v="5.9"/>
    <n v="12913.88"/>
    <n v="0"/>
    <n v="4.5999999999999996"/>
    <n v="0.83"/>
  </r>
  <r>
    <s v="ENC100499"/>
    <s v="PT48328"/>
    <x v="0"/>
    <x v="3"/>
    <d v="2025-12-17T00:00:00"/>
    <d v="2025-12-23T00:00:00"/>
    <x v="2"/>
    <x v="2"/>
    <x v="2"/>
    <n v="58"/>
    <x v="1"/>
    <s v="Female"/>
    <x v="3"/>
    <n v="5.4"/>
    <n v="12648.68"/>
    <n v="0"/>
    <n v="4.0999999999999996"/>
    <n v="0.79"/>
  </r>
  <r>
    <s v="ENC100500"/>
    <s v="PT20235"/>
    <x v="3"/>
    <x v="1"/>
    <d v="2025-04-07T00:00:00"/>
    <d v="2025-04-09T00:00:00"/>
    <x v="1"/>
    <x v="2"/>
    <x v="6"/>
    <n v="27"/>
    <x v="4"/>
    <s v="Male"/>
    <x v="0"/>
    <n v="1.4"/>
    <n v="4901.96"/>
    <n v="0"/>
    <n v="3.7"/>
    <n v="0.82"/>
  </r>
  <r>
    <s v="ENC100501"/>
    <s v="PT68673"/>
    <x v="4"/>
    <x v="3"/>
    <d v="2025-03-07T00:00:00"/>
    <d v="2025-03-15T00:00:00"/>
    <x v="9"/>
    <x v="1"/>
    <x v="6"/>
    <n v="29"/>
    <x v="4"/>
    <s v="Male"/>
    <x v="1"/>
    <n v="7.3"/>
    <n v="16485.7"/>
    <n v="0"/>
    <n v="2.7"/>
    <n v="0.76"/>
  </r>
  <r>
    <s v="ENC100502"/>
    <s v="PT96634"/>
    <x v="0"/>
    <x v="3"/>
    <d v="2025-09-06T00:00:00"/>
    <d v="2025-09-07T00:00:00"/>
    <x v="6"/>
    <x v="2"/>
    <x v="5"/>
    <n v="54"/>
    <x v="1"/>
    <s v="Male"/>
    <x v="1"/>
    <n v="0.2"/>
    <n v="408.52"/>
    <n v="0"/>
    <n v="2.5"/>
    <n v="0.79"/>
  </r>
  <r>
    <s v="ENC100503"/>
    <s v="PT88073"/>
    <x v="3"/>
    <x v="3"/>
    <d v="2025-03-14T00:00:00"/>
    <d v="2025-03-30T00:00:00"/>
    <x v="4"/>
    <x v="1"/>
    <x v="8"/>
    <n v="86"/>
    <x v="3"/>
    <s v="Female"/>
    <x v="0"/>
    <n v="15.1"/>
    <n v="68519.179999999993"/>
    <n v="0"/>
    <n v="4.8"/>
    <n v="0.86"/>
  </r>
  <r>
    <s v="ENC100504"/>
    <s v="PT34666"/>
    <x v="2"/>
    <x v="0"/>
    <d v="2025-12-02T00:00:00"/>
    <d v="2025-12-10T00:00:00"/>
    <x v="5"/>
    <x v="2"/>
    <x v="2"/>
    <n v="78"/>
    <x v="3"/>
    <s v="Male"/>
    <x v="3"/>
    <n v="7.7"/>
    <n v="22117.86"/>
    <n v="0"/>
    <n v="3.9"/>
    <n v="0.76"/>
  </r>
  <r>
    <s v="ENC100505"/>
    <s v="PT50850"/>
    <x v="1"/>
    <x v="0"/>
    <d v="2025-11-10T00:00:00"/>
    <d v="2025-11-13T00:00:00"/>
    <x v="9"/>
    <x v="0"/>
    <x v="5"/>
    <n v="89"/>
    <x v="3"/>
    <s v="Male"/>
    <x v="0"/>
    <n v="2.1"/>
    <n v="5649.15"/>
    <n v="0"/>
    <n v="3.5"/>
    <n v="0.82"/>
  </r>
  <r>
    <s v="ENC100506"/>
    <s v="PT57790"/>
    <x v="3"/>
    <x v="1"/>
    <d v="2025-12-25T00:00:00"/>
    <d v="2025-12-26T00:00:00"/>
    <x v="3"/>
    <x v="1"/>
    <x v="7"/>
    <n v="37"/>
    <x v="0"/>
    <s v="Male"/>
    <x v="1"/>
    <n v="1"/>
    <n v="1710.73"/>
    <n v="0"/>
    <n v="3.9"/>
    <n v="0.81"/>
  </r>
  <r>
    <s v="ENC100507"/>
    <s v="PT32305"/>
    <x v="1"/>
    <x v="0"/>
    <d v="2025-11-30T00:00:00"/>
    <d v="2025-12-05T00:00:00"/>
    <x v="7"/>
    <x v="2"/>
    <x v="8"/>
    <n v="10"/>
    <x v="5"/>
    <s v="Female"/>
    <x v="3"/>
    <n v="4.0999999999999996"/>
    <n v="10615.69"/>
    <n v="0"/>
    <n v="3.3"/>
    <n v="0.79"/>
  </r>
  <r>
    <s v="ENC100508"/>
    <s v="PT34182"/>
    <x v="0"/>
    <x v="0"/>
    <d v="2025-03-30T00:00:00"/>
    <d v="2025-04-01T00:00:00"/>
    <x v="1"/>
    <x v="1"/>
    <x v="1"/>
    <n v="19"/>
    <x v="4"/>
    <s v="Male"/>
    <x v="3"/>
    <n v="1.4"/>
    <n v="4077.38"/>
    <n v="0"/>
    <n v="3.7"/>
    <n v="0.78"/>
  </r>
  <r>
    <s v="ENC100509"/>
    <s v="PT31299"/>
    <x v="0"/>
    <x v="3"/>
    <d v="2025-03-19T00:00:00"/>
    <d v="2025-03-27T00:00:00"/>
    <x v="6"/>
    <x v="0"/>
    <x v="8"/>
    <n v="31"/>
    <x v="4"/>
    <s v="Female"/>
    <x v="1"/>
    <n v="7.9"/>
    <n v="17744.52"/>
    <n v="0"/>
    <n v="3.1"/>
    <n v="0.82"/>
  </r>
  <r>
    <s v="ENC100510"/>
    <s v="PT99511"/>
    <x v="3"/>
    <x v="0"/>
    <d v="2025-05-06T00:00:00"/>
    <d v="2025-05-09T00:00:00"/>
    <x v="2"/>
    <x v="0"/>
    <x v="0"/>
    <n v="27"/>
    <x v="4"/>
    <s v="Male"/>
    <x v="0"/>
    <n v="2.7"/>
    <n v="7725.91"/>
    <n v="1"/>
    <n v="3.1"/>
    <n v="0.87"/>
  </r>
  <r>
    <s v="ENC100511"/>
    <s v="PT77140"/>
    <x v="1"/>
    <x v="3"/>
    <d v="2025-06-21T00:00:00"/>
    <d v="2025-06-23T00:00:00"/>
    <x v="7"/>
    <x v="2"/>
    <x v="8"/>
    <n v="18"/>
    <x v="4"/>
    <s v="Female"/>
    <x v="3"/>
    <n v="1.9"/>
    <n v="6124.44"/>
    <n v="0"/>
    <n v="2.6"/>
    <n v="0.85"/>
  </r>
  <r>
    <s v="ENC100512"/>
    <s v="PT85676"/>
    <x v="1"/>
    <x v="0"/>
    <d v="2025-11-18T00:00:00"/>
    <d v="2025-11-25T00:00:00"/>
    <x v="9"/>
    <x v="2"/>
    <x v="8"/>
    <n v="13"/>
    <x v="2"/>
    <s v="Female"/>
    <x v="3"/>
    <n v="7"/>
    <n v="15541.24"/>
    <n v="0"/>
    <n v="2.9"/>
    <n v="0.82"/>
  </r>
  <r>
    <s v="ENC100513"/>
    <s v="PT83490"/>
    <x v="2"/>
    <x v="1"/>
    <d v="2025-09-25T00:00:00"/>
    <d v="2025-09-30T00:00:00"/>
    <x v="1"/>
    <x v="0"/>
    <x v="5"/>
    <n v="16"/>
    <x v="2"/>
    <s v="Male"/>
    <x v="1"/>
    <n v="4.4000000000000004"/>
    <n v="13287.98"/>
    <n v="1"/>
    <n v="4.5"/>
    <n v="0.77"/>
  </r>
  <r>
    <s v="ENC100514"/>
    <s v="PT96321"/>
    <x v="1"/>
    <x v="1"/>
    <d v="2025-08-24T00:00:00"/>
    <d v="2025-08-28T00:00:00"/>
    <x v="6"/>
    <x v="2"/>
    <x v="8"/>
    <n v="59"/>
    <x v="1"/>
    <s v="Female"/>
    <x v="3"/>
    <n v="4"/>
    <n v="10254.25"/>
    <n v="0"/>
    <n v="3.3"/>
    <n v="0.81"/>
  </r>
  <r>
    <s v="ENC100515"/>
    <s v="PT19474"/>
    <x v="0"/>
    <x v="1"/>
    <d v="2025-11-17T00:00:00"/>
    <d v="2025-11-28T00:00:00"/>
    <x v="2"/>
    <x v="2"/>
    <x v="0"/>
    <n v="44"/>
    <x v="0"/>
    <s v="Male"/>
    <x v="0"/>
    <n v="10.6"/>
    <n v="25363.360000000001"/>
    <n v="0"/>
    <n v="4"/>
    <n v="0.73"/>
  </r>
  <r>
    <s v="ENC100516"/>
    <s v="PT89346"/>
    <x v="2"/>
    <x v="3"/>
    <d v="2025-08-24T00:00:00"/>
    <d v="2025-08-29T00:00:00"/>
    <x v="6"/>
    <x v="2"/>
    <x v="2"/>
    <n v="3"/>
    <x v="5"/>
    <s v="Male"/>
    <x v="1"/>
    <n v="4.4000000000000004"/>
    <n v="10354.59"/>
    <n v="0"/>
    <n v="4.5"/>
    <n v="0.74"/>
  </r>
  <r>
    <s v="ENC100517"/>
    <s v="PT15990"/>
    <x v="2"/>
    <x v="2"/>
    <d v="2025-05-19T00:00:00"/>
    <d v="2025-05-23T00:00:00"/>
    <x v="4"/>
    <x v="1"/>
    <x v="7"/>
    <n v="51"/>
    <x v="1"/>
    <s v="Female"/>
    <x v="3"/>
    <n v="3.3"/>
    <n v="12648.54"/>
    <n v="0"/>
    <n v="3.8"/>
    <n v="0.73"/>
  </r>
  <r>
    <s v="ENC100518"/>
    <s v="PT52787"/>
    <x v="1"/>
    <x v="3"/>
    <d v="2025-05-31T00:00:00"/>
    <d v="2025-06-10T00:00:00"/>
    <x v="4"/>
    <x v="2"/>
    <x v="0"/>
    <n v="76"/>
    <x v="3"/>
    <s v="Female"/>
    <x v="0"/>
    <n v="9.6"/>
    <n v="44293.599999999999"/>
    <n v="0"/>
    <n v="3.4"/>
    <n v="0.78"/>
  </r>
  <r>
    <s v="ENC100519"/>
    <s v="PT63498"/>
    <x v="4"/>
    <x v="0"/>
    <d v="2025-07-08T00:00:00"/>
    <d v="2025-07-10T00:00:00"/>
    <x v="1"/>
    <x v="0"/>
    <x v="8"/>
    <n v="38"/>
    <x v="0"/>
    <s v="Female"/>
    <x v="1"/>
    <n v="1.5"/>
    <n v="4575.8500000000004"/>
    <n v="0"/>
    <n v="4"/>
    <n v="0.76"/>
  </r>
  <r>
    <s v="ENC100520"/>
    <s v="PT42207"/>
    <x v="3"/>
    <x v="1"/>
    <d v="2025-02-02T00:00:00"/>
    <d v="2025-02-03T00:00:00"/>
    <x v="3"/>
    <x v="1"/>
    <x v="2"/>
    <n v="28"/>
    <x v="4"/>
    <s v="Male"/>
    <x v="2"/>
    <n v="0.7"/>
    <n v="1060.3399999999999"/>
    <n v="0"/>
    <n v="3.5"/>
    <n v="0.85"/>
  </r>
  <r>
    <s v="ENC100521"/>
    <s v="PT23155"/>
    <x v="0"/>
    <x v="2"/>
    <d v="2025-09-28T00:00:00"/>
    <d v="2025-10-03T00:00:00"/>
    <x v="8"/>
    <x v="2"/>
    <x v="5"/>
    <n v="24"/>
    <x v="4"/>
    <s v="Male"/>
    <x v="3"/>
    <n v="4.2"/>
    <n v="11126.68"/>
    <n v="0"/>
    <n v="4.5999999999999996"/>
    <n v="0.75"/>
  </r>
  <r>
    <s v="ENC100522"/>
    <s v="PT27306"/>
    <x v="1"/>
    <x v="1"/>
    <d v="2025-08-27T00:00:00"/>
    <d v="2025-09-02T00:00:00"/>
    <x v="2"/>
    <x v="2"/>
    <x v="4"/>
    <n v="34"/>
    <x v="4"/>
    <s v="Female"/>
    <x v="3"/>
    <n v="5.9"/>
    <n v="12908.3"/>
    <n v="0"/>
    <n v="5"/>
    <n v="0.79"/>
  </r>
  <r>
    <s v="ENC100523"/>
    <s v="PT84218"/>
    <x v="1"/>
    <x v="0"/>
    <d v="2025-09-24T00:00:00"/>
    <d v="2025-09-26T00:00:00"/>
    <x v="0"/>
    <x v="0"/>
    <x v="2"/>
    <n v="25"/>
    <x v="4"/>
    <s v="Female"/>
    <x v="0"/>
    <n v="1.2"/>
    <n v="2670.3"/>
    <n v="0"/>
    <n v="4.8"/>
    <n v="0.88"/>
  </r>
  <r>
    <s v="ENC100524"/>
    <s v="PT38684"/>
    <x v="4"/>
    <x v="2"/>
    <d v="2025-07-14T00:00:00"/>
    <d v="2025-07-18T00:00:00"/>
    <x v="5"/>
    <x v="2"/>
    <x v="1"/>
    <n v="84"/>
    <x v="3"/>
    <s v="Female"/>
    <x v="2"/>
    <n v="3.3"/>
    <n v="8300.31"/>
    <n v="1"/>
    <n v="2.6"/>
    <n v="0.72"/>
  </r>
  <r>
    <s v="ENC100525"/>
    <s v="PT37929"/>
    <x v="3"/>
    <x v="0"/>
    <d v="2025-10-13T00:00:00"/>
    <d v="2025-10-14T00:00:00"/>
    <x v="3"/>
    <x v="0"/>
    <x v="1"/>
    <n v="90"/>
    <x v="3"/>
    <s v="Male"/>
    <x v="0"/>
    <n v="0.8"/>
    <n v="1535.41"/>
    <n v="0"/>
    <n v="3.4"/>
    <n v="0.83"/>
  </r>
  <r>
    <s v="ENC100526"/>
    <s v="PT93101"/>
    <x v="4"/>
    <x v="1"/>
    <d v="2025-12-13T00:00:00"/>
    <d v="2025-12-19T00:00:00"/>
    <x v="6"/>
    <x v="0"/>
    <x v="6"/>
    <n v="31"/>
    <x v="4"/>
    <s v="Female"/>
    <x v="1"/>
    <n v="5.4"/>
    <n v="12777.75"/>
    <n v="0"/>
    <n v="3.9"/>
    <n v="0.73"/>
  </r>
  <r>
    <s v="ENC100527"/>
    <s v="PT22948"/>
    <x v="1"/>
    <x v="1"/>
    <d v="2025-07-28T00:00:00"/>
    <d v="2025-08-01T00:00:00"/>
    <x v="1"/>
    <x v="0"/>
    <x v="7"/>
    <n v="84"/>
    <x v="3"/>
    <s v="Female"/>
    <x v="1"/>
    <n v="3.2"/>
    <n v="9104.01"/>
    <n v="0"/>
    <n v="4.2"/>
    <n v="0.79"/>
  </r>
  <r>
    <s v="ENC100528"/>
    <s v="PT92373"/>
    <x v="0"/>
    <x v="3"/>
    <d v="2025-06-12T00:00:00"/>
    <d v="2025-06-16T00:00:00"/>
    <x v="3"/>
    <x v="2"/>
    <x v="0"/>
    <n v="77"/>
    <x v="3"/>
    <s v="Male"/>
    <x v="3"/>
    <n v="3.5"/>
    <n v="6491.14"/>
    <n v="0"/>
    <n v="2.7"/>
    <n v="0.79"/>
  </r>
  <r>
    <s v="ENC100529"/>
    <s v="PT92886"/>
    <x v="1"/>
    <x v="1"/>
    <d v="2025-02-08T00:00:00"/>
    <d v="2025-02-11T00:00:00"/>
    <x v="7"/>
    <x v="0"/>
    <x v="8"/>
    <n v="6"/>
    <x v="5"/>
    <s v="Female"/>
    <x v="3"/>
    <n v="2.8"/>
    <n v="8247.2800000000007"/>
    <n v="0"/>
    <n v="2.9"/>
    <n v="0.78"/>
  </r>
  <r>
    <s v="ENC100530"/>
    <s v="PT63869"/>
    <x v="4"/>
    <x v="3"/>
    <d v="2025-10-12T00:00:00"/>
    <d v="2025-10-14T00:00:00"/>
    <x v="9"/>
    <x v="0"/>
    <x v="9"/>
    <n v="44"/>
    <x v="0"/>
    <s v="Male"/>
    <x v="3"/>
    <n v="1.3"/>
    <n v="2545.88"/>
    <n v="0"/>
    <n v="4.7"/>
    <n v="0.8"/>
  </r>
  <r>
    <s v="ENC100531"/>
    <s v="PT24897"/>
    <x v="3"/>
    <x v="0"/>
    <d v="2025-11-26T00:00:00"/>
    <d v="2025-11-29T00:00:00"/>
    <x v="3"/>
    <x v="2"/>
    <x v="9"/>
    <n v="59"/>
    <x v="1"/>
    <s v="Male"/>
    <x v="1"/>
    <n v="2.8"/>
    <n v="4616.1099999999997"/>
    <n v="0"/>
    <n v="3.4"/>
    <n v="0.89"/>
  </r>
  <r>
    <s v="ENC100532"/>
    <s v="PT24027"/>
    <x v="2"/>
    <x v="0"/>
    <d v="2025-09-13T00:00:00"/>
    <d v="2025-09-18T00:00:00"/>
    <x v="2"/>
    <x v="0"/>
    <x v="1"/>
    <n v="38"/>
    <x v="0"/>
    <s v="Male"/>
    <x v="1"/>
    <n v="4.0999999999999996"/>
    <n v="9255.84"/>
    <n v="0"/>
    <n v="3"/>
    <n v="0.78"/>
  </r>
  <r>
    <s v="ENC100533"/>
    <s v="PT35624"/>
    <x v="1"/>
    <x v="1"/>
    <d v="2025-11-12T00:00:00"/>
    <d v="2025-11-21T00:00:00"/>
    <x v="8"/>
    <x v="1"/>
    <x v="1"/>
    <n v="41"/>
    <x v="0"/>
    <s v="Female"/>
    <x v="1"/>
    <n v="8.1"/>
    <n v="21378.81"/>
    <n v="0"/>
    <n v="3"/>
    <n v="0.86"/>
  </r>
  <r>
    <s v="ENC100534"/>
    <s v="PT61966"/>
    <x v="0"/>
    <x v="2"/>
    <d v="2025-11-11T00:00:00"/>
    <d v="2025-11-12T00:00:00"/>
    <x v="1"/>
    <x v="0"/>
    <x v="8"/>
    <n v="44"/>
    <x v="0"/>
    <s v="Male"/>
    <x v="1"/>
    <n v="1"/>
    <n v="3100.57"/>
    <n v="0"/>
    <n v="4.0999999999999996"/>
    <n v="0.74"/>
  </r>
  <r>
    <s v="ENC100535"/>
    <s v="PT23825"/>
    <x v="1"/>
    <x v="0"/>
    <d v="2025-10-19T00:00:00"/>
    <d v="2025-10-22T00:00:00"/>
    <x v="2"/>
    <x v="2"/>
    <x v="9"/>
    <n v="62"/>
    <x v="1"/>
    <s v="Female"/>
    <x v="0"/>
    <n v="3"/>
    <n v="7002.44"/>
    <n v="0"/>
    <n v="3.4"/>
    <n v="0.81"/>
  </r>
  <r>
    <s v="ENC100536"/>
    <s v="PT51008"/>
    <x v="1"/>
    <x v="3"/>
    <d v="2025-07-03T00:00:00"/>
    <d v="2025-07-08T00:00:00"/>
    <x v="1"/>
    <x v="2"/>
    <x v="5"/>
    <n v="26"/>
    <x v="4"/>
    <s v="Male"/>
    <x v="1"/>
    <n v="4.4000000000000004"/>
    <n v="11689.04"/>
    <n v="0"/>
    <n v="4"/>
    <n v="0.84"/>
  </r>
  <r>
    <s v="ENC100537"/>
    <s v="PT20393"/>
    <x v="0"/>
    <x v="0"/>
    <d v="2025-02-06T00:00:00"/>
    <d v="2025-02-10T00:00:00"/>
    <x v="8"/>
    <x v="2"/>
    <x v="5"/>
    <n v="54"/>
    <x v="1"/>
    <s v="Female"/>
    <x v="3"/>
    <n v="4"/>
    <n v="10716.81"/>
    <n v="0"/>
    <n v="3.3"/>
    <n v="0.83"/>
  </r>
  <r>
    <s v="ENC100538"/>
    <s v="PT58625"/>
    <x v="0"/>
    <x v="1"/>
    <d v="2025-01-02T00:00:00"/>
    <d v="2025-01-04T00:00:00"/>
    <x v="0"/>
    <x v="2"/>
    <x v="4"/>
    <n v="22"/>
    <x v="4"/>
    <s v="Male"/>
    <x v="1"/>
    <n v="1.9"/>
    <n v="3675.91"/>
    <n v="0"/>
    <n v="2.9"/>
    <n v="0.87"/>
  </r>
  <r>
    <s v="ENC100539"/>
    <s v="PT11903"/>
    <x v="2"/>
    <x v="0"/>
    <d v="2025-03-16T00:00:00"/>
    <d v="2025-03-20T00:00:00"/>
    <x v="2"/>
    <x v="2"/>
    <x v="8"/>
    <n v="80"/>
    <x v="3"/>
    <s v="Female"/>
    <x v="3"/>
    <n v="3.5"/>
    <n v="7675.21"/>
    <n v="0"/>
    <n v="4.8"/>
    <n v="0.79"/>
  </r>
  <r>
    <s v="ENC100540"/>
    <s v="PT73812"/>
    <x v="3"/>
    <x v="0"/>
    <d v="2025-06-07T00:00:00"/>
    <d v="2025-06-11T00:00:00"/>
    <x v="8"/>
    <x v="1"/>
    <x v="8"/>
    <n v="7"/>
    <x v="5"/>
    <s v="Male"/>
    <x v="0"/>
    <n v="3.9"/>
    <n v="11586.44"/>
    <n v="0"/>
    <n v="4.0999999999999996"/>
    <n v="0.88"/>
  </r>
  <r>
    <s v="ENC100541"/>
    <s v="PT14985"/>
    <x v="4"/>
    <x v="0"/>
    <d v="2025-09-29T00:00:00"/>
    <d v="2025-10-02T00:00:00"/>
    <x v="8"/>
    <x v="2"/>
    <x v="2"/>
    <n v="6"/>
    <x v="5"/>
    <s v="Male"/>
    <x v="1"/>
    <n v="2.1"/>
    <n v="5029.68"/>
    <n v="1"/>
    <n v="3.7"/>
    <n v="0.89"/>
  </r>
  <r>
    <s v="ENC100542"/>
    <s v="PT27533"/>
    <x v="3"/>
    <x v="2"/>
    <d v="2025-06-16T00:00:00"/>
    <d v="2025-06-18T00:00:00"/>
    <x v="3"/>
    <x v="0"/>
    <x v="4"/>
    <n v="3"/>
    <x v="5"/>
    <s v="Female"/>
    <x v="0"/>
    <n v="2"/>
    <n v="3269.93"/>
    <n v="0"/>
    <n v="3.4"/>
    <n v="0.84"/>
  </r>
  <r>
    <s v="ENC100543"/>
    <s v="PT25717"/>
    <x v="0"/>
    <x v="2"/>
    <d v="2025-01-09T00:00:00"/>
    <d v="2025-01-17T00:00:00"/>
    <x v="9"/>
    <x v="2"/>
    <x v="6"/>
    <n v="31"/>
    <x v="4"/>
    <s v="Female"/>
    <x v="0"/>
    <n v="7.1"/>
    <n v="15880.33"/>
    <n v="0"/>
    <n v="4.5999999999999996"/>
    <n v="0.79"/>
  </r>
  <r>
    <s v="ENC100544"/>
    <s v="PT84788"/>
    <x v="4"/>
    <x v="2"/>
    <d v="2025-03-18T00:00:00"/>
    <d v="2025-03-24T00:00:00"/>
    <x v="2"/>
    <x v="2"/>
    <x v="8"/>
    <n v="55"/>
    <x v="1"/>
    <s v="Male"/>
    <x v="1"/>
    <n v="5.0999999999999996"/>
    <n v="11046.62"/>
    <n v="0"/>
    <n v="4.3"/>
    <n v="0.79"/>
  </r>
  <r>
    <s v="ENC100545"/>
    <s v="PT14804"/>
    <x v="3"/>
    <x v="3"/>
    <d v="2025-12-24T00:00:00"/>
    <d v="2026-01-02T00:00:00"/>
    <x v="4"/>
    <x v="2"/>
    <x v="2"/>
    <n v="89"/>
    <x v="3"/>
    <s v="Female"/>
    <x v="0"/>
    <n v="8.1999999999999993"/>
    <n v="38184.769999999997"/>
    <n v="1"/>
    <n v="4.3"/>
    <n v="0.8"/>
  </r>
  <r>
    <s v="ENC100546"/>
    <s v="PT48632"/>
    <x v="1"/>
    <x v="3"/>
    <d v="2025-12-27T00:00:00"/>
    <d v="2025-12-30T00:00:00"/>
    <x v="2"/>
    <x v="2"/>
    <x v="5"/>
    <n v="41"/>
    <x v="0"/>
    <s v="Male"/>
    <x v="0"/>
    <n v="2.8"/>
    <n v="6107.21"/>
    <n v="0"/>
    <n v="3.5"/>
    <n v="0.82"/>
  </r>
  <r>
    <s v="ENC100547"/>
    <s v="PT63202"/>
    <x v="0"/>
    <x v="3"/>
    <d v="2025-05-18T00:00:00"/>
    <d v="2025-05-21T00:00:00"/>
    <x v="0"/>
    <x v="0"/>
    <x v="9"/>
    <n v="16"/>
    <x v="2"/>
    <s v="Male"/>
    <x v="1"/>
    <n v="2.4"/>
    <n v="4915.16"/>
    <n v="1"/>
    <n v="3.9"/>
    <n v="0.73"/>
  </r>
  <r>
    <s v="ENC100548"/>
    <s v="PT56439"/>
    <x v="2"/>
    <x v="1"/>
    <d v="2025-10-21T00:00:00"/>
    <d v="2025-10-26T00:00:00"/>
    <x v="5"/>
    <x v="1"/>
    <x v="5"/>
    <n v="33"/>
    <x v="4"/>
    <s v="Female"/>
    <x v="1"/>
    <n v="4.8"/>
    <n v="10160.379999999999"/>
    <n v="0"/>
    <n v="4.0999999999999996"/>
    <n v="0.73"/>
  </r>
  <r>
    <s v="ENC100549"/>
    <s v="PT71263"/>
    <x v="4"/>
    <x v="2"/>
    <d v="2025-09-20T00:00:00"/>
    <d v="2025-09-22T00:00:00"/>
    <x v="5"/>
    <x v="1"/>
    <x v="1"/>
    <n v="11"/>
    <x v="5"/>
    <s v="Female"/>
    <x v="0"/>
    <n v="1.5"/>
    <n v="4396.09"/>
    <n v="0"/>
    <n v="3.6"/>
    <n v="0.78"/>
  </r>
  <r>
    <s v="ENC100550"/>
    <s v="PT82278"/>
    <x v="3"/>
    <x v="2"/>
    <d v="2025-12-06T00:00:00"/>
    <d v="2025-12-19T00:00:00"/>
    <x v="4"/>
    <x v="2"/>
    <x v="7"/>
    <n v="42"/>
    <x v="0"/>
    <s v="Male"/>
    <x v="0"/>
    <n v="12.3"/>
    <n v="56483.55"/>
    <n v="0"/>
    <n v="3.5"/>
    <n v="0.88"/>
  </r>
  <r>
    <s v="ENC100551"/>
    <s v="PT45426"/>
    <x v="4"/>
    <x v="1"/>
    <d v="2025-11-20T00:00:00"/>
    <d v="2025-11-23T00:00:00"/>
    <x v="8"/>
    <x v="0"/>
    <x v="9"/>
    <n v="66"/>
    <x v="6"/>
    <s v="Female"/>
    <x v="1"/>
    <n v="2.2000000000000002"/>
    <n v="5246.84"/>
    <n v="0"/>
    <n v="3.5"/>
    <n v="0.82"/>
  </r>
  <r>
    <s v="ENC100552"/>
    <s v="PT84538"/>
    <x v="3"/>
    <x v="2"/>
    <d v="2025-08-18T00:00:00"/>
    <d v="2025-08-28T00:00:00"/>
    <x v="1"/>
    <x v="2"/>
    <x v="5"/>
    <n v="3"/>
    <x v="5"/>
    <s v="Male"/>
    <x v="1"/>
    <n v="9.6"/>
    <n v="27741.52"/>
    <n v="1"/>
    <n v="3.9"/>
    <n v="0.8"/>
  </r>
  <r>
    <s v="ENC100553"/>
    <s v="PT38618"/>
    <x v="1"/>
    <x v="2"/>
    <d v="2025-05-25T00:00:00"/>
    <d v="2025-05-29T00:00:00"/>
    <x v="1"/>
    <x v="1"/>
    <x v="5"/>
    <n v="70"/>
    <x v="6"/>
    <s v="Female"/>
    <x v="1"/>
    <n v="3.8"/>
    <n v="11143.13"/>
    <n v="0"/>
    <n v="3.1"/>
    <n v="0.9"/>
  </r>
  <r>
    <s v="ENC100554"/>
    <s v="PT98597"/>
    <x v="1"/>
    <x v="0"/>
    <d v="2025-08-17T00:00:00"/>
    <d v="2025-08-23T00:00:00"/>
    <x v="6"/>
    <x v="2"/>
    <x v="7"/>
    <n v="20"/>
    <x v="4"/>
    <s v="Female"/>
    <x v="1"/>
    <n v="5.7"/>
    <n v="9640.5"/>
    <n v="0"/>
    <n v="4.2"/>
    <n v="0.83"/>
  </r>
  <r>
    <s v="ENC100555"/>
    <s v="PT55406"/>
    <x v="4"/>
    <x v="2"/>
    <d v="2025-04-27T00:00:00"/>
    <d v="2025-05-01T00:00:00"/>
    <x v="0"/>
    <x v="2"/>
    <x v="7"/>
    <n v="61"/>
    <x v="1"/>
    <s v="Female"/>
    <x v="0"/>
    <n v="3.6"/>
    <n v="6948.06"/>
    <n v="0"/>
    <n v="4.0999999999999996"/>
    <n v="0.79"/>
  </r>
  <r>
    <s v="ENC100556"/>
    <s v="PT76240"/>
    <x v="3"/>
    <x v="1"/>
    <d v="2025-05-08T00:00:00"/>
    <d v="2025-05-09T00:00:00"/>
    <x v="3"/>
    <x v="2"/>
    <x v="6"/>
    <n v="74"/>
    <x v="6"/>
    <s v="Female"/>
    <x v="3"/>
    <n v="0.3"/>
    <n v="546.32000000000005"/>
    <n v="0"/>
    <n v="3.6"/>
    <n v="0.78"/>
  </r>
  <r>
    <s v="ENC100557"/>
    <s v="PT88749"/>
    <x v="1"/>
    <x v="1"/>
    <d v="2025-08-11T00:00:00"/>
    <d v="2025-08-17T00:00:00"/>
    <x v="9"/>
    <x v="2"/>
    <x v="0"/>
    <n v="70"/>
    <x v="6"/>
    <s v="Male"/>
    <x v="0"/>
    <n v="5.8"/>
    <n v="15007.53"/>
    <n v="0"/>
    <n v="4.2"/>
    <n v="0.8"/>
  </r>
  <r>
    <s v="ENC100558"/>
    <s v="PT81337"/>
    <x v="3"/>
    <x v="0"/>
    <d v="2025-07-28T00:00:00"/>
    <d v="2025-07-30T00:00:00"/>
    <x v="1"/>
    <x v="2"/>
    <x v="8"/>
    <n v="60"/>
    <x v="1"/>
    <s v="Female"/>
    <x v="1"/>
    <n v="1.9"/>
    <n v="5879.8"/>
    <n v="0"/>
    <n v="3.7"/>
    <n v="0.88"/>
  </r>
  <r>
    <s v="ENC100559"/>
    <s v="PT86600"/>
    <x v="4"/>
    <x v="3"/>
    <d v="2025-08-01T00:00:00"/>
    <d v="2025-08-03T00:00:00"/>
    <x v="9"/>
    <x v="1"/>
    <x v="4"/>
    <n v="63"/>
    <x v="1"/>
    <s v="Male"/>
    <x v="0"/>
    <n v="1.5"/>
    <n v="2750.29"/>
    <n v="0"/>
    <n v="3.5"/>
    <n v="0.79"/>
  </r>
  <r>
    <s v="ENC100560"/>
    <s v="PT58285"/>
    <x v="0"/>
    <x v="0"/>
    <d v="2025-05-21T00:00:00"/>
    <d v="2025-05-23T00:00:00"/>
    <x v="6"/>
    <x v="0"/>
    <x v="5"/>
    <n v="17"/>
    <x v="2"/>
    <s v="Male"/>
    <x v="1"/>
    <n v="1.8"/>
    <n v="3633.17"/>
    <n v="1"/>
    <n v="4.2"/>
    <n v="0.8"/>
  </r>
  <r>
    <s v="ENC100561"/>
    <s v="PT13912"/>
    <x v="4"/>
    <x v="2"/>
    <d v="2025-05-30T00:00:00"/>
    <d v="2025-05-31T00:00:00"/>
    <x v="8"/>
    <x v="1"/>
    <x v="2"/>
    <n v="12"/>
    <x v="5"/>
    <s v="Female"/>
    <x v="0"/>
    <n v="0.7"/>
    <n v="2092.9299999999998"/>
    <n v="0"/>
    <n v="4.3"/>
    <n v="0.79"/>
  </r>
  <r>
    <s v="ENC100562"/>
    <s v="PT54377"/>
    <x v="1"/>
    <x v="1"/>
    <d v="2025-01-04T00:00:00"/>
    <d v="2025-01-08T00:00:00"/>
    <x v="8"/>
    <x v="2"/>
    <x v="1"/>
    <n v="34"/>
    <x v="4"/>
    <s v="Female"/>
    <x v="3"/>
    <n v="4"/>
    <n v="10756.43"/>
    <n v="0"/>
    <n v="3.6"/>
    <n v="0.76"/>
  </r>
  <r>
    <s v="ENC100563"/>
    <s v="PT26334"/>
    <x v="3"/>
    <x v="1"/>
    <d v="2025-08-08T00:00:00"/>
    <d v="2025-08-11T00:00:00"/>
    <x v="3"/>
    <x v="0"/>
    <x v="7"/>
    <n v="55"/>
    <x v="1"/>
    <s v="Male"/>
    <x v="0"/>
    <n v="2.1"/>
    <n v="3387.65"/>
    <n v="0"/>
    <n v="3.3"/>
    <n v="0.84"/>
  </r>
  <r>
    <s v="ENC100564"/>
    <s v="PT90019"/>
    <x v="0"/>
    <x v="3"/>
    <d v="2025-07-30T00:00:00"/>
    <d v="2025-08-02T00:00:00"/>
    <x v="3"/>
    <x v="2"/>
    <x v="7"/>
    <n v="56"/>
    <x v="1"/>
    <s v="Male"/>
    <x v="1"/>
    <n v="2.8"/>
    <n v="4450.75"/>
    <n v="0"/>
    <n v="3.6"/>
    <n v="0.86"/>
  </r>
  <r>
    <s v="ENC100565"/>
    <s v="PT31306"/>
    <x v="2"/>
    <x v="1"/>
    <d v="2025-12-08T00:00:00"/>
    <d v="2025-12-09T00:00:00"/>
    <x v="3"/>
    <x v="2"/>
    <x v="7"/>
    <n v="70"/>
    <x v="6"/>
    <s v="Male"/>
    <x v="0"/>
    <n v="0.9"/>
    <n v="1616.22"/>
    <n v="0"/>
    <n v="3.4"/>
    <n v="0.79"/>
  </r>
  <r>
    <s v="ENC100566"/>
    <s v="PT30526"/>
    <x v="0"/>
    <x v="3"/>
    <d v="2025-07-04T00:00:00"/>
    <d v="2025-07-07T00:00:00"/>
    <x v="9"/>
    <x v="2"/>
    <x v="0"/>
    <n v="28"/>
    <x v="4"/>
    <s v="Female"/>
    <x v="0"/>
    <n v="2.2999999999999998"/>
    <n v="5644.88"/>
    <n v="0"/>
    <n v="4.8"/>
    <n v="0.79"/>
  </r>
  <r>
    <s v="ENC100567"/>
    <s v="PT32444"/>
    <x v="0"/>
    <x v="0"/>
    <d v="2025-06-20T00:00:00"/>
    <d v="2025-06-22T00:00:00"/>
    <x v="3"/>
    <x v="2"/>
    <x v="9"/>
    <n v="78"/>
    <x v="3"/>
    <s v="Male"/>
    <x v="0"/>
    <n v="1.9"/>
    <n v="2871.67"/>
    <n v="1"/>
    <n v="3.9"/>
    <n v="0.86"/>
  </r>
  <r>
    <s v="ENC100568"/>
    <s v="PT67830"/>
    <x v="2"/>
    <x v="2"/>
    <d v="2025-01-25T00:00:00"/>
    <d v="2025-01-26T00:00:00"/>
    <x v="3"/>
    <x v="0"/>
    <x v="4"/>
    <n v="40"/>
    <x v="0"/>
    <s v="Female"/>
    <x v="1"/>
    <n v="0.9"/>
    <n v="1457.66"/>
    <n v="0"/>
    <n v="3.7"/>
    <n v="0.7"/>
  </r>
  <r>
    <s v="ENC100569"/>
    <s v="PT61410"/>
    <x v="3"/>
    <x v="3"/>
    <d v="2025-03-13T00:00:00"/>
    <d v="2025-03-22T00:00:00"/>
    <x v="1"/>
    <x v="2"/>
    <x v="8"/>
    <n v="22"/>
    <x v="4"/>
    <s v="Male"/>
    <x v="1"/>
    <n v="8.1999999999999993"/>
    <n v="27562.76"/>
    <n v="0"/>
    <n v="3.1"/>
    <n v="0.8"/>
  </r>
  <r>
    <s v="ENC100570"/>
    <s v="PT95394"/>
    <x v="2"/>
    <x v="1"/>
    <d v="2025-05-04T00:00:00"/>
    <d v="2025-05-06T00:00:00"/>
    <x v="0"/>
    <x v="2"/>
    <x v="1"/>
    <n v="66"/>
    <x v="6"/>
    <s v="Female"/>
    <x v="2"/>
    <n v="2"/>
    <n v="4187.72"/>
    <n v="0"/>
    <n v="4.3"/>
    <n v="0.82"/>
  </r>
  <r>
    <s v="ENC100571"/>
    <s v="PT47463"/>
    <x v="0"/>
    <x v="1"/>
    <d v="2025-05-18T00:00:00"/>
    <d v="2025-05-20T00:00:00"/>
    <x v="2"/>
    <x v="0"/>
    <x v="7"/>
    <n v="11"/>
    <x v="5"/>
    <s v="Male"/>
    <x v="1"/>
    <n v="1.3"/>
    <n v="2846.04"/>
    <n v="0"/>
    <n v="3.5"/>
    <n v="0.82"/>
  </r>
  <r>
    <s v="ENC100572"/>
    <s v="PT35404"/>
    <x v="2"/>
    <x v="1"/>
    <d v="2025-05-13T00:00:00"/>
    <d v="2025-05-21T00:00:00"/>
    <x v="4"/>
    <x v="2"/>
    <x v="2"/>
    <n v="36"/>
    <x v="0"/>
    <s v="Female"/>
    <x v="2"/>
    <n v="7.2"/>
    <n v="23634.86"/>
    <n v="0"/>
    <n v="3.2"/>
    <n v="0.74"/>
  </r>
  <r>
    <s v="ENC100573"/>
    <s v="PT14432"/>
    <x v="2"/>
    <x v="2"/>
    <d v="2025-05-24T00:00:00"/>
    <d v="2025-05-25T00:00:00"/>
    <x v="1"/>
    <x v="1"/>
    <x v="6"/>
    <n v="71"/>
    <x v="6"/>
    <s v="Male"/>
    <x v="0"/>
    <n v="0.9"/>
    <n v="3066.94"/>
    <n v="0"/>
    <n v="4.4000000000000004"/>
    <n v="0.75"/>
  </r>
  <r>
    <s v="ENC100574"/>
    <s v="PT10636"/>
    <x v="0"/>
    <x v="3"/>
    <d v="2025-10-08T00:00:00"/>
    <d v="2025-10-16T00:00:00"/>
    <x v="4"/>
    <x v="2"/>
    <x v="5"/>
    <n v="70"/>
    <x v="6"/>
    <s v="Female"/>
    <x v="3"/>
    <n v="7.1"/>
    <n v="26705.15"/>
    <n v="0"/>
    <n v="3.8"/>
    <n v="0.77"/>
  </r>
  <r>
    <s v="ENC100575"/>
    <s v="PT43624"/>
    <x v="2"/>
    <x v="0"/>
    <d v="2025-02-17T00:00:00"/>
    <d v="2025-02-20T00:00:00"/>
    <x v="0"/>
    <x v="0"/>
    <x v="5"/>
    <n v="23"/>
    <x v="4"/>
    <s v="Male"/>
    <x v="1"/>
    <n v="2.6"/>
    <n v="5244.06"/>
    <n v="0"/>
    <n v="2.4"/>
    <n v="0.76"/>
  </r>
  <r>
    <s v="ENC100576"/>
    <s v="PT93322"/>
    <x v="0"/>
    <x v="1"/>
    <d v="2025-05-02T00:00:00"/>
    <d v="2025-05-04T00:00:00"/>
    <x v="2"/>
    <x v="0"/>
    <x v="8"/>
    <n v="15"/>
    <x v="2"/>
    <s v="Female"/>
    <x v="1"/>
    <n v="1.4"/>
    <n v="3041.14"/>
    <n v="0"/>
    <n v="3.8"/>
    <n v="0.81"/>
  </r>
  <r>
    <s v="ENC100577"/>
    <s v="PT57137"/>
    <x v="2"/>
    <x v="2"/>
    <d v="2025-03-01T00:00:00"/>
    <d v="2025-03-06T00:00:00"/>
    <x v="5"/>
    <x v="0"/>
    <x v="5"/>
    <n v="2"/>
    <x v="5"/>
    <s v="Male"/>
    <x v="2"/>
    <n v="4.5"/>
    <n v="10173.11"/>
    <n v="0"/>
    <n v="4"/>
    <n v="0.75"/>
  </r>
  <r>
    <s v="ENC100578"/>
    <s v="PT90418"/>
    <x v="3"/>
    <x v="1"/>
    <d v="2025-04-23T00:00:00"/>
    <d v="2025-04-25T00:00:00"/>
    <x v="6"/>
    <x v="0"/>
    <x v="1"/>
    <n v="8"/>
    <x v="5"/>
    <s v="Female"/>
    <x v="1"/>
    <n v="2"/>
    <n v="3792.64"/>
    <n v="0"/>
    <n v="3.7"/>
    <n v="0.79"/>
  </r>
  <r>
    <s v="ENC100579"/>
    <s v="PT19150"/>
    <x v="3"/>
    <x v="3"/>
    <d v="2025-09-07T00:00:00"/>
    <d v="2025-09-09T00:00:00"/>
    <x v="5"/>
    <x v="1"/>
    <x v="4"/>
    <n v="75"/>
    <x v="3"/>
    <s v="Female"/>
    <x v="3"/>
    <n v="1.9"/>
    <n v="4835.32"/>
    <n v="1"/>
    <n v="4"/>
    <n v="0.85"/>
  </r>
  <r>
    <s v="ENC100580"/>
    <s v="PT18398"/>
    <x v="3"/>
    <x v="3"/>
    <d v="2025-01-18T00:00:00"/>
    <d v="2025-01-19T00:00:00"/>
    <x v="8"/>
    <x v="0"/>
    <x v="1"/>
    <n v="71"/>
    <x v="6"/>
    <s v="Male"/>
    <x v="3"/>
    <n v="0.7"/>
    <n v="1841.15"/>
    <n v="0"/>
    <n v="2.8"/>
    <n v="0.82"/>
  </r>
  <r>
    <s v="ENC100581"/>
    <s v="PT85010"/>
    <x v="2"/>
    <x v="1"/>
    <d v="2025-05-04T00:00:00"/>
    <d v="2025-05-05T00:00:00"/>
    <x v="2"/>
    <x v="2"/>
    <x v="5"/>
    <n v="46"/>
    <x v="0"/>
    <s v="Female"/>
    <x v="0"/>
    <n v="0.9"/>
    <n v="1814.68"/>
    <n v="0"/>
    <n v="2.2000000000000002"/>
    <n v="0.71"/>
  </r>
  <r>
    <s v="ENC100582"/>
    <s v="PT19606"/>
    <x v="2"/>
    <x v="0"/>
    <d v="2025-01-09T00:00:00"/>
    <d v="2025-01-17T00:00:00"/>
    <x v="6"/>
    <x v="2"/>
    <x v="9"/>
    <n v="51"/>
    <x v="1"/>
    <s v="Female"/>
    <x v="1"/>
    <n v="7.9"/>
    <n v="18300.21"/>
    <n v="0"/>
    <n v="3.1"/>
    <n v="0.8"/>
  </r>
  <r>
    <s v="ENC100583"/>
    <s v="PT14676"/>
    <x v="1"/>
    <x v="1"/>
    <d v="2025-12-15T00:00:00"/>
    <d v="2025-12-16T00:00:00"/>
    <x v="3"/>
    <x v="0"/>
    <x v="1"/>
    <n v="29"/>
    <x v="4"/>
    <s v="Male"/>
    <x v="1"/>
    <n v="0.8"/>
    <n v="1446.23"/>
    <n v="0"/>
    <n v="3.9"/>
    <n v="0.91"/>
  </r>
  <r>
    <s v="ENC100584"/>
    <s v="PT46367"/>
    <x v="0"/>
    <x v="0"/>
    <d v="2025-09-23T00:00:00"/>
    <d v="2025-09-28T00:00:00"/>
    <x v="8"/>
    <x v="2"/>
    <x v="1"/>
    <n v="17"/>
    <x v="2"/>
    <s v="Male"/>
    <x v="3"/>
    <n v="4.5"/>
    <n v="11145.01"/>
    <n v="0"/>
    <n v="2"/>
    <n v="0.88"/>
  </r>
  <r>
    <s v="ENC100585"/>
    <s v="PT93234"/>
    <x v="4"/>
    <x v="2"/>
    <d v="2025-03-30T00:00:00"/>
    <d v="2025-04-03T00:00:00"/>
    <x v="1"/>
    <x v="2"/>
    <x v="9"/>
    <n v="1"/>
    <x v="5"/>
    <s v="Male"/>
    <x v="3"/>
    <n v="3.1"/>
    <n v="8192.9599999999991"/>
    <n v="0"/>
    <n v="3.4"/>
    <n v="0.81"/>
  </r>
  <r>
    <s v="ENC100586"/>
    <s v="PT72043"/>
    <x v="1"/>
    <x v="3"/>
    <d v="2025-03-14T00:00:00"/>
    <d v="2025-03-23T00:00:00"/>
    <x v="6"/>
    <x v="2"/>
    <x v="2"/>
    <n v="61"/>
    <x v="1"/>
    <s v="Female"/>
    <x v="0"/>
    <n v="8.1"/>
    <n v="21288.79"/>
    <n v="1"/>
    <n v="2.5"/>
    <n v="0.81"/>
  </r>
  <r>
    <s v="ENC100587"/>
    <s v="PT18920"/>
    <x v="3"/>
    <x v="2"/>
    <d v="2025-02-06T00:00:00"/>
    <d v="2025-02-08T00:00:00"/>
    <x v="2"/>
    <x v="2"/>
    <x v="1"/>
    <n v="3"/>
    <x v="5"/>
    <s v="Female"/>
    <x v="0"/>
    <n v="1.5"/>
    <n v="3459.51"/>
    <n v="0"/>
    <n v="3.8"/>
    <n v="0.84"/>
  </r>
  <r>
    <s v="ENC100588"/>
    <s v="PT85340"/>
    <x v="3"/>
    <x v="3"/>
    <d v="2025-06-22T00:00:00"/>
    <d v="2025-06-26T00:00:00"/>
    <x v="1"/>
    <x v="2"/>
    <x v="3"/>
    <n v="9"/>
    <x v="5"/>
    <s v="Male"/>
    <x v="0"/>
    <n v="3.8"/>
    <n v="12202.3"/>
    <n v="0"/>
    <n v="5"/>
    <n v="0.86"/>
  </r>
  <r>
    <s v="ENC100589"/>
    <s v="PT85920"/>
    <x v="0"/>
    <x v="1"/>
    <d v="2025-10-03T00:00:00"/>
    <d v="2025-10-04T00:00:00"/>
    <x v="3"/>
    <x v="0"/>
    <x v="7"/>
    <n v="72"/>
    <x v="6"/>
    <s v="Female"/>
    <x v="1"/>
    <n v="0.6"/>
    <n v="1095.3399999999999"/>
    <n v="0"/>
    <n v="3.6"/>
    <n v="0.78"/>
  </r>
  <r>
    <s v="ENC100590"/>
    <s v="PT82061"/>
    <x v="4"/>
    <x v="3"/>
    <d v="2025-08-02T00:00:00"/>
    <d v="2025-08-08T00:00:00"/>
    <x v="2"/>
    <x v="0"/>
    <x v="6"/>
    <n v="53"/>
    <x v="1"/>
    <s v="Male"/>
    <x v="0"/>
    <n v="5.6"/>
    <n v="12872.32"/>
    <n v="0"/>
    <n v="3.8"/>
    <n v="0.83"/>
  </r>
  <r>
    <s v="ENC100591"/>
    <s v="PT91237"/>
    <x v="2"/>
    <x v="0"/>
    <d v="2025-11-18T00:00:00"/>
    <d v="2025-11-22T00:00:00"/>
    <x v="6"/>
    <x v="0"/>
    <x v="0"/>
    <n v="44"/>
    <x v="0"/>
    <s v="Female"/>
    <x v="3"/>
    <n v="3.3"/>
    <n v="8127.09"/>
    <n v="1"/>
    <n v="4.4000000000000004"/>
    <n v="0.67"/>
  </r>
  <r>
    <s v="ENC100592"/>
    <s v="PT31588"/>
    <x v="0"/>
    <x v="1"/>
    <d v="2025-05-06T00:00:00"/>
    <d v="2025-05-10T00:00:00"/>
    <x v="8"/>
    <x v="2"/>
    <x v="7"/>
    <n v="19"/>
    <x v="4"/>
    <s v="Male"/>
    <x v="1"/>
    <n v="3.5"/>
    <n v="8931.83"/>
    <n v="0"/>
    <n v="3.9"/>
    <n v="0.79"/>
  </r>
  <r>
    <s v="ENC100593"/>
    <s v="PT98160"/>
    <x v="3"/>
    <x v="0"/>
    <d v="2025-04-12T00:00:00"/>
    <d v="2025-04-13T00:00:00"/>
    <x v="2"/>
    <x v="2"/>
    <x v="3"/>
    <n v="13"/>
    <x v="2"/>
    <s v="Male"/>
    <x v="3"/>
    <n v="1"/>
    <n v="2015.86"/>
    <n v="0"/>
    <n v="3.8"/>
    <n v="0.87"/>
  </r>
  <r>
    <s v="ENC100594"/>
    <s v="PT38862"/>
    <x v="3"/>
    <x v="3"/>
    <d v="2025-06-24T00:00:00"/>
    <d v="2025-07-07T00:00:00"/>
    <x v="1"/>
    <x v="0"/>
    <x v="0"/>
    <n v="42"/>
    <x v="0"/>
    <s v="Female"/>
    <x v="0"/>
    <n v="12.3"/>
    <n v="44705.34"/>
    <n v="0"/>
    <n v="4.3"/>
    <n v="0.81"/>
  </r>
  <r>
    <s v="ENC100595"/>
    <s v="PT82181"/>
    <x v="4"/>
    <x v="3"/>
    <d v="2025-03-15T00:00:00"/>
    <d v="2025-03-18T00:00:00"/>
    <x v="6"/>
    <x v="2"/>
    <x v="0"/>
    <n v="32"/>
    <x v="4"/>
    <s v="Female"/>
    <x v="1"/>
    <n v="2.5"/>
    <n v="6745.44"/>
    <n v="0"/>
    <n v="4.2"/>
    <n v="0.77"/>
  </r>
  <r>
    <s v="ENC100596"/>
    <s v="PT62142"/>
    <x v="4"/>
    <x v="1"/>
    <d v="2025-12-23T00:00:00"/>
    <d v="2025-12-24T00:00:00"/>
    <x v="0"/>
    <x v="0"/>
    <x v="8"/>
    <n v="48"/>
    <x v="0"/>
    <s v="Female"/>
    <x v="0"/>
    <n v="0.8"/>
    <n v="1590.67"/>
    <n v="0"/>
    <n v="4.0999999999999996"/>
    <n v="0.8"/>
  </r>
  <r>
    <s v="ENC100597"/>
    <s v="PT80152"/>
    <x v="4"/>
    <x v="2"/>
    <d v="2025-03-09T00:00:00"/>
    <d v="2025-03-10T00:00:00"/>
    <x v="6"/>
    <x v="2"/>
    <x v="8"/>
    <n v="15"/>
    <x v="2"/>
    <s v="Female"/>
    <x v="3"/>
    <n v="0.6"/>
    <n v="1392.78"/>
    <n v="0"/>
    <n v="3.8"/>
    <n v="0.84"/>
  </r>
  <r>
    <s v="ENC100598"/>
    <s v="PT66503"/>
    <x v="1"/>
    <x v="0"/>
    <d v="2025-06-24T00:00:00"/>
    <d v="2025-06-25T00:00:00"/>
    <x v="0"/>
    <x v="1"/>
    <x v="5"/>
    <n v="21"/>
    <x v="4"/>
    <s v="Male"/>
    <x v="0"/>
    <n v="0.6"/>
    <n v="1231.18"/>
    <n v="0"/>
    <n v="3.7"/>
    <n v="0.77"/>
  </r>
  <r>
    <s v="ENC100599"/>
    <s v="PT67822"/>
    <x v="4"/>
    <x v="1"/>
    <d v="2025-07-10T00:00:00"/>
    <d v="2025-07-17T00:00:00"/>
    <x v="4"/>
    <x v="2"/>
    <x v="2"/>
    <n v="10"/>
    <x v="5"/>
    <s v="Male"/>
    <x v="0"/>
    <n v="6.2"/>
    <n v="29213.23"/>
    <n v="0"/>
    <n v="4.4000000000000004"/>
    <n v="0.73"/>
  </r>
  <r>
    <s v="ENC100600"/>
    <s v="PT65464"/>
    <x v="1"/>
    <x v="1"/>
    <d v="2025-01-21T00:00:00"/>
    <d v="2025-02-02T00:00:00"/>
    <x v="4"/>
    <x v="0"/>
    <x v="5"/>
    <n v="38"/>
    <x v="0"/>
    <s v="Female"/>
    <x v="0"/>
    <n v="11.3"/>
    <n v="51516.99"/>
    <n v="0"/>
    <n v="3.4"/>
    <n v="0.78"/>
  </r>
  <r>
    <s v="ENC100601"/>
    <s v="PT80108"/>
    <x v="1"/>
    <x v="2"/>
    <d v="2025-06-20T00:00:00"/>
    <d v="2025-06-27T00:00:00"/>
    <x v="4"/>
    <x v="0"/>
    <x v="1"/>
    <n v="25"/>
    <x v="4"/>
    <s v="Female"/>
    <x v="3"/>
    <n v="6.9"/>
    <n v="29509.94"/>
    <n v="0"/>
    <n v="4.5"/>
    <n v="0.76"/>
  </r>
  <r>
    <s v="ENC100602"/>
    <s v="PT76513"/>
    <x v="4"/>
    <x v="0"/>
    <d v="2025-06-15T00:00:00"/>
    <d v="2025-06-16T00:00:00"/>
    <x v="3"/>
    <x v="2"/>
    <x v="0"/>
    <n v="20"/>
    <x v="4"/>
    <s v="Male"/>
    <x v="0"/>
    <n v="0.2"/>
    <n v="370.19"/>
    <n v="0"/>
    <n v="3.1"/>
    <n v="0.72"/>
  </r>
  <r>
    <s v="ENC100603"/>
    <s v="PT22109"/>
    <x v="1"/>
    <x v="0"/>
    <d v="2025-04-05T00:00:00"/>
    <d v="2025-04-08T00:00:00"/>
    <x v="2"/>
    <x v="0"/>
    <x v="1"/>
    <n v="50"/>
    <x v="1"/>
    <s v="Female"/>
    <x v="1"/>
    <n v="2.8"/>
    <n v="6363.18"/>
    <n v="0"/>
    <n v="4.8"/>
    <n v="0.78"/>
  </r>
  <r>
    <s v="ENC100604"/>
    <s v="PT84344"/>
    <x v="2"/>
    <x v="1"/>
    <d v="2025-02-16T00:00:00"/>
    <d v="2025-02-24T00:00:00"/>
    <x v="2"/>
    <x v="2"/>
    <x v="6"/>
    <n v="45"/>
    <x v="0"/>
    <s v="Female"/>
    <x v="3"/>
    <n v="7.6"/>
    <n v="14127.52"/>
    <n v="0"/>
    <n v="4"/>
    <n v="0.8"/>
  </r>
  <r>
    <s v="ENC100605"/>
    <s v="PT58245"/>
    <x v="1"/>
    <x v="3"/>
    <d v="2025-01-17T00:00:00"/>
    <d v="2025-01-20T00:00:00"/>
    <x v="2"/>
    <x v="0"/>
    <x v="5"/>
    <n v="19"/>
    <x v="4"/>
    <s v="Male"/>
    <x v="3"/>
    <n v="2.1"/>
    <n v="4215.75"/>
    <n v="0"/>
    <n v="3.3"/>
    <n v="0.81"/>
  </r>
  <r>
    <s v="ENC100606"/>
    <s v="PT39077"/>
    <x v="3"/>
    <x v="2"/>
    <d v="2025-01-04T00:00:00"/>
    <d v="2025-01-06T00:00:00"/>
    <x v="3"/>
    <x v="0"/>
    <x v="8"/>
    <n v="63"/>
    <x v="1"/>
    <s v="Female"/>
    <x v="0"/>
    <n v="1.2"/>
    <n v="1900.71"/>
    <n v="0"/>
    <n v="4"/>
    <n v="0.84"/>
  </r>
  <r>
    <s v="ENC100607"/>
    <s v="PT56279"/>
    <x v="4"/>
    <x v="0"/>
    <d v="2025-06-25T00:00:00"/>
    <d v="2025-06-28T00:00:00"/>
    <x v="5"/>
    <x v="2"/>
    <x v="1"/>
    <n v="31"/>
    <x v="4"/>
    <s v="Female"/>
    <x v="0"/>
    <n v="3"/>
    <n v="7953.73"/>
    <n v="0"/>
    <n v="3.5"/>
    <n v="0.74"/>
  </r>
  <r>
    <s v="ENC100608"/>
    <s v="PT97027"/>
    <x v="1"/>
    <x v="2"/>
    <d v="2025-02-02T00:00:00"/>
    <d v="2025-02-09T00:00:00"/>
    <x v="7"/>
    <x v="2"/>
    <x v="1"/>
    <n v="31"/>
    <x v="4"/>
    <s v="Male"/>
    <x v="1"/>
    <n v="6.8"/>
    <n v="23269.87"/>
    <n v="1"/>
    <n v="3.9"/>
    <n v="0.85"/>
  </r>
  <r>
    <s v="ENC100609"/>
    <s v="PT87180"/>
    <x v="1"/>
    <x v="1"/>
    <d v="2025-12-17T00:00:00"/>
    <d v="2025-12-18T00:00:00"/>
    <x v="3"/>
    <x v="0"/>
    <x v="4"/>
    <n v="43"/>
    <x v="0"/>
    <s v="Female"/>
    <x v="0"/>
    <n v="0.5"/>
    <n v="908.04"/>
    <n v="0"/>
    <n v="3.4"/>
    <n v="0.9"/>
  </r>
  <r>
    <s v="ENC100610"/>
    <s v="PT85032"/>
    <x v="2"/>
    <x v="1"/>
    <d v="2025-03-31T00:00:00"/>
    <d v="2025-04-01T00:00:00"/>
    <x v="8"/>
    <x v="2"/>
    <x v="8"/>
    <n v="12"/>
    <x v="5"/>
    <s v="Male"/>
    <x v="1"/>
    <n v="0.2"/>
    <n v="507.5"/>
    <n v="0"/>
    <n v="3.8"/>
    <n v="0.71"/>
  </r>
  <r>
    <s v="ENC100611"/>
    <s v="PT51651"/>
    <x v="4"/>
    <x v="3"/>
    <d v="2025-08-27T00:00:00"/>
    <d v="2025-08-29T00:00:00"/>
    <x v="5"/>
    <x v="1"/>
    <x v="9"/>
    <n v="38"/>
    <x v="0"/>
    <s v="Male"/>
    <x v="0"/>
    <n v="1.2"/>
    <n v="3004.45"/>
    <n v="0"/>
    <n v="4.5"/>
    <n v="0.85"/>
  </r>
  <r>
    <s v="ENC100612"/>
    <s v="PT80571"/>
    <x v="0"/>
    <x v="3"/>
    <d v="2025-09-03T00:00:00"/>
    <d v="2025-09-05T00:00:00"/>
    <x v="2"/>
    <x v="0"/>
    <x v="8"/>
    <n v="52"/>
    <x v="1"/>
    <s v="Male"/>
    <x v="1"/>
    <n v="1.9"/>
    <n v="3834.22"/>
    <n v="0"/>
    <n v="4.2"/>
    <n v="0.81"/>
  </r>
  <r>
    <s v="ENC100613"/>
    <s v="PT44657"/>
    <x v="1"/>
    <x v="1"/>
    <d v="2025-06-30T00:00:00"/>
    <d v="2025-07-03T00:00:00"/>
    <x v="8"/>
    <x v="0"/>
    <x v="1"/>
    <n v="11"/>
    <x v="5"/>
    <s v="Female"/>
    <x v="0"/>
    <n v="2.9"/>
    <n v="8580.02"/>
    <n v="0"/>
    <n v="3.2"/>
    <n v="0.82"/>
  </r>
  <r>
    <s v="ENC100614"/>
    <s v="PT71754"/>
    <x v="3"/>
    <x v="3"/>
    <d v="2025-11-19T00:00:00"/>
    <d v="2025-11-22T00:00:00"/>
    <x v="1"/>
    <x v="2"/>
    <x v="5"/>
    <n v="51"/>
    <x v="1"/>
    <s v="Female"/>
    <x v="1"/>
    <n v="2.5"/>
    <n v="7524.89"/>
    <n v="1"/>
    <n v="3.3"/>
    <n v="0.86"/>
  </r>
  <r>
    <s v="ENC100615"/>
    <s v="PT67560"/>
    <x v="1"/>
    <x v="0"/>
    <d v="2025-02-10T00:00:00"/>
    <d v="2025-02-12T00:00:00"/>
    <x v="0"/>
    <x v="0"/>
    <x v="3"/>
    <n v="3"/>
    <x v="5"/>
    <s v="Female"/>
    <x v="0"/>
    <n v="1.3"/>
    <n v="3374.57"/>
    <n v="0"/>
    <n v="4.0999999999999996"/>
    <n v="0.84"/>
  </r>
  <r>
    <s v="ENC100616"/>
    <s v="PT32481"/>
    <x v="4"/>
    <x v="3"/>
    <d v="2025-03-27T00:00:00"/>
    <d v="2025-04-02T00:00:00"/>
    <x v="2"/>
    <x v="1"/>
    <x v="2"/>
    <n v="54"/>
    <x v="1"/>
    <s v="Female"/>
    <x v="1"/>
    <n v="6"/>
    <n v="12699.27"/>
    <n v="0"/>
    <n v="4.0999999999999996"/>
    <n v="0.85"/>
  </r>
  <r>
    <s v="ENC100617"/>
    <s v="PT33981"/>
    <x v="3"/>
    <x v="3"/>
    <d v="2025-04-03T00:00:00"/>
    <d v="2025-04-05T00:00:00"/>
    <x v="5"/>
    <x v="2"/>
    <x v="7"/>
    <n v="3"/>
    <x v="5"/>
    <s v="Female"/>
    <x v="0"/>
    <n v="1.5"/>
    <n v="4069.03"/>
    <n v="0"/>
    <n v="3.5"/>
    <n v="0.86"/>
  </r>
  <r>
    <s v="ENC100618"/>
    <s v="PT15501"/>
    <x v="4"/>
    <x v="2"/>
    <d v="2025-02-19T00:00:00"/>
    <d v="2025-02-23T00:00:00"/>
    <x v="5"/>
    <x v="2"/>
    <x v="1"/>
    <n v="15"/>
    <x v="2"/>
    <s v="Male"/>
    <x v="2"/>
    <n v="3.9"/>
    <n v="8911.0300000000007"/>
    <n v="0"/>
    <n v="4.9000000000000004"/>
    <n v="0.8"/>
  </r>
  <r>
    <s v="ENC100619"/>
    <s v="PT22579"/>
    <x v="4"/>
    <x v="0"/>
    <d v="2025-04-18T00:00:00"/>
    <d v="2025-04-20T00:00:00"/>
    <x v="4"/>
    <x v="2"/>
    <x v="8"/>
    <n v="31"/>
    <x v="4"/>
    <s v="Male"/>
    <x v="1"/>
    <n v="1.5"/>
    <n v="6145.13"/>
    <n v="0"/>
    <n v="4.3"/>
    <n v="0.76"/>
  </r>
  <r>
    <s v="ENC100620"/>
    <s v="PT49025"/>
    <x v="3"/>
    <x v="3"/>
    <d v="2025-04-25T00:00:00"/>
    <d v="2025-04-29T00:00:00"/>
    <x v="9"/>
    <x v="2"/>
    <x v="0"/>
    <n v="55"/>
    <x v="1"/>
    <s v="Female"/>
    <x v="0"/>
    <n v="3.9"/>
    <n v="10734.47"/>
    <n v="1"/>
    <n v="3.5"/>
    <n v="0.87"/>
  </r>
  <r>
    <s v="ENC100621"/>
    <s v="PT53008"/>
    <x v="4"/>
    <x v="3"/>
    <d v="2025-10-07T00:00:00"/>
    <d v="2025-10-12T00:00:00"/>
    <x v="5"/>
    <x v="0"/>
    <x v="3"/>
    <n v="65"/>
    <x v="6"/>
    <s v="Male"/>
    <x v="0"/>
    <n v="4.3"/>
    <n v="12390.13"/>
    <n v="0"/>
    <n v="3.5"/>
    <n v="0.74"/>
  </r>
  <r>
    <s v="ENC100622"/>
    <s v="PT24860"/>
    <x v="1"/>
    <x v="0"/>
    <d v="2025-04-21T00:00:00"/>
    <d v="2025-04-29T00:00:00"/>
    <x v="0"/>
    <x v="2"/>
    <x v="9"/>
    <n v="42"/>
    <x v="0"/>
    <s v="Male"/>
    <x v="0"/>
    <n v="8"/>
    <n v="16147.32"/>
    <n v="0"/>
    <n v="3.6"/>
    <n v="0.82"/>
  </r>
  <r>
    <s v="ENC100623"/>
    <s v="PT47519"/>
    <x v="0"/>
    <x v="1"/>
    <d v="2025-11-16T00:00:00"/>
    <d v="2025-11-19T00:00:00"/>
    <x v="4"/>
    <x v="0"/>
    <x v="2"/>
    <n v="11"/>
    <x v="5"/>
    <s v="Male"/>
    <x v="0"/>
    <n v="2.1"/>
    <n v="9503.2000000000007"/>
    <n v="0"/>
    <n v="3.6"/>
    <n v="0.92"/>
  </r>
  <r>
    <s v="ENC100624"/>
    <s v="PT64375"/>
    <x v="1"/>
    <x v="2"/>
    <d v="2025-10-10T00:00:00"/>
    <d v="2025-10-20T00:00:00"/>
    <x v="2"/>
    <x v="2"/>
    <x v="7"/>
    <n v="35"/>
    <x v="0"/>
    <s v="Male"/>
    <x v="0"/>
    <n v="9.1"/>
    <n v="22446.14"/>
    <n v="0"/>
    <n v="4.5"/>
    <n v="0.72"/>
  </r>
  <r>
    <s v="ENC100625"/>
    <s v="PT30931"/>
    <x v="3"/>
    <x v="1"/>
    <d v="2025-11-26T00:00:00"/>
    <d v="2025-11-27T00:00:00"/>
    <x v="3"/>
    <x v="2"/>
    <x v="5"/>
    <n v="71"/>
    <x v="6"/>
    <s v="Male"/>
    <x v="3"/>
    <n v="0.5"/>
    <n v="833.23"/>
    <n v="0"/>
    <n v="4.3"/>
    <n v="0.85"/>
  </r>
  <r>
    <s v="ENC100626"/>
    <s v="PT40440"/>
    <x v="2"/>
    <x v="2"/>
    <d v="2025-02-08T00:00:00"/>
    <d v="2025-02-11T00:00:00"/>
    <x v="5"/>
    <x v="2"/>
    <x v="7"/>
    <n v="8"/>
    <x v="5"/>
    <s v="Female"/>
    <x v="1"/>
    <n v="2.9"/>
    <n v="7948.45"/>
    <n v="0"/>
    <n v="3.9"/>
    <n v="0.76"/>
  </r>
  <r>
    <s v="ENC100627"/>
    <s v="PT43075"/>
    <x v="0"/>
    <x v="1"/>
    <d v="2025-12-26T00:00:00"/>
    <d v="2025-12-28T00:00:00"/>
    <x v="5"/>
    <x v="1"/>
    <x v="4"/>
    <n v="65"/>
    <x v="6"/>
    <s v="Female"/>
    <x v="0"/>
    <n v="1.1000000000000001"/>
    <n v="3055.34"/>
    <n v="1"/>
    <n v="4.3"/>
    <n v="0.79"/>
  </r>
  <r>
    <s v="ENC100628"/>
    <s v="PT55454"/>
    <x v="1"/>
    <x v="2"/>
    <d v="2025-08-13T00:00:00"/>
    <d v="2025-08-21T00:00:00"/>
    <x v="9"/>
    <x v="0"/>
    <x v="7"/>
    <n v="35"/>
    <x v="0"/>
    <s v="Male"/>
    <x v="1"/>
    <n v="7.8"/>
    <n v="18131.53"/>
    <n v="0"/>
    <n v="4.2"/>
    <n v="0.81"/>
  </r>
  <r>
    <s v="ENC100629"/>
    <s v="PT42974"/>
    <x v="2"/>
    <x v="1"/>
    <d v="2025-12-25T00:00:00"/>
    <d v="2025-12-31T00:00:00"/>
    <x v="5"/>
    <x v="2"/>
    <x v="6"/>
    <n v="0"/>
    <x v="5"/>
    <s v="Male"/>
    <x v="0"/>
    <n v="5.2"/>
    <n v="14156.47"/>
    <n v="0"/>
    <n v="3.9"/>
    <n v="0.75"/>
  </r>
  <r>
    <s v="ENC100630"/>
    <s v="PT76324"/>
    <x v="2"/>
    <x v="2"/>
    <d v="2025-05-10T00:00:00"/>
    <d v="2025-05-15T00:00:00"/>
    <x v="5"/>
    <x v="0"/>
    <x v="8"/>
    <n v="63"/>
    <x v="1"/>
    <s v="Male"/>
    <x v="2"/>
    <n v="4.8"/>
    <n v="11700.33"/>
    <n v="0"/>
    <n v="4.0999999999999996"/>
    <n v="0.74"/>
  </r>
  <r>
    <s v="ENC100631"/>
    <s v="PT39474"/>
    <x v="1"/>
    <x v="3"/>
    <d v="2025-12-14T00:00:00"/>
    <d v="2025-12-16T00:00:00"/>
    <x v="9"/>
    <x v="2"/>
    <x v="0"/>
    <n v="2"/>
    <x v="5"/>
    <s v="Male"/>
    <x v="0"/>
    <n v="1.1000000000000001"/>
    <n v="2936.97"/>
    <n v="0"/>
    <n v="4.3"/>
    <n v="0.83"/>
  </r>
  <r>
    <s v="ENC100632"/>
    <s v="PT49050"/>
    <x v="3"/>
    <x v="1"/>
    <d v="2025-08-03T00:00:00"/>
    <d v="2025-08-04T00:00:00"/>
    <x v="5"/>
    <x v="2"/>
    <x v="5"/>
    <n v="33"/>
    <x v="4"/>
    <s v="Female"/>
    <x v="3"/>
    <n v="0.3"/>
    <n v="773.71"/>
    <n v="0"/>
    <n v="4.2"/>
    <n v="0.82"/>
  </r>
  <r>
    <s v="ENC100633"/>
    <s v="PT44151"/>
    <x v="0"/>
    <x v="3"/>
    <d v="2025-01-27T00:00:00"/>
    <d v="2025-01-30T00:00:00"/>
    <x v="8"/>
    <x v="2"/>
    <x v="0"/>
    <n v="17"/>
    <x v="2"/>
    <s v="Female"/>
    <x v="3"/>
    <n v="2.5"/>
    <n v="7177.48"/>
    <n v="0"/>
    <n v="3.4"/>
    <n v="0.88"/>
  </r>
  <r>
    <s v="ENC100634"/>
    <s v="PT26462"/>
    <x v="3"/>
    <x v="3"/>
    <d v="2025-05-30T00:00:00"/>
    <d v="2025-06-01T00:00:00"/>
    <x v="8"/>
    <x v="1"/>
    <x v="9"/>
    <n v="53"/>
    <x v="1"/>
    <s v="Male"/>
    <x v="0"/>
    <n v="2"/>
    <n v="5252.02"/>
    <n v="0"/>
    <n v="3.5"/>
    <n v="0.83"/>
  </r>
  <r>
    <s v="ENC100635"/>
    <s v="PT71716"/>
    <x v="4"/>
    <x v="0"/>
    <d v="2025-02-20T00:00:00"/>
    <d v="2025-02-21T00:00:00"/>
    <x v="3"/>
    <x v="0"/>
    <x v="2"/>
    <n v="5"/>
    <x v="5"/>
    <s v="Female"/>
    <x v="0"/>
    <n v="0.2"/>
    <n v="404.51"/>
    <n v="0"/>
    <n v="3.5"/>
    <n v="0.8"/>
  </r>
  <r>
    <s v="ENC100636"/>
    <s v="PT31189"/>
    <x v="1"/>
    <x v="1"/>
    <d v="2025-12-10T00:00:00"/>
    <d v="2025-12-11T00:00:00"/>
    <x v="3"/>
    <x v="0"/>
    <x v="4"/>
    <n v="8"/>
    <x v="5"/>
    <s v="Male"/>
    <x v="0"/>
    <n v="0.7"/>
    <n v="1179.1500000000001"/>
    <n v="1"/>
    <n v="3.3"/>
    <n v="0.79"/>
  </r>
  <r>
    <s v="ENC100637"/>
    <s v="PT36718"/>
    <x v="2"/>
    <x v="3"/>
    <d v="2025-04-22T00:00:00"/>
    <d v="2025-04-27T00:00:00"/>
    <x v="7"/>
    <x v="2"/>
    <x v="1"/>
    <n v="48"/>
    <x v="0"/>
    <s v="Male"/>
    <x v="3"/>
    <n v="4.8"/>
    <n v="15197.91"/>
    <n v="0"/>
    <n v="3"/>
    <n v="0.79"/>
  </r>
  <r>
    <s v="ENC100638"/>
    <s v="PT81346"/>
    <x v="3"/>
    <x v="3"/>
    <d v="2025-03-23T00:00:00"/>
    <d v="2025-03-28T00:00:00"/>
    <x v="2"/>
    <x v="2"/>
    <x v="7"/>
    <n v="90"/>
    <x v="3"/>
    <s v="Male"/>
    <x v="1"/>
    <n v="4.4000000000000004"/>
    <n v="9733.98"/>
    <n v="0"/>
    <n v="4.3"/>
    <n v="0.87"/>
  </r>
  <r>
    <s v="ENC100639"/>
    <s v="PT95396"/>
    <x v="4"/>
    <x v="0"/>
    <d v="2025-07-21T00:00:00"/>
    <d v="2025-07-22T00:00:00"/>
    <x v="2"/>
    <x v="0"/>
    <x v="1"/>
    <n v="3"/>
    <x v="5"/>
    <s v="Female"/>
    <x v="1"/>
    <n v="0.2"/>
    <n v="483.14"/>
    <n v="0"/>
    <n v="4.0999999999999996"/>
    <n v="0.8"/>
  </r>
  <r>
    <s v="ENC100640"/>
    <s v="PT70375"/>
    <x v="1"/>
    <x v="2"/>
    <d v="2025-06-05T00:00:00"/>
    <d v="2025-06-06T00:00:00"/>
    <x v="3"/>
    <x v="2"/>
    <x v="1"/>
    <n v="41"/>
    <x v="0"/>
    <s v="Male"/>
    <x v="3"/>
    <n v="0.3"/>
    <n v="537.94000000000005"/>
    <n v="0"/>
    <n v="2.9"/>
    <n v="0.78"/>
  </r>
  <r>
    <s v="ENC100641"/>
    <s v="PT92470"/>
    <x v="3"/>
    <x v="1"/>
    <d v="2025-02-05T00:00:00"/>
    <d v="2025-02-06T00:00:00"/>
    <x v="0"/>
    <x v="1"/>
    <x v="4"/>
    <n v="73"/>
    <x v="6"/>
    <s v="Female"/>
    <x v="3"/>
    <n v="1"/>
    <n v="1914.39"/>
    <n v="1"/>
    <n v="3.8"/>
    <n v="0.81"/>
  </r>
  <r>
    <s v="ENC100642"/>
    <s v="PT86876"/>
    <x v="1"/>
    <x v="1"/>
    <d v="2025-10-26T00:00:00"/>
    <d v="2025-10-29T00:00:00"/>
    <x v="3"/>
    <x v="0"/>
    <x v="4"/>
    <n v="26"/>
    <x v="4"/>
    <s v="Male"/>
    <x v="1"/>
    <n v="2.1"/>
    <n v="3198.7"/>
    <n v="0"/>
    <n v="3.6"/>
    <n v="0.89"/>
  </r>
  <r>
    <s v="ENC100643"/>
    <s v="PT53281"/>
    <x v="4"/>
    <x v="3"/>
    <d v="2025-11-05T00:00:00"/>
    <d v="2025-11-10T00:00:00"/>
    <x v="9"/>
    <x v="2"/>
    <x v="9"/>
    <n v="44"/>
    <x v="0"/>
    <s v="Female"/>
    <x v="1"/>
    <n v="4.9000000000000004"/>
    <n v="10647.42"/>
    <n v="0"/>
    <n v="4"/>
    <n v="0.75"/>
  </r>
  <r>
    <s v="ENC100644"/>
    <s v="PT79325"/>
    <x v="2"/>
    <x v="1"/>
    <d v="2025-09-29T00:00:00"/>
    <d v="2025-10-03T00:00:00"/>
    <x v="8"/>
    <x v="0"/>
    <x v="7"/>
    <n v="76"/>
    <x v="3"/>
    <s v="Male"/>
    <x v="1"/>
    <n v="4"/>
    <n v="9904.52"/>
    <n v="0"/>
    <n v="3.3"/>
    <n v="0.78"/>
  </r>
  <r>
    <s v="ENC100645"/>
    <s v="PT39552"/>
    <x v="1"/>
    <x v="1"/>
    <d v="2025-08-14T00:00:00"/>
    <d v="2025-08-19T00:00:00"/>
    <x v="4"/>
    <x v="1"/>
    <x v="8"/>
    <n v="66"/>
    <x v="6"/>
    <s v="Female"/>
    <x v="0"/>
    <n v="4.4000000000000004"/>
    <n v="17835.599999999999"/>
    <n v="0"/>
    <n v="3"/>
    <n v="0.78"/>
  </r>
  <r>
    <s v="ENC100646"/>
    <s v="PT51444"/>
    <x v="1"/>
    <x v="0"/>
    <d v="2025-05-27T00:00:00"/>
    <d v="2025-06-03T00:00:00"/>
    <x v="6"/>
    <x v="2"/>
    <x v="4"/>
    <n v="26"/>
    <x v="4"/>
    <s v="Female"/>
    <x v="3"/>
    <n v="6.2"/>
    <n v="13319.72"/>
    <n v="1"/>
    <n v="4.2"/>
    <n v="0.86"/>
  </r>
  <r>
    <s v="ENC100647"/>
    <s v="PT58188"/>
    <x v="1"/>
    <x v="1"/>
    <d v="2025-07-17T00:00:00"/>
    <d v="2025-07-24T00:00:00"/>
    <x v="4"/>
    <x v="0"/>
    <x v="8"/>
    <n v="68"/>
    <x v="6"/>
    <s v="Female"/>
    <x v="0"/>
    <n v="6.6"/>
    <n v="26946.67"/>
    <n v="0"/>
    <n v="2.9"/>
    <n v="0.79"/>
  </r>
  <r>
    <s v="ENC100648"/>
    <s v="PT96443"/>
    <x v="3"/>
    <x v="1"/>
    <d v="2025-07-10T00:00:00"/>
    <d v="2025-07-20T00:00:00"/>
    <x v="7"/>
    <x v="1"/>
    <x v="6"/>
    <n v="61"/>
    <x v="1"/>
    <s v="Female"/>
    <x v="0"/>
    <n v="9.5"/>
    <n v="29175.81"/>
    <n v="0"/>
    <n v="3.6"/>
    <n v="0.8"/>
  </r>
  <r>
    <s v="ENC100649"/>
    <s v="PT86369"/>
    <x v="4"/>
    <x v="3"/>
    <d v="2025-03-02T00:00:00"/>
    <d v="2025-03-07T00:00:00"/>
    <x v="2"/>
    <x v="2"/>
    <x v="0"/>
    <n v="46"/>
    <x v="0"/>
    <s v="Female"/>
    <x v="3"/>
    <n v="4.0999999999999996"/>
    <n v="9396.16"/>
    <n v="0"/>
    <n v="3.7"/>
    <n v="0.75"/>
  </r>
  <r>
    <s v="ENC100650"/>
    <s v="PT54032"/>
    <x v="2"/>
    <x v="3"/>
    <d v="2025-01-30T00:00:00"/>
    <d v="2025-01-31T00:00:00"/>
    <x v="8"/>
    <x v="1"/>
    <x v="2"/>
    <n v="40"/>
    <x v="0"/>
    <s v="Male"/>
    <x v="0"/>
    <n v="0.6"/>
    <n v="1542.24"/>
    <n v="1"/>
    <n v="3.8"/>
    <n v="0.73"/>
  </r>
  <r>
    <s v="ENC100651"/>
    <s v="PT68732"/>
    <x v="3"/>
    <x v="2"/>
    <d v="2025-04-03T00:00:00"/>
    <d v="2025-04-04T00:00:00"/>
    <x v="1"/>
    <x v="2"/>
    <x v="6"/>
    <n v="84"/>
    <x v="3"/>
    <s v="Male"/>
    <x v="0"/>
    <n v="0.2"/>
    <n v="682.88"/>
    <n v="0"/>
    <n v="4.0999999999999996"/>
    <n v="0.86"/>
  </r>
  <r>
    <s v="ENC100652"/>
    <s v="PT28211"/>
    <x v="2"/>
    <x v="3"/>
    <d v="2025-06-15T00:00:00"/>
    <d v="2025-06-18T00:00:00"/>
    <x v="5"/>
    <x v="0"/>
    <x v="9"/>
    <n v="79"/>
    <x v="3"/>
    <s v="Female"/>
    <x v="0"/>
    <n v="2.4"/>
    <n v="6514.5"/>
    <n v="0"/>
    <n v="4.9000000000000004"/>
    <n v="0.75"/>
  </r>
  <r>
    <s v="ENC100653"/>
    <s v="PT82394"/>
    <x v="0"/>
    <x v="0"/>
    <d v="2025-02-28T00:00:00"/>
    <d v="2025-03-05T00:00:00"/>
    <x v="2"/>
    <x v="0"/>
    <x v="1"/>
    <n v="90"/>
    <x v="3"/>
    <s v="Male"/>
    <x v="1"/>
    <n v="5"/>
    <n v="10705.81"/>
    <n v="1"/>
    <n v="2.9"/>
    <n v="0.76"/>
  </r>
  <r>
    <s v="ENC100654"/>
    <s v="PT59772"/>
    <x v="0"/>
    <x v="1"/>
    <d v="2025-02-08T00:00:00"/>
    <d v="2025-02-10T00:00:00"/>
    <x v="1"/>
    <x v="0"/>
    <x v="7"/>
    <n v="61"/>
    <x v="1"/>
    <s v="Male"/>
    <x v="3"/>
    <n v="2"/>
    <n v="5887.91"/>
    <n v="0"/>
    <n v="4.4000000000000004"/>
    <n v="0.8"/>
  </r>
  <r>
    <s v="ENC100655"/>
    <s v="PT57944"/>
    <x v="4"/>
    <x v="2"/>
    <d v="2025-11-07T00:00:00"/>
    <d v="2025-11-13T00:00:00"/>
    <x v="9"/>
    <x v="2"/>
    <x v="6"/>
    <n v="32"/>
    <x v="4"/>
    <s v="Male"/>
    <x v="0"/>
    <n v="5.9"/>
    <n v="13504.86"/>
    <n v="1"/>
    <n v="2.4"/>
    <n v="0.73"/>
  </r>
  <r>
    <s v="ENC100656"/>
    <s v="PT78964"/>
    <x v="0"/>
    <x v="1"/>
    <d v="2025-05-17T00:00:00"/>
    <d v="2025-05-23T00:00:00"/>
    <x v="8"/>
    <x v="0"/>
    <x v="1"/>
    <n v="9"/>
    <x v="5"/>
    <s v="Female"/>
    <x v="0"/>
    <n v="5.3"/>
    <n v="18258.53"/>
    <n v="0"/>
    <n v="4.7"/>
    <n v="0.83"/>
  </r>
  <r>
    <s v="ENC100657"/>
    <s v="PT66961"/>
    <x v="3"/>
    <x v="1"/>
    <d v="2025-08-02T00:00:00"/>
    <d v="2025-08-09T00:00:00"/>
    <x v="6"/>
    <x v="2"/>
    <x v="5"/>
    <n v="11"/>
    <x v="5"/>
    <s v="Female"/>
    <x v="1"/>
    <n v="6.6"/>
    <n v="15186.27"/>
    <n v="0"/>
    <n v="2.7"/>
    <n v="0.87"/>
  </r>
  <r>
    <s v="ENC100658"/>
    <s v="PT16521"/>
    <x v="3"/>
    <x v="2"/>
    <d v="2025-07-11T00:00:00"/>
    <d v="2025-07-14T00:00:00"/>
    <x v="8"/>
    <x v="2"/>
    <x v="1"/>
    <n v="86"/>
    <x v="3"/>
    <s v="Male"/>
    <x v="2"/>
    <n v="2.4"/>
    <n v="5383.84"/>
    <n v="0"/>
    <n v="5"/>
    <n v="0.84"/>
  </r>
  <r>
    <s v="ENC100659"/>
    <s v="PT35933"/>
    <x v="0"/>
    <x v="3"/>
    <d v="2025-09-26T00:00:00"/>
    <d v="2025-09-28T00:00:00"/>
    <x v="6"/>
    <x v="2"/>
    <x v="2"/>
    <n v="33"/>
    <x v="4"/>
    <s v="Female"/>
    <x v="0"/>
    <n v="1.1000000000000001"/>
    <n v="2553.71"/>
    <n v="0"/>
    <n v="3.7"/>
    <n v="0.81"/>
  </r>
  <r>
    <s v="ENC100660"/>
    <s v="PT25904"/>
    <x v="4"/>
    <x v="3"/>
    <d v="2025-09-28T00:00:00"/>
    <d v="2025-09-29T00:00:00"/>
    <x v="0"/>
    <x v="0"/>
    <x v="5"/>
    <n v="10"/>
    <x v="5"/>
    <s v="Female"/>
    <x v="2"/>
    <n v="0.7"/>
    <n v="1418.78"/>
    <n v="0"/>
    <n v="4.7"/>
    <n v="0.85"/>
  </r>
  <r>
    <s v="ENC100661"/>
    <s v="PT76139"/>
    <x v="3"/>
    <x v="1"/>
    <d v="2025-04-19T00:00:00"/>
    <d v="2025-04-23T00:00:00"/>
    <x v="9"/>
    <x v="2"/>
    <x v="2"/>
    <n v="20"/>
    <x v="4"/>
    <s v="Male"/>
    <x v="3"/>
    <n v="3.4"/>
    <n v="6989.17"/>
    <n v="0"/>
    <n v="4.5999999999999996"/>
    <n v="0.83"/>
  </r>
  <r>
    <s v="ENC100662"/>
    <s v="PT13163"/>
    <x v="1"/>
    <x v="1"/>
    <d v="2025-11-06T00:00:00"/>
    <d v="2025-11-07T00:00:00"/>
    <x v="9"/>
    <x v="2"/>
    <x v="2"/>
    <n v="1"/>
    <x v="5"/>
    <s v="Female"/>
    <x v="0"/>
    <n v="0.4"/>
    <n v="860.61"/>
    <n v="0"/>
    <n v="3.6"/>
    <n v="0.78"/>
  </r>
  <r>
    <s v="ENC100663"/>
    <s v="PT28216"/>
    <x v="3"/>
    <x v="0"/>
    <d v="2025-05-16T00:00:00"/>
    <d v="2025-05-17T00:00:00"/>
    <x v="0"/>
    <x v="1"/>
    <x v="9"/>
    <n v="48"/>
    <x v="0"/>
    <s v="Male"/>
    <x v="3"/>
    <n v="0.4"/>
    <n v="789.69"/>
    <n v="0"/>
    <n v="3.7"/>
    <n v="0.86"/>
  </r>
  <r>
    <s v="ENC100664"/>
    <s v="PT63769"/>
    <x v="4"/>
    <x v="3"/>
    <d v="2025-11-01T00:00:00"/>
    <d v="2025-11-05T00:00:00"/>
    <x v="4"/>
    <x v="2"/>
    <x v="2"/>
    <n v="53"/>
    <x v="1"/>
    <s v="Female"/>
    <x v="1"/>
    <n v="3.5"/>
    <n v="13877.32"/>
    <n v="0"/>
    <n v="3.3"/>
    <n v="0.73"/>
  </r>
  <r>
    <s v="ENC100665"/>
    <s v="PT72531"/>
    <x v="2"/>
    <x v="0"/>
    <d v="2025-05-28T00:00:00"/>
    <d v="2025-06-02T00:00:00"/>
    <x v="1"/>
    <x v="2"/>
    <x v="4"/>
    <n v="34"/>
    <x v="4"/>
    <s v="Male"/>
    <x v="1"/>
    <n v="4.0999999999999996"/>
    <n v="12582.63"/>
    <n v="0"/>
    <n v="4.4000000000000004"/>
    <n v="0.74"/>
  </r>
  <r>
    <s v="ENC100666"/>
    <s v="PT55296"/>
    <x v="3"/>
    <x v="1"/>
    <d v="2025-02-10T00:00:00"/>
    <d v="2025-02-12T00:00:00"/>
    <x v="9"/>
    <x v="2"/>
    <x v="9"/>
    <n v="67"/>
    <x v="6"/>
    <s v="Male"/>
    <x v="1"/>
    <n v="1.1000000000000001"/>
    <n v="2529"/>
    <n v="1"/>
    <n v="3.6"/>
    <n v="0.82"/>
  </r>
  <r>
    <s v="ENC100667"/>
    <s v="PT87463"/>
    <x v="0"/>
    <x v="1"/>
    <d v="2025-10-05T00:00:00"/>
    <d v="2025-10-13T00:00:00"/>
    <x v="8"/>
    <x v="2"/>
    <x v="1"/>
    <n v="43"/>
    <x v="0"/>
    <s v="Male"/>
    <x v="3"/>
    <n v="7.2"/>
    <n v="18855.55"/>
    <n v="0"/>
    <n v="3.2"/>
    <n v="0.77"/>
  </r>
  <r>
    <s v="ENC100668"/>
    <s v="PT92703"/>
    <x v="1"/>
    <x v="3"/>
    <d v="2025-01-12T00:00:00"/>
    <d v="2025-01-17T00:00:00"/>
    <x v="0"/>
    <x v="0"/>
    <x v="3"/>
    <n v="87"/>
    <x v="3"/>
    <s v="Male"/>
    <x v="3"/>
    <n v="4.7"/>
    <n v="11385.43"/>
    <n v="1"/>
    <n v="4.2"/>
    <n v="0.81"/>
  </r>
  <r>
    <s v="ENC100669"/>
    <s v="PT21889"/>
    <x v="3"/>
    <x v="3"/>
    <d v="2025-10-09T00:00:00"/>
    <d v="2025-10-10T00:00:00"/>
    <x v="1"/>
    <x v="2"/>
    <x v="2"/>
    <n v="69"/>
    <x v="6"/>
    <s v="Male"/>
    <x v="3"/>
    <n v="0.2"/>
    <n v="509.76"/>
    <n v="0"/>
    <n v="3.4"/>
    <n v="0.88"/>
  </r>
  <r>
    <s v="ENC100670"/>
    <s v="PT95725"/>
    <x v="4"/>
    <x v="1"/>
    <d v="2025-01-16T00:00:00"/>
    <d v="2025-01-20T00:00:00"/>
    <x v="6"/>
    <x v="2"/>
    <x v="5"/>
    <n v="6"/>
    <x v="5"/>
    <s v="Female"/>
    <x v="2"/>
    <n v="3.8"/>
    <n v="7534.53"/>
    <n v="0"/>
    <n v="3.7"/>
    <n v="0.82"/>
  </r>
  <r>
    <s v="ENC100671"/>
    <s v="PT65293"/>
    <x v="4"/>
    <x v="1"/>
    <d v="2025-03-17T00:00:00"/>
    <d v="2025-03-20T00:00:00"/>
    <x v="7"/>
    <x v="1"/>
    <x v="2"/>
    <n v="24"/>
    <x v="4"/>
    <s v="Male"/>
    <x v="1"/>
    <n v="2.7"/>
    <n v="7747.69"/>
    <n v="0"/>
    <n v="4"/>
    <n v="0.82"/>
  </r>
  <r>
    <s v="ENC100672"/>
    <s v="PT67259"/>
    <x v="0"/>
    <x v="1"/>
    <d v="2025-08-09T00:00:00"/>
    <d v="2025-08-13T00:00:00"/>
    <x v="9"/>
    <x v="0"/>
    <x v="7"/>
    <n v="68"/>
    <x v="6"/>
    <s v="Male"/>
    <x v="3"/>
    <n v="4"/>
    <n v="9560.52"/>
    <n v="0"/>
    <n v="3.5"/>
    <n v="0.81"/>
  </r>
  <r>
    <s v="ENC100673"/>
    <s v="PT18558"/>
    <x v="0"/>
    <x v="1"/>
    <d v="2025-12-10T00:00:00"/>
    <d v="2025-12-13T00:00:00"/>
    <x v="9"/>
    <x v="0"/>
    <x v="1"/>
    <n v="48"/>
    <x v="0"/>
    <s v="Female"/>
    <x v="3"/>
    <n v="3"/>
    <n v="7778.85"/>
    <n v="0"/>
    <n v="3.6"/>
    <n v="0.79"/>
  </r>
  <r>
    <s v="ENC100674"/>
    <s v="PT65967"/>
    <x v="2"/>
    <x v="3"/>
    <d v="2025-05-30T00:00:00"/>
    <d v="2025-06-03T00:00:00"/>
    <x v="1"/>
    <x v="1"/>
    <x v="5"/>
    <n v="68"/>
    <x v="6"/>
    <s v="Female"/>
    <x v="0"/>
    <n v="3.8"/>
    <n v="13950.18"/>
    <n v="0"/>
    <n v="4.8"/>
    <n v="0.66"/>
  </r>
  <r>
    <s v="ENC100675"/>
    <s v="PT75313"/>
    <x v="1"/>
    <x v="1"/>
    <d v="2025-02-14T00:00:00"/>
    <d v="2025-02-17T00:00:00"/>
    <x v="2"/>
    <x v="1"/>
    <x v="1"/>
    <n v="30"/>
    <x v="4"/>
    <s v="Female"/>
    <x v="0"/>
    <n v="2.6"/>
    <n v="5999.4"/>
    <n v="0"/>
    <n v="3.8"/>
    <n v="0.83"/>
  </r>
  <r>
    <s v="ENC100676"/>
    <s v="PT62270"/>
    <x v="0"/>
    <x v="3"/>
    <d v="2025-03-27T00:00:00"/>
    <d v="2025-03-28T00:00:00"/>
    <x v="6"/>
    <x v="2"/>
    <x v="1"/>
    <n v="3"/>
    <x v="5"/>
    <s v="Male"/>
    <x v="0"/>
    <n v="0.6"/>
    <n v="1525.38"/>
    <n v="0"/>
    <n v="3.7"/>
    <n v="0.71"/>
  </r>
  <r>
    <s v="ENC100677"/>
    <s v="PT17604"/>
    <x v="3"/>
    <x v="3"/>
    <d v="2025-11-24T00:00:00"/>
    <d v="2025-12-05T00:00:00"/>
    <x v="6"/>
    <x v="0"/>
    <x v="3"/>
    <n v="71"/>
    <x v="6"/>
    <s v="Male"/>
    <x v="3"/>
    <n v="10.3"/>
    <n v="22342.83"/>
    <n v="1"/>
    <n v="3.6"/>
    <n v="0.76"/>
  </r>
  <r>
    <s v="ENC100678"/>
    <s v="PT57089"/>
    <x v="1"/>
    <x v="2"/>
    <d v="2025-09-23T00:00:00"/>
    <d v="2025-09-24T00:00:00"/>
    <x v="0"/>
    <x v="0"/>
    <x v="6"/>
    <n v="71"/>
    <x v="6"/>
    <s v="Female"/>
    <x v="0"/>
    <n v="0.6"/>
    <n v="1251.8900000000001"/>
    <n v="1"/>
    <n v="4.2"/>
    <n v="0.81"/>
  </r>
  <r>
    <s v="ENC100679"/>
    <s v="PT94233"/>
    <x v="0"/>
    <x v="2"/>
    <d v="2025-02-06T00:00:00"/>
    <d v="2025-02-13T00:00:00"/>
    <x v="0"/>
    <x v="2"/>
    <x v="7"/>
    <n v="58"/>
    <x v="1"/>
    <s v="Female"/>
    <x v="1"/>
    <n v="6.5"/>
    <n v="14210.43"/>
    <n v="0"/>
    <n v="3.3"/>
    <n v="0.81"/>
  </r>
  <r>
    <s v="ENC100680"/>
    <s v="PT75106"/>
    <x v="2"/>
    <x v="1"/>
    <d v="2025-05-21T00:00:00"/>
    <d v="2025-05-28T00:00:00"/>
    <x v="5"/>
    <x v="2"/>
    <x v="2"/>
    <n v="36"/>
    <x v="0"/>
    <s v="Male"/>
    <x v="0"/>
    <n v="6.2"/>
    <n v="17234.22"/>
    <n v="0"/>
    <n v="4.2"/>
    <n v="0.73"/>
  </r>
  <r>
    <s v="ENC100681"/>
    <s v="PT22366"/>
    <x v="3"/>
    <x v="1"/>
    <d v="2025-04-07T00:00:00"/>
    <d v="2025-04-11T00:00:00"/>
    <x v="4"/>
    <x v="2"/>
    <x v="2"/>
    <n v="0"/>
    <x v="5"/>
    <s v="Female"/>
    <x v="0"/>
    <n v="3.9"/>
    <n v="17045.59"/>
    <n v="0"/>
    <n v="4"/>
    <n v="0.9"/>
  </r>
  <r>
    <s v="ENC100682"/>
    <s v="PT96393"/>
    <x v="0"/>
    <x v="0"/>
    <d v="2025-03-06T00:00:00"/>
    <d v="2025-03-09T00:00:00"/>
    <x v="7"/>
    <x v="0"/>
    <x v="8"/>
    <n v="66"/>
    <x v="6"/>
    <s v="Male"/>
    <x v="1"/>
    <n v="2.4"/>
    <n v="7679.69"/>
    <n v="0"/>
    <n v="2.8"/>
    <n v="0.82"/>
  </r>
  <r>
    <s v="ENC100683"/>
    <s v="PT96298"/>
    <x v="3"/>
    <x v="3"/>
    <d v="2025-11-05T00:00:00"/>
    <d v="2025-11-06T00:00:00"/>
    <x v="2"/>
    <x v="0"/>
    <x v="8"/>
    <n v="60"/>
    <x v="1"/>
    <s v="Female"/>
    <x v="0"/>
    <n v="0.5"/>
    <n v="1029.9000000000001"/>
    <n v="0"/>
    <n v="5"/>
    <n v="0.83"/>
  </r>
  <r>
    <s v="ENC100684"/>
    <s v="PT25245"/>
    <x v="4"/>
    <x v="1"/>
    <d v="2025-08-14T00:00:00"/>
    <d v="2025-08-17T00:00:00"/>
    <x v="6"/>
    <x v="0"/>
    <x v="7"/>
    <n v="60"/>
    <x v="1"/>
    <s v="Female"/>
    <x v="3"/>
    <n v="2.5"/>
    <n v="5302.24"/>
    <n v="0"/>
    <n v="4.8"/>
    <n v="0.84"/>
  </r>
  <r>
    <s v="ENC100685"/>
    <s v="PT82078"/>
    <x v="4"/>
    <x v="0"/>
    <d v="2025-03-07T00:00:00"/>
    <d v="2025-03-08T00:00:00"/>
    <x v="6"/>
    <x v="2"/>
    <x v="7"/>
    <n v="15"/>
    <x v="2"/>
    <s v="Female"/>
    <x v="0"/>
    <n v="0.5"/>
    <n v="1094.7"/>
    <n v="0"/>
    <n v="3.4"/>
    <n v="0.84"/>
  </r>
  <r>
    <s v="ENC100686"/>
    <s v="PT46604"/>
    <x v="3"/>
    <x v="1"/>
    <d v="2025-08-26T00:00:00"/>
    <d v="2025-08-29T00:00:00"/>
    <x v="3"/>
    <x v="2"/>
    <x v="7"/>
    <n v="66"/>
    <x v="6"/>
    <s v="Male"/>
    <x v="3"/>
    <n v="2.4"/>
    <n v="3712.06"/>
    <n v="0"/>
    <n v="3"/>
    <n v="0.86"/>
  </r>
  <r>
    <s v="ENC100687"/>
    <s v="PT63430"/>
    <x v="3"/>
    <x v="1"/>
    <d v="2025-05-31T00:00:00"/>
    <d v="2025-06-05T00:00:00"/>
    <x v="8"/>
    <x v="2"/>
    <x v="1"/>
    <n v="65"/>
    <x v="6"/>
    <s v="Male"/>
    <x v="0"/>
    <n v="4.0999999999999996"/>
    <n v="11379.09"/>
    <n v="0"/>
    <n v="4"/>
    <n v="0.81"/>
  </r>
  <r>
    <s v="ENC100688"/>
    <s v="PT50066"/>
    <x v="0"/>
    <x v="3"/>
    <d v="2025-01-23T00:00:00"/>
    <d v="2025-01-27T00:00:00"/>
    <x v="1"/>
    <x v="2"/>
    <x v="0"/>
    <n v="78"/>
    <x v="3"/>
    <s v="Female"/>
    <x v="2"/>
    <n v="3.4"/>
    <n v="10355.68"/>
    <n v="1"/>
    <n v="3"/>
    <n v="0.78"/>
  </r>
  <r>
    <s v="ENC100689"/>
    <s v="PT80435"/>
    <x v="0"/>
    <x v="3"/>
    <d v="2025-06-14T00:00:00"/>
    <d v="2025-06-18T00:00:00"/>
    <x v="5"/>
    <x v="1"/>
    <x v="9"/>
    <n v="51"/>
    <x v="1"/>
    <s v="Female"/>
    <x v="1"/>
    <n v="3.9"/>
    <n v="9969.6299999999992"/>
    <n v="0"/>
    <n v="4.7"/>
    <n v="0.74"/>
  </r>
  <r>
    <s v="ENC100690"/>
    <s v="PT99698"/>
    <x v="0"/>
    <x v="3"/>
    <d v="2025-03-09T00:00:00"/>
    <d v="2025-03-13T00:00:00"/>
    <x v="8"/>
    <x v="1"/>
    <x v="8"/>
    <n v="66"/>
    <x v="6"/>
    <s v="Female"/>
    <x v="0"/>
    <n v="4"/>
    <n v="11430.77"/>
    <n v="0"/>
    <n v="3.6"/>
    <n v="0.8"/>
  </r>
  <r>
    <s v="ENC100691"/>
    <s v="PT81559"/>
    <x v="1"/>
    <x v="2"/>
    <d v="2025-03-31T00:00:00"/>
    <d v="2025-04-03T00:00:00"/>
    <x v="2"/>
    <x v="1"/>
    <x v="5"/>
    <n v="36"/>
    <x v="0"/>
    <s v="Female"/>
    <x v="0"/>
    <n v="2.1"/>
    <n v="4720.3"/>
    <n v="0"/>
    <n v="4.9000000000000004"/>
    <n v="0.78"/>
  </r>
  <r>
    <s v="ENC100692"/>
    <s v="PT93822"/>
    <x v="3"/>
    <x v="1"/>
    <d v="2025-11-17T00:00:00"/>
    <d v="2025-11-19T00:00:00"/>
    <x v="0"/>
    <x v="1"/>
    <x v="1"/>
    <n v="63"/>
    <x v="1"/>
    <s v="Male"/>
    <x v="0"/>
    <n v="1.7"/>
    <n v="4116.97"/>
    <n v="0"/>
    <n v="3.4"/>
    <n v="0.83"/>
  </r>
  <r>
    <s v="ENC100693"/>
    <s v="PT95141"/>
    <x v="3"/>
    <x v="1"/>
    <d v="2025-09-17T00:00:00"/>
    <d v="2025-09-21T00:00:00"/>
    <x v="3"/>
    <x v="1"/>
    <x v="8"/>
    <n v="63"/>
    <x v="1"/>
    <s v="Female"/>
    <x v="1"/>
    <n v="3.3"/>
    <n v="5551.55"/>
    <n v="0"/>
    <n v="3.6"/>
    <n v="0.85"/>
  </r>
  <r>
    <s v="ENC100694"/>
    <s v="PT18109"/>
    <x v="0"/>
    <x v="0"/>
    <d v="2025-02-18T00:00:00"/>
    <d v="2025-02-24T00:00:00"/>
    <x v="6"/>
    <x v="2"/>
    <x v="4"/>
    <n v="70"/>
    <x v="6"/>
    <s v="Male"/>
    <x v="3"/>
    <n v="5.7"/>
    <n v="12440.92"/>
    <n v="0"/>
    <n v="4.7"/>
    <n v="0.72"/>
  </r>
  <r>
    <s v="ENC100695"/>
    <s v="PT32804"/>
    <x v="4"/>
    <x v="3"/>
    <d v="2025-11-07T00:00:00"/>
    <d v="2025-11-13T00:00:00"/>
    <x v="8"/>
    <x v="2"/>
    <x v="8"/>
    <n v="77"/>
    <x v="3"/>
    <s v="Female"/>
    <x v="0"/>
    <n v="5.3"/>
    <n v="14636.9"/>
    <n v="0"/>
    <n v="3.7"/>
    <n v="0.73"/>
  </r>
  <r>
    <s v="ENC100696"/>
    <s v="PT74966"/>
    <x v="4"/>
    <x v="3"/>
    <d v="2025-07-29T00:00:00"/>
    <d v="2025-08-02T00:00:00"/>
    <x v="4"/>
    <x v="2"/>
    <x v="7"/>
    <n v="0"/>
    <x v="5"/>
    <s v="Female"/>
    <x v="1"/>
    <n v="3.9"/>
    <n v="14643.97"/>
    <n v="0"/>
    <n v="4"/>
    <n v="0.76"/>
  </r>
  <r>
    <s v="ENC100697"/>
    <s v="PT63106"/>
    <x v="1"/>
    <x v="1"/>
    <d v="2025-11-16T00:00:00"/>
    <d v="2025-11-17T00:00:00"/>
    <x v="6"/>
    <x v="2"/>
    <x v="8"/>
    <n v="70"/>
    <x v="6"/>
    <s v="Female"/>
    <x v="1"/>
    <n v="0.3"/>
    <n v="677.19"/>
    <n v="0"/>
    <n v="4.5999999999999996"/>
    <n v="0.82"/>
  </r>
  <r>
    <s v="ENC100698"/>
    <s v="PT14513"/>
    <x v="2"/>
    <x v="2"/>
    <d v="2025-09-30T00:00:00"/>
    <d v="2025-10-02T00:00:00"/>
    <x v="3"/>
    <x v="2"/>
    <x v="2"/>
    <n v="72"/>
    <x v="6"/>
    <s v="Female"/>
    <x v="1"/>
    <n v="1.5"/>
    <n v="2585.63"/>
    <n v="0"/>
    <n v="3.4"/>
    <n v="0.73"/>
  </r>
  <r>
    <s v="ENC100699"/>
    <s v="PT18554"/>
    <x v="0"/>
    <x v="0"/>
    <d v="2025-05-04T00:00:00"/>
    <d v="2025-05-06T00:00:00"/>
    <x v="3"/>
    <x v="2"/>
    <x v="8"/>
    <n v="49"/>
    <x v="0"/>
    <s v="Female"/>
    <x v="1"/>
    <n v="1.1000000000000001"/>
    <n v="2286.33"/>
    <n v="0"/>
    <n v="2.9"/>
    <n v="0.79"/>
  </r>
  <r>
    <s v="ENC100700"/>
    <s v="PT56848"/>
    <x v="4"/>
    <x v="0"/>
    <d v="2025-07-15T00:00:00"/>
    <d v="2025-07-17T00:00:00"/>
    <x v="0"/>
    <x v="1"/>
    <x v="1"/>
    <n v="47"/>
    <x v="0"/>
    <s v="Female"/>
    <x v="1"/>
    <n v="1.7"/>
    <n v="3699.68"/>
    <n v="0"/>
    <n v="3"/>
    <n v="0.75"/>
  </r>
  <r>
    <s v="ENC100701"/>
    <s v="PT65454"/>
    <x v="2"/>
    <x v="3"/>
    <d v="2025-07-13T00:00:00"/>
    <d v="2025-07-14T00:00:00"/>
    <x v="3"/>
    <x v="2"/>
    <x v="3"/>
    <n v="65"/>
    <x v="6"/>
    <s v="Female"/>
    <x v="1"/>
    <n v="1"/>
    <n v="1672.82"/>
    <n v="0"/>
    <n v="4.0999999999999996"/>
    <n v="0.69"/>
  </r>
  <r>
    <s v="ENC100702"/>
    <s v="PT25094"/>
    <x v="3"/>
    <x v="2"/>
    <d v="2025-09-20T00:00:00"/>
    <d v="2025-09-22T00:00:00"/>
    <x v="1"/>
    <x v="1"/>
    <x v="2"/>
    <n v="41"/>
    <x v="0"/>
    <s v="Male"/>
    <x v="2"/>
    <n v="1.1000000000000001"/>
    <n v="3372.52"/>
    <n v="0"/>
    <n v="4.0999999999999996"/>
    <n v="0.82"/>
  </r>
  <r>
    <s v="ENC100703"/>
    <s v="PT25416"/>
    <x v="1"/>
    <x v="3"/>
    <d v="2025-04-01T00:00:00"/>
    <d v="2025-04-02T00:00:00"/>
    <x v="3"/>
    <x v="0"/>
    <x v="6"/>
    <n v="37"/>
    <x v="0"/>
    <s v="Female"/>
    <x v="0"/>
    <n v="0.4"/>
    <n v="734.39"/>
    <n v="0"/>
    <n v="4.3"/>
    <n v="0.81"/>
  </r>
  <r>
    <s v="ENC100704"/>
    <s v="PT21640"/>
    <x v="0"/>
    <x v="2"/>
    <d v="2025-05-02T00:00:00"/>
    <d v="2025-05-14T00:00:00"/>
    <x v="4"/>
    <x v="0"/>
    <x v="7"/>
    <n v="73"/>
    <x v="6"/>
    <s v="Female"/>
    <x v="0"/>
    <n v="11.3"/>
    <n v="48537.38"/>
    <n v="1"/>
    <n v="3.4"/>
    <n v="0.79"/>
  </r>
  <r>
    <s v="ENC100705"/>
    <s v="PT60844"/>
    <x v="0"/>
    <x v="1"/>
    <d v="2025-03-31T00:00:00"/>
    <d v="2025-04-01T00:00:00"/>
    <x v="5"/>
    <x v="0"/>
    <x v="8"/>
    <n v="71"/>
    <x v="6"/>
    <s v="Female"/>
    <x v="0"/>
    <n v="0.3"/>
    <n v="832.41"/>
    <n v="0"/>
    <n v="3"/>
    <n v="0.8"/>
  </r>
  <r>
    <s v="ENC100706"/>
    <s v="PT10706"/>
    <x v="1"/>
    <x v="3"/>
    <d v="2025-04-19T00:00:00"/>
    <d v="2025-04-27T00:00:00"/>
    <x v="5"/>
    <x v="2"/>
    <x v="1"/>
    <n v="18"/>
    <x v="4"/>
    <s v="Male"/>
    <x v="1"/>
    <n v="7.1"/>
    <n v="22013.38"/>
    <n v="1"/>
    <n v="2.2999999999999998"/>
    <n v="0.84"/>
  </r>
  <r>
    <s v="ENC100707"/>
    <s v="PT61518"/>
    <x v="0"/>
    <x v="2"/>
    <d v="2025-02-28T00:00:00"/>
    <d v="2025-03-03T00:00:00"/>
    <x v="3"/>
    <x v="0"/>
    <x v="0"/>
    <n v="75"/>
    <x v="3"/>
    <s v="Male"/>
    <x v="0"/>
    <n v="2.5"/>
    <n v="5059.05"/>
    <n v="0"/>
    <n v="5"/>
    <n v="0.83"/>
  </r>
  <r>
    <s v="ENC100708"/>
    <s v="PT52833"/>
    <x v="2"/>
    <x v="0"/>
    <d v="2025-01-14T00:00:00"/>
    <d v="2025-01-19T00:00:00"/>
    <x v="1"/>
    <x v="2"/>
    <x v="9"/>
    <n v="29"/>
    <x v="4"/>
    <s v="Male"/>
    <x v="2"/>
    <n v="5"/>
    <n v="15120.87"/>
    <n v="0"/>
    <n v="4.2"/>
    <n v="0.72"/>
  </r>
  <r>
    <s v="ENC100709"/>
    <s v="PT51938"/>
    <x v="1"/>
    <x v="0"/>
    <d v="2025-12-10T00:00:00"/>
    <d v="2025-12-15T00:00:00"/>
    <x v="1"/>
    <x v="1"/>
    <x v="6"/>
    <n v="12"/>
    <x v="5"/>
    <s v="Male"/>
    <x v="1"/>
    <n v="4.5999999999999996"/>
    <n v="13292.91"/>
    <n v="0"/>
    <n v="4"/>
    <n v="0.76"/>
  </r>
  <r>
    <s v="ENC100710"/>
    <s v="PT71134"/>
    <x v="1"/>
    <x v="2"/>
    <d v="2025-01-28T00:00:00"/>
    <d v="2025-01-29T00:00:00"/>
    <x v="3"/>
    <x v="2"/>
    <x v="2"/>
    <n v="79"/>
    <x v="3"/>
    <s v="Male"/>
    <x v="1"/>
    <n v="0.5"/>
    <n v="858.26"/>
    <n v="0"/>
    <n v="3.9"/>
    <n v="0.87"/>
  </r>
  <r>
    <s v="ENC100711"/>
    <s v="PT57036"/>
    <x v="3"/>
    <x v="1"/>
    <d v="2025-11-21T00:00:00"/>
    <d v="2025-11-23T00:00:00"/>
    <x v="8"/>
    <x v="2"/>
    <x v="6"/>
    <n v="21"/>
    <x v="4"/>
    <s v="Female"/>
    <x v="3"/>
    <n v="1.7"/>
    <n v="4584.75"/>
    <n v="0"/>
    <n v="3"/>
    <n v="0.86"/>
  </r>
  <r>
    <s v="ENC100712"/>
    <s v="PT75496"/>
    <x v="4"/>
    <x v="0"/>
    <d v="2025-01-02T00:00:00"/>
    <d v="2025-01-05T00:00:00"/>
    <x v="1"/>
    <x v="0"/>
    <x v="3"/>
    <n v="18"/>
    <x v="4"/>
    <s v="Male"/>
    <x v="0"/>
    <n v="2.2000000000000002"/>
    <n v="7848.19"/>
    <n v="0"/>
    <n v="3.4"/>
    <n v="0.74"/>
  </r>
  <r>
    <s v="ENC100713"/>
    <s v="PT78752"/>
    <x v="2"/>
    <x v="2"/>
    <d v="2025-10-11T00:00:00"/>
    <d v="2025-10-12T00:00:00"/>
    <x v="0"/>
    <x v="0"/>
    <x v="8"/>
    <n v="24"/>
    <x v="4"/>
    <s v="Male"/>
    <x v="3"/>
    <n v="0.5"/>
    <n v="1179.26"/>
    <n v="1"/>
    <n v="4.9000000000000004"/>
    <n v="0.76"/>
  </r>
  <r>
    <s v="ENC100714"/>
    <s v="PT92809"/>
    <x v="2"/>
    <x v="2"/>
    <d v="2025-04-30T00:00:00"/>
    <d v="2025-05-01T00:00:00"/>
    <x v="3"/>
    <x v="2"/>
    <x v="2"/>
    <n v="44"/>
    <x v="0"/>
    <s v="Female"/>
    <x v="0"/>
    <n v="0.5"/>
    <n v="924.65"/>
    <n v="0"/>
    <n v="4.0999999999999996"/>
    <n v="0.79"/>
  </r>
  <r>
    <s v="ENC100715"/>
    <s v="PT81931"/>
    <x v="3"/>
    <x v="2"/>
    <d v="2025-07-08T00:00:00"/>
    <d v="2025-07-12T00:00:00"/>
    <x v="8"/>
    <x v="0"/>
    <x v="7"/>
    <n v="15"/>
    <x v="2"/>
    <s v="Female"/>
    <x v="1"/>
    <n v="3.2"/>
    <n v="7896.71"/>
    <n v="0"/>
    <n v="3.4"/>
    <n v="0.91"/>
  </r>
  <r>
    <s v="ENC100716"/>
    <s v="PT56593"/>
    <x v="2"/>
    <x v="2"/>
    <d v="2025-04-14T00:00:00"/>
    <d v="2025-04-18T00:00:00"/>
    <x v="4"/>
    <x v="2"/>
    <x v="1"/>
    <n v="14"/>
    <x v="2"/>
    <s v="Female"/>
    <x v="2"/>
    <n v="4"/>
    <n v="18431.22"/>
    <n v="0"/>
    <n v="3.1"/>
    <n v="0.76"/>
  </r>
  <r>
    <s v="ENC100717"/>
    <s v="PT54293"/>
    <x v="3"/>
    <x v="1"/>
    <d v="2025-06-29T00:00:00"/>
    <d v="2025-07-03T00:00:00"/>
    <x v="2"/>
    <x v="0"/>
    <x v="1"/>
    <n v="35"/>
    <x v="0"/>
    <s v="Female"/>
    <x v="3"/>
    <n v="3.1"/>
    <n v="5907.69"/>
    <n v="0"/>
    <n v="3.6"/>
    <n v="0.88"/>
  </r>
  <r>
    <s v="ENC100718"/>
    <s v="PT31213"/>
    <x v="2"/>
    <x v="2"/>
    <d v="2025-06-14T00:00:00"/>
    <d v="2025-06-27T00:00:00"/>
    <x v="4"/>
    <x v="2"/>
    <x v="1"/>
    <n v="19"/>
    <x v="4"/>
    <s v="Male"/>
    <x v="3"/>
    <n v="12.4"/>
    <n v="44604.78"/>
    <n v="0"/>
    <n v="3.4"/>
    <n v="0.7"/>
  </r>
  <r>
    <s v="ENC100719"/>
    <s v="PT63962"/>
    <x v="0"/>
    <x v="0"/>
    <d v="2025-07-13T00:00:00"/>
    <d v="2025-07-16T00:00:00"/>
    <x v="9"/>
    <x v="2"/>
    <x v="6"/>
    <n v="17"/>
    <x v="2"/>
    <s v="Female"/>
    <x v="0"/>
    <n v="2.6"/>
    <n v="5935.39"/>
    <n v="0"/>
    <n v="5"/>
    <n v="0.8"/>
  </r>
  <r>
    <s v="ENC100720"/>
    <s v="PT22522"/>
    <x v="4"/>
    <x v="3"/>
    <d v="2025-05-24T00:00:00"/>
    <d v="2025-05-30T00:00:00"/>
    <x v="5"/>
    <x v="2"/>
    <x v="0"/>
    <n v="83"/>
    <x v="3"/>
    <s v="Male"/>
    <x v="3"/>
    <n v="5.3"/>
    <n v="15826.41"/>
    <n v="0"/>
    <n v="3.8"/>
    <n v="0.77"/>
  </r>
  <r>
    <s v="ENC100721"/>
    <s v="PT93810"/>
    <x v="4"/>
    <x v="0"/>
    <d v="2025-07-15T00:00:00"/>
    <d v="2025-07-16T00:00:00"/>
    <x v="6"/>
    <x v="2"/>
    <x v="1"/>
    <n v="54"/>
    <x v="1"/>
    <s v="Male"/>
    <x v="1"/>
    <n v="0.5"/>
    <n v="1088.95"/>
    <n v="0"/>
    <n v="3.2"/>
    <n v="0.79"/>
  </r>
  <r>
    <s v="ENC100722"/>
    <s v="PT86053"/>
    <x v="4"/>
    <x v="2"/>
    <d v="2025-10-29T00:00:00"/>
    <d v="2025-11-06T00:00:00"/>
    <x v="5"/>
    <x v="2"/>
    <x v="0"/>
    <n v="1"/>
    <x v="5"/>
    <s v="Female"/>
    <x v="1"/>
    <n v="7.8"/>
    <n v="24215.13"/>
    <n v="0"/>
    <n v="3.7"/>
    <n v="0.84"/>
  </r>
  <r>
    <s v="ENC100723"/>
    <s v="PT20775"/>
    <x v="1"/>
    <x v="3"/>
    <d v="2025-06-08T00:00:00"/>
    <d v="2025-06-09T00:00:00"/>
    <x v="6"/>
    <x v="2"/>
    <x v="5"/>
    <n v="9"/>
    <x v="5"/>
    <s v="Female"/>
    <x v="0"/>
    <n v="0.5"/>
    <n v="1300.5899999999999"/>
    <n v="0"/>
    <n v="4.0999999999999996"/>
    <n v="0.83"/>
  </r>
  <r>
    <s v="ENC100724"/>
    <s v="PT80735"/>
    <x v="0"/>
    <x v="2"/>
    <d v="2025-05-12T00:00:00"/>
    <d v="2025-05-15T00:00:00"/>
    <x v="8"/>
    <x v="2"/>
    <x v="8"/>
    <n v="74"/>
    <x v="6"/>
    <s v="Male"/>
    <x v="0"/>
    <n v="2.1"/>
    <n v="6847.08"/>
    <n v="0"/>
    <n v="3.1"/>
    <n v="0.76"/>
  </r>
  <r>
    <s v="ENC100725"/>
    <s v="PT20539"/>
    <x v="4"/>
    <x v="1"/>
    <d v="2025-02-18T00:00:00"/>
    <d v="2025-02-19T00:00:00"/>
    <x v="3"/>
    <x v="2"/>
    <x v="7"/>
    <n v="24"/>
    <x v="4"/>
    <s v="Male"/>
    <x v="1"/>
    <n v="0.4"/>
    <n v="725.6"/>
    <n v="0"/>
    <n v="3.9"/>
    <n v="0.73"/>
  </r>
  <r>
    <s v="ENC100726"/>
    <s v="PT74909"/>
    <x v="1"/>
    <x v="1"/>
    <d v="2025-05-12T00:00:00"/>
    <d v="2025-05-13T00:00:00"/>
    <x v="6"/>
    <x v="2"/>
    <x v="8"/>
    <n v="13"/>
    <x v="2"/>
    <s v="Female"/>
    <x v="0"/>
    <n v="0.3"/>
    <n v="800.25"/>
    <n v="0"/>
    <n v="4.5999999999999996"/>
    <n v="0.89"/>
  </r>
  <r>
    <s v="ENC100727"/>
    <s v="PT17893"/>
    <x v="4"/>
    <x v="0"/>
    <d v="2025-02-15T00:00:00"/>
    <d v="2025-02-19T00:00:00"/>
    <x v="2"/>
    <x v="2"/>
    <x v="1"/>
    <n v="60"/>
    <x v="1"/>
    <s v="Female"/>
    <x v="3"/>
    <n v="3.3"/>
    <n v="7933.47"/>
    <n v="1"/>
    <n v="4"/>
    <n v="0.8"/>
  </r>
  <r>
    <s v="ENC100728"/>
    <s v="PT53936"/>
    <x v="2"/>
    <x v="1"/>
    <d v="2025-03-08T00:00:00"/>
    <d v="2025-03-10T00:00:00"/>
    <x v="3"/>
    <x v="0"/>
    <x v="7"/>
    <n v="76"/>
    <x v="3"/>
    <s v="Male"/>
    <x v="3"/>
    <n v="1.4"/>
    <n v="2313.21"/>
    <n v="0"/>
    <n v="3.2"/>
    <n v="0.77"/>
  </r>
  <r>
    <s v="ENC100729"/>
    <s v="PT69207"/>
    <x v="0"/>
    <x v="3"/>
    <d v="2025-12-14T00:00:00"/>
    <d v="2025-12-26T00:00:00"/>
    <x v="7"/>
    <x v="1"/>
    <x v="4"/>
    <n v="36"/>
    <x v="0"/>
    <s v="Male"/>
    <x v="2"/>
    <n v="11.8"/>
    <n v="28402.87"/>
    <n v="0"/>
    <n v="3.4"/>
    <n v="0.79"/>
  </r>
  <r>
    <s v="ENC100730"/>
    <s v="PT75592"/>
    <x v="3"/>
    <x v="1"/>
    <d v="2025-02-02T00:00:00"/>
    <d v="2025-02-10T00:00:00"/>
    <x v="4"/>
    <x v="2"/>
    <x v="8"/>
    <n v="67"/>
    <x v="6"/>
    <s v="Female"/>
    <x v="0"/>
    <n v="7.3"/>
    <n v="30080.71"/>
    <n v="0"/>
    <n v="2.6"/>
    <n v="0.85"/>
  </r>
  <r>
    <s v="ENC100731"/>
    <s v="PT47674"/>
    <x v="0"/>
    <x v="3"/>
    <d v="2025-06-25T00:00:00"/>
    <d v="2025-06-28T00:00:00"/>
    <x v="4"/>
    <x v="1"/>
    <x v="4"/>
    <n v="38"/>
    <x v="0"/>
    <s v="Female"/>
    <x v="2"/>
    <n v="2.6"/>
    <n v="8682.0300000000007"/>
    <n v="0"/>
    <n v="3.7"/>
    <n v="0.76"/>
  </r>
  <r>
    <s v="ENC100732"/>
    <s v="PT92945"/>
    <x v="3"/>
    <x v="1"/>
    <d v="2025-11-01T00:00:00"/>
    <d v="2025-11-03T00:00:00"/>
    <x v="2"/>
    <x v="2"/>
    <x v="3"/>
    <n v="9"/>
    <x v="5"/>
    <s v="Male"/>
    <x v="0"/>
    <n v="1.9"/>
    <n v="4583.26"/>
    <n v="0"/>
    <n v="4.0999999999999996"/>
    <n v="0.86"/>
  </r>
  <r>
    <s v="ENC100733"/>
    <s v="PT79688"/>
    <x v="3"/>
    <x v="1"/>
    <d v="2025-12-14T00:00:00"/>
    <d v="2025-12-15T00:00:00"/>
    <x v="1"/>
    <x v="2"/>
    <x v="8"/>
    <n v="72"/>
    <x v="6"/>
    <s v="Female"/>
    <x v="1"/>
    <n v="0.5"/>
    <n v="1629.54"/>
    <n v="0"/>
    <n v="3.4"/>
    <n v="0.79"/>
  </r>
  <r>
    <s v="ENC100734"/>
    <s v="PT28743"/>
    <x v="1"/>
    <x v="3"/>
    <d v="2025-02-23T00:00:00"/>
    <d v="2025-02-25T00:00:00"/>
    <x v="2"/>
    <x v="0"/>
    <x v="4"/>
    <n v="83"/>
    <x v="3"/>
    <s v="Female"/>
    <x v="3"/>
    <n v="1.9"/>
    <n v="2989.07"/>
    <n v="0"/>
    <n v="5"/>
    <n v="0.81"/>
  </r>
  <r>
    <s v="ENC100735"/>
    <s v="PT70410"/>
    <x v="3"/>
    <x v="0"/>
    <d v="2025-03-01T00:00:00"/>
    <d v="2025-03-02T00:00:00"/>
    <x v="3"/>
    <x v="0"/>
    <x v="9"/>
    <n v="89"/>
    <x v="3"/>
    <s v="Male"/>
    <x v="0"/>
    <n v="0.9"/>
    <n v="1591.54"/>
    <n v="1"/>
    <n v="4.2"/>
    <n v="0.81"/>
  </r>
  <r>
    <s v="ENC100736"/>
    <s v="PT75747"/>
    <x v="1"/>
    <x v="1"/>
    <d v="2025-05-16T00:00:00"/>
    <d v="2025-05-21T00:00:00"/>
    <x v="5"/>
    <x v="0"/>
    <x v="8"/>
    <n v="9"/>
    <x v="5"/>
    <s v="Female"/>
    <x v="0"/>
    <n v="4.9000000000000004"/>
    <n v="14321.07"/>
    <n v="0"/>
    <n v="2.8"/>
    <n v="0.69"/>
  </r>
  <r>
    <s v="ENC100737"/>
    <s v="PT40027"/>
    <x v="0"/>
    <x v="1"/>
    <d v="2025-07-22T00:00:00"/>
    <d v="2025-08-02T00:00:00"/>
    <x v="4"/>
    <x v="2"/>
    <x v="6"/>
    <n v="51"/>
    <x v="1"/>
    <s v="Female"/>
    <x v="0"/>
    <n v="10.4"/>
    <n v="48328.91"/>
    <n v="1"/>
    <n v="2.5"/>
    <n v="0.79"/>
  </r>
  <r>
    <s v="ENC100738"/>
    <s v="PT76440"/>
    <x v="3"/>
    <x v="1"/>
    <d v="2025-12-17T00:00:00"/>
    <d v="2025-12-22T00:00:00"/>
    <x v="8"/>
    <x v="0"/>
    <x v="8"/>
    <n v="56"/>
    <x v="1"/>
    <s v="Male"/>
    <x v="1"/>
    <n v="4.2"/>
    <n v="12395.47"/>
    <n v="0"/>
    <n v="3.3"/>
    <n v="0.8"/>
  </r>
  <r>
    <s v="ENC100739"/>
    <s v="PT90852"/>
    <x v="4"/>
    <x v="3"/>
    <d v="2025-03-17T00:00:00"/>
    <d v="2025-03-18T00:00:00"/>
    <x v="3"/>
    <x v="2"/>
    <x v="2"/>
    <n v="7"/>
    <x v="5"/>
    <s v="Male"/>
    <x v="3"/>
    <n v="0.4"/>
    <n v="675.16"/>
    <n v="0"/>
    <n v="4.5999999999999996"/>
    <n v="0.77"/>
  </r>
  <r>
    <s v="ENC100740"/>
    <s v="PT83539"/>
    <x v="0"/>
    <x v="1"/>
    <d v="2025-03-02T00:00:00"/>
    <d v="2025-03-03T00:00:00"/>
    <x v="8"/>
    <x v="2"/>
    <x v="7"/>
    <n v="86"/>
    <x v="3"/>
    <s v="Female"/>
    <x v="0"/>
    <n v="1"/>
    <n v="2410.81"/>
    <n v="0"/>
    <n v="4.4000000000000004"/>
    <n v="0.8"/>
  </r>
  <r>
    <s v="ENC100741"/>
    <s v="PT78627"/>
    <x v="4"/>
    <x v="0"/>
    <d v="2025-04-03T00:00:00"/>
    <d v="2025-04-10T00:00:00"/>
    <x v="5"/>
    <x v="2"/>
    <x v="6"/>
    <n v="9"/>
    <x v="5"/>
    <s v="Female"/>
    <x v="0"/>
    <n v="6.2"/>
    <n v="15163.54"/>
    <n v="0"/>
    <n v="4.9000000000000004"/>
    <n v="0.85"/>
  </r>
  <r>
    <s v="ENC100742"/>
    <s v="PT67104"/>
    <x v="1"/>
    <x v="3"/>
    <d v="2025-11-16T00:00:00"/>
    <d v="2025-11-17T00:00:00"/>
    <x v="7"/>
    <x v="1"/>
    <x v="6"/>
    <n v="24"/>
    <x v="4"/>
    <s v="Male"/>
    <x v="1"/>
    <n v="0.5"/>
    <n v="1559.97"/>
    <n v="0"/>
    <n v="3.9"/>
    <n v="0.83"/>
  </r>
  <r>
    <s v="ENC100743"/>
    <s v="PT34347"/>
    <x v="1"/>
    <x v="0"/>
    <d v="2025-01-11T00:00:00"/>
    <d v="2025-01-24T00:00:00"/>
    <x v="8"/>
    <x v="2"/>
    <x v="6"/>
    <n v="88"/>
    <x v="3"/>
    <s v="Male"/>
    <x v="0"/>
    <n v="12.1"/>
    <n v="31029.040000000001"/>
    <n v="0"/>
    <n v="3.6"/>
    <n v="0.83"/>
  </r>
  <r>
    <s v="ENC100744"/>
    <s v="PT81569"/>
    <x v="1"/>
    <x v="3"/>
    <d v="2025-05-19T00:00:00"/>
    <d v="2025-05-21T00:00:00"/>
    <x v="1"/>
    <x v="0"/>
    <x v="6"/>
    <n v="50"/>
    <x v="1"/>
    <s v="Male"/>
    <x v="3"/>
    <n v="1.6"/>
    <n v="5107.13"/>
    <n v="0"/>
    <n v="3.2"/>
    <n v="0.84"/>
  </r>
  <r>
    <s v="ENC100745"/>
    <s v="PT42776"/>
    <x v="1"/>
    <x v="1"/>
    <d v="2025-02-13T00:00:00"/>
    <d v="2025-02-18T00:00:00"/>
    <x v="9"/>
    <x v="0"/>
    <x v="8"/>
    <n v="61"/>
    <x v="1"/>
    <s v="Male"/>
    <x v="2"/>
    <n v="4.7"/>
    <n v="11032.97"/>
    <n v="0"/>
    <n v="4.0999999999999996"/>
    <n v="0.85"/>
  </r>
  <r>
    <s v="ENC100746"/>
    <s v="PT57897"/>
    <x v="2"/>
    <x v="2"/>
    <d v="2025-02-27T00:00:00"/>
    <d v="2025-03-01T00:00:00"/>
    <x v="8"/>
    <x v="0"/>
    <x v="7"/>
    <n v="44"/>
    <x v="0"/>
    <s v="Male"/>
    <x v="3"/>
    <n v="1.8"/>
    <n v="3609.67"/>
    <n v="0"/>
    <n v="3.8"/>
    <n v="0.77"/>
  </r>
  <r>
    <s v="ENC100747"/>
    <s v="PT38299"/>
    <x v="0"/>
    <x v="0"/>
    <d v="2025-12-01T00:00:00"/>
    <d v="2025-12-05T00:00:00"/>
    <x v="9"/>
    <x v="0"/>
    <x v="6"/>
    <n v="68"/>
    <x v="6"/>
    <s v="Male"/>
    <x v="3"/>
    <n v="3.1"/>
    <n v="6945.57"/>
    <n v="0"/>
    <n v="3.8"/>
    <n v="0.81"/>
  </r>
  <r>
    <s v="ENC100748"/>
    <s v="PT38171"/>
    <x v="0"/>
    <x v="1"/>
    <d v="2025-01-01T00:00:00"/>
    <d v="2025-01-02T00:00:00"/>
    <x v="3"/>
    <x v="1"/>
    <x v="5"/>
    <n v="7"/>
    <x v="5"/>
    <s v="Male"/>
    <x v="1"/>
    <n v="0.3"/>
    <n v="576.29999999999995"/>
    <n v="0"/>
    <n v="4.7"/>
    <n v="0.83"/>
  </r>
  <r>
    <s v="ENC100749"/>
    <s v="PT24184"/>
    <x v="2"/>
    <x v="2"/>
    <d v="2025-04-28T00:00:00"/>
    <d v="2025-05-01T00:00:00"/>
    <x v="9"/>
    <x v="2"/>
    <x v="3"/>
    <n v="61"/>
    <x v="1"/>
    <s v="Female"/>
    <x v="3"/>
    <n v="2.2999999999999998"/>
    <n v="5538.18"/>
    <n v="0"/>
    <n v="3.8"/>
    <n v="0.65"/>
  </r>
  <r>
    <s v="ENC100750"/>
    <s v="PT96515"/>
    <x v="1"/>
    <x v="3"/>
    <d v="2025-12-01T00:00:00"/>
    <d v="2025-12-02T00:00:00"/>
    <x v="9"/>
    <x v="2"/>
    <x v="8"/>
    <n v="6"/>
    <x v="5"/>
    <s v="Male"/>
    <x v="0"/>
    <n v="0.4"/>
    <n v="826.96"/>
    <n v="1"/>
    <n v="4.7"/>
    <n v="0.9"/>
  </r>
  <r>
    <s v="ENC100751"/>
    <s v="PT23300"/>
    <x v="4"/>
    <x v="3"/>
    <d v="2025-08-10T00:00:00"/>
    <d v="2025-08-12T00:00:00"/>
    <x v="3"/>
    <x v="0"/>
    <x v="2"/>
    <n v="16"/>
    <x v="2"/>
    <s v="Male"/>
    <x v="0"/>
    <n v="1.2"/>
    <n v="2113.11"/>
    <n v="0"/>
    <n v="2.7"/>
    <n v="0.84"/>
  </r>
  <r>
    <s v="ENC100752"/>
    <s v="PT17763"/>
    <x v="2"/>
    <x v="2"/>
    <d v="2025-01-27T00:00:00"/>
    <d v="2025-01-28T00:00:00"/>
    <x v="2"/>
    <x v="2"/>
    <x v="8"/>
    <n v="46"/>
    <x v="0"/>
    <s v="Female"/>
    <x v="1"/>
    <n v="0.9"/>
    <n v="1785.04"/>
    <n v="0"/>
    <n v="5"/>
    <n v="0.76"/>
  </r>
  <r>
    <s v="ENC100753"/>
    <s v="PT94250"/>
    <x v="3"/>
    <x v="1"/>
    <d v="2025-06-19T00:00:00"/>
    <d v="2025-06-20T00:00:00"/>
    <x v="9"/>
    <x v="2"/>
    <x v="1"/>
    <n v="40"/>
    <x v="0"/>
    <s v="Female"/>
    <x v="0"/>
    <n v="0.8"/>
    <n v="2147.1"/>
    <n v="0"/>
    <n v="3.7"/>
    <n v="0.78"/>
  </r>
  <r>
    <s v="ENC100754"/>
    <s v="PT59950"/>
    <x v="0"/>
    <x v="2"/>
    <d v="2025-12-21T00:00:00"/>
    <d v="2025-12-24T00:00:00"/>
    <x v="1"/>
    <x v="2"/>
    <x v="5"/>
    <n v="13"/>
    <x v="2"/>
    <s v="Male"/>
    <x v="3"/>
    <n v="2.4"/>
    <n v="7261.15"/>
    <n v="0"/>
    <n v="4.3"/>
    <n v="0.85"/>
  </r>
  <r>
    <s v="ENC100755"/>
    <s v="PT49410"/>
    <x v="1"/>
    <x v="3"/>
    <d v="2025-05-27T00:00:00"/>
    <d v="2025-05-29T00:00:00"/>
    <x v="9"/>
    <x v="2"/>
    <x v="7"/>
    <n v="72"/>
    <x v="6"/>
    <s v="Female"/>
    <x v="1"/>
    <n v="1.8"/>
    <n v="3019.21"/>
    <n v="0"/>
    <n v="4.4000000000000004"/>
    <n v="0.79"/>
  </r>
  <r>
    <s v="ENC100756"/>
    <s v="PT76373"/>
    <x v="3"/>
    <x v="0"/>
    <d v="2025-07-12T00:00:00"/>
    <d v="2025-07-15T00:00:00"/>
    <x v="0"/>
    <x v="2"/>
    <x v="8"/>
    <n v="27"/>
    <x v="4"/>
    <s v="Male"/>
    <x v="2"/>
    <n v="3"/>
    <n v="5644.21"/>
    <n v="0"/>
    <n v="3.6"/>
    <n v="0.86"/>
  </r>
  <r>
    <s v="ENC100757"/>
    <s v="PT44498"/>
    <x v="3"/>
    <x v="1"/>
    <d v="2025-07-14T00:00:00"/>
    <d v="2025-07-16T00:00:00"/>
    <x v="3"/>
    <x v="2"/>
    <x v="8"/>
    <n v="78"/>
    <x v="3"/>
    <s v="Female"/>
    <x v="0"/>
    <n v="1.4"/>
    <n v="2895.94"/>
    <n v="1"/>
    <n v="4.2"/>
    <n v="0.79"/>
  </r>
  <r>
    <s v="ENC100758"/>
    <s v="PT21512"/>
    <x v="4"/>
    <x v="1"/>
    <d v="2025-08-30T00:00:00"/>
    <d v="2025-09-03T00:00:00"/>
    <x v="1"/>
    <x v="1"/>
    <x v="5"/>
    <n v="1"/>
    <x v="5"/>
    <s v="Female"/>
    <x v="1"/>
    <n v="3.7"/>
    <n v="11587.21"/>
    <n v="0"/>
    <n v="4.4000000000000004"/>
    <n v="0.87"/>
  </r>
  <r>
    <s v="ENC100759"/>
    <s v="PT75670"/>
    <x v="4"/>
    <x v="2"/>
    <d v="2025-03-10T00:00:00"/>
    <d v="2025-03-22T00:00:00"/>
    <x v="4"/>
    <x v="2"/>
    <x v="1"/>
    <n v="21"/>
    <x v="4"/>
    <s v="Female"/>
    <x v="3"/>
    <n v="11.2"/>
    <n v="46905.13"/>
    <n v="1"/>
    <n v="3.2"/>
    <n v="0.72"/>
  </r>
  <r>
    <s v="ENC100760"/>
    <s v="PT25839"/>
    <x v="1"/>
    <x v="1"/>
    <d v="2025-11-03T00:00:00"/>
    <d v="2025-11-11T00:00:00"/>
    <x v="4"/>
    <x v="1"/>
    <x v="7"/>
    <n v="27"/>
    <x v="4"/>
    <s v="Male"/>
    <x v="0"/>
    <n v="7.5"/>
    <n v="30580.22"/>
    <n v="0"/>
    <n v="3.2"/>
    <n v="0.82"/>
  </r>
  <r>
    <s v="ENC100761"/>
    <s v="PT59768"/>
    <x v="0"/>
    <x v="1"/>
    <d v="2025-12-27T00:00:00"/>
    <d v="2026-01-02T00:00:00"/>
    <x v="7"/>
    <x v="1"/>
    <x v="8"/>
    <n v="54"/>
    <x v="1"/>
    <s v="Female"/>
    <x v="1"/>
    <n v="6"/>
    <n v="16547.62"/>
    <n v="0"/>
    <n v="3.9"/>
    <n v="0.72"/>
  </r>
  <r>
    <s v="ENC100762"/>
    <s v="PT95415"/>
    <x v="3"/>
    <x v="3"/>
    <d v="2025-02-22T00:00:00"/>
    <d v="2025-02-23T00:00:00"/>
    <x v="0"/>
    <x v="2"/>
    <x v="2"/>
    <n v="36"/>
    <x v="0"/>
    <s v="Male"/>
    <x v="1"/>
    <n v="0.8"/>
    <n v="1638.28"/>
    <n v="0"/>
    <n v="3.8"/>
    <n v="0.84"/>
  </r>
  <r>
    <s v="ENC100763"/>
    <s v="PT94251"/>
    <x v="2"/>
    <x v="3"/>
    <d v="2025-10-26T00:00:00"/>
    <d v="2025-10-28T00:00:00"/>
    <x v="3"/>
    <x v="0"/>
    <x v="1"/>
    <n v="14"/>
    <x v="2"/>
    <s v="Female"/>
    <x v="2"/>
    <n v="1.9"/>
    <n v="3269.41"/>
    <n v="0"/>
    <n v="4.5"/>
    <n v="0.73"/>
  </r>
  <r>
    <s v="ENC100764"/>
    <s v="PT42470"/>
    <x v="4"/>
    <x v="1"/>
    <d v="2025-10-26T00:00:00"/>
    <d v="2025-10-31T00:00:00"/>
    <x v="2"/>
    <x v="0"/>
    <x v="7"/>
    <n v="51"/>
    <x v="1"/>
    <s v="Female"/>
    <x v="3"/>
    <n v="4.9000000000000004"/>
    <n v="9953.32"/>
    <n v="0"/>
    <n v="4.3"/>
    <n v="0.83"/>
  </r>
  <r>
    <s v="ENC100765"/>
    <s v="PT80226"/>
    <x v="2"/>
    <x v="2"/>
    <d v="2025-09-28T00:00:00"/>
    <d v="2025-09-30T00:00:00"/>
    <x v="3"/>
    <x v="0"/>
    <x v="1"/>
    <n v="87"/>
    <x v="3"/>
    <s v="Female"/>
    <x v="0"/>
    <n v="1.1000000000000001"/>
    <n v="2341.16"/>
    <n v="0"/>
    <n v="3.7"/>
    <n v="0.73"/>
  </r>
  <r>
    <s v="ENC100766"/>
    <s v="PT65140"/>
    <x v="3"/>
    <x v="0"/>
    <d v="2025-05-16T00:00:00"/>
    <d v="2025-05-22T00:00:00"/>
    <x v="2"/>
    <x v="2"/>
    <x v="5"/>
    <n v="12"/>
    <x v="5"/>
    <s v="Female"/>
    <x v="1"/>
    <n v="5.3"/>
    <n v="11355.02"/>
    <n v="0"/>
    <n v="4.3"/>
    <n v="0.89"/>
  </r>
  <r>
    <s v="ENC100767"/>
    <s v="PT53142"/>
    <x v="0"/>
    <x v="2"/>
    <d v="2025-06-21T00:00:00"/>
    <d v="2025-06-25T00:00:00"/>
    <x v="1"/>
    <x v="2"/>
    <x v="1"/>
    <n v="22"/>
    <x v="4"/>
    <s v="Male"/>
    <x v="1"/>
    <n v="3.3"/>
    <n v="11962.75"/>
    <n v="0"/>
    <n v="2.7"/>
    <n v="0.76"/>
  </r>
  <r>
    <s v="ENC100768"/>
    <s v="PT22593"/>
    <x v="3"/>
    <x v="1"/>
    <d v="2025-11-03T00:00:00"/>
    <d v="2025-11-14T00:00:00"/>
    <x v="5"/>
    <x v="2"/>
    <x v="1"/>
    <n v="43"/>
    <x v="0"/>
    <s v="Male"/>
    <x v="0"/>
    <n v="10.6"/>
    <n v="31092.959999999999"/>
    <n v="1"/>
    <n v="3.3"/>
    <n v="0.83"/>
  </r>
  <r>
    <s v="ENC100769"/>
    <s v="PT43871"/>
    <x v="4"/>
    <x v="1"/>
    <d v="2025-02-25T00:00:00"/>
    <d v="2025-03-01T00:00:00"/>
    <x v="5"/>
    <x v="0"/>
    <x v="7"/>
    <n v="66"/>
    <x v="6"/>
    <s v="Female"/>
    <x v="1"/>
    <n v="3.6"/>
    <n v="7995.33"/>
    <n v="0"/>
    <n v="4.0999999999999996"/>
    <n v="0.77"/>
  </r>
  <r>
    <s v="ENC100770"/>
    <s v="PT68671"/>
    <x v="4"/>
    <x v="3"/>
    <d v="2025-10-30T00:00:00"/>
    <d v="2025-11-02T00:00:00"/>
    <x v="6"/>
    <x v="1"/>
    <x v="1"/>
    <n v="12"/>
    <x v="5"/>
    <s v="Female"/>
    <x v="0"/>
    <n v="2.4"/>
    <n v="6697.41"/>
    <n v="0"/>
    <n v="4.5999999999999996"/>
    <n v="0.8"/>
  </r>
  <r>
    <s v="ENC100771"/>
    <s v="PT98795"/>
    <x v="0"/>
    <x v="1"/>
    <d v="2025-12-03T00:00:00"/>
    <d v="2025-12-06T00:00:00"/>
    <x v="9"/>
    <x v="0"/>
    <x v="2"/>
    <n v="21"/>
    <x v="4"/>
    <s v="Male"/>
    <x v="0"/>
    <n v="2.7"/>
    <n v="6586.42"/>
    <n v="0"/>
    <n v="4"/>
    <n v="0.81"/>
  </r>
  <r>
    <s v="ENC100772"/>
    <s v="PT10440"/>
    <x v="0"/>
    <x v="3"/>
    <d v="2025-09-06T00:00:00"/>
    <d v="2025-09-15T00:00:00"/>
    <x v="2"/>
    <x v="0"/>
    <x v="3"/>
    <n v="21"/>
    <x v="4"/>
    <s v="Male"/>
    <x v="1"/>
    <n v="8.6"/>
    <n v="20124.62"/>
    <n v="0"/>
    <n v="4.5999999999999996"/>
    <n v="0.83"/>
  </r>
  <r>
    <s v="ENC100773"/>
    <s v="PT74597"/>
    <x v="3"/>
    <x v="1"/>
    <d v="2025-05-05T00:00:00"/>
    <d v="2025-05-08T00:00:00"/>
    <x v="7"/>
    <x v="1"/>
    <x v="4"/>
    <n v="56"/>
    <x v="1"/>
    <s v="Male"/>
    <x v="0"/>
    <n v="2.6"/>
    <n v="6870.76"/>
    <n v="0"/>
    <n v="4.4000000000000004"/>
    <n v="0.85"/>
  </r>
  <r>
    <s v="ENC100774"/>
    <s v="PT86169"/>
    <x v="0"/>
    <x v="3"/>
    <d v="2025-07-24T00:00:00"/>
    <d v="2025-07-28T00:00:00"/>
    <x v="8"/>
    <x v="0"/>
    <x v="8"/>
    <n v="7"/>
    <x v="5"/>
    <s v="Male"/>
    <x v="1"/>
    <n v="3.8"/>
    <n v="11345.15"/>
    <n v="0"/>
    <n v="3.6"/>
    <n v="0.83"/>
  </r>
  <r>
    <s v="ENC100775"/>
    <s v="PT95606"/>
    <x v="4"/>
    <x v="2"/>
    <d v="2025-01-19T00:00:00"/>
    <d v="2025-01-22T00:00:00"/>
    <x v="8"/>
    <x v="2"/>
    <x v="1"/>
    <n v="59"/>
    <x v="1"/>
    <s v="Female"/>
    <x v="0"/>
    <n v="2.1"/>
    <n v="6462.79"/>
    <n v="1"/>
    <n v="3.8"/>
    <n v="0.74"/>
  </r>
  <r>
    <s v="ENC100776"/>
    <s v="PT48141"/>
    <x v="4"/>
    <x v="2"/>
    <d v="2025-12-07T00:00:00"/>
    <d v="2025-12-11T00:00:00"/>
    <x v="5"/>
    <x v="1"/>
    <x v="7"/>
    <n v="38"/>
    <x v="0"/>
    <s v="Female"/>
    <x v="3"/>
    <n v="3.3"/>
    <n v="7660.15"/>
    <n v="0"/>
    <n v="4.0999999999999996"/>
    <n v="0.8"/>
  </r>
  <r>
    <s v="ENC100777"/>
    <s v="PT20662"/>
    <x v="0"/>
    <x v="2"/>
    <d v="2025-05-05T00:00:00"/>
    <d v="2025-05-06T00:00:00"/>
    <x v="9"/>
    <x v="2"/>
    <x v="5"/>
    <n v="29"/>
    <x v="4"/>
    <s v="Male"/>
    <x v="0"/>
    <n v="1"/>
    <n v="2212.9899999999998"/>
    <n v="0"/>
    <n v="3.6"/>
    <n v="0.86"/>
  </r>
  <r>
    <s v="ENC100778"/>
    <s v="PT34386"/>
    <x v="4"/>
    <x v="2"/>
    <d v="2025-01-21T00:00:00"/>
    <d v="2025-01-25T00:00:00"/>
    <x v="2"/>
    <x v="2"/>
    <x v="4"/>
    <n v="78"/>
    <x v="3"/>
    <s v="Male"/>
    <x v="3"/>
    <n v="4"/>
    <n v="8243.09"/>
    <n v="0"/>
    <n v="4.8"/>
    <n v="0.71"/>
  </r>
  <r>
    <s v="ENC100779"/>
    <s v="PT86547"/>
    <x v="2"/>
    <x v="0"/>
    <d v="2025-10-17T00:00:00"/>
    <d v="2025-10-21T00:00:00"/>
    <x v="8"/>
    <x v="2"/>
    <x v="9"/>
    <n v="74"/>
    <x v="6"/>
    <s v="Male"/>
    <x v="0"/>
    <n v="3.3"/>
    <n v="7823.75"/>
    <n v="0"/>
    <n v="3.2"/>
    <n v="0.77"/>
  </r>
  <r>
    <s v="ENC100780"/>
    <s v="PT89013"/>
    <x v="4"/>
    <x v="0"/>
    <d v="2025-08-29T00:00:00"/>
    <d v="2025-09-04T00:00:00"/>
    <x v="1"/>
    <x v="1"/>
    <x v="5"/>
    <n v="73"/>
    <x v="6"/>
    <s v="Female"/>
    <x v="1"/>
    <n v="5.8"/>
    <n v="21198.77"/>
    <n v="0"/>
    <n v="4.0999999999999996"/>
    <n v="0.81"/>
  </r>
  <r>
    <s v="ENC100781"/>
    <s v="PT67336"/>
    <x v="4"/>
    <x v="2"/>
    <d v="2025-08-16T00:00:00"/>
    <d v="2025-08-26T00:00:00"/>
    <x v="7"/>
    <x v="2"/>
    <x v="0"/>
    <n v="80"/>
    <x v="3"/>
    <s v="Female"/>
    <x v="0"/>
    <n v="9.5"/>
    <n v="31980.23"/>
    <n v="0"/>
    <n v="4.0999999999999996"/>
    <n v="0.84"/>
  </r>
  <r>
    <s v="ENC100782"/>
    <s v="PT21046"/>
    <x v="2"/>
    <x v="2"/>
    <d v="2025-01-20T00:00:00"/>
    <d v="2025-01-29T00:00:00"/>
    <x v="1"/>
    <x v="2"/>
    <x v="8"/>
    <n v="21"/>
    <x v="4"/>
    <s v="Male"/>
    <x v="0"/>
    <n v="8.1"/>
    <n v="31846.65"/>
    <n v="0"/>
    <n v="3.5"/>
    <n v="0.78"/>
  </r>
  <r>
    <s v="ENC100783"/>
    <s v="PT20972"/>
    <x v="1"/>
    <x v="2"/>
    <d v="2025-10-02T00:00:00"/>
    <d v="2025-10-05T00:00:00"/>
    <x v="8"/>
    <x v="2"/>
    <x v="5"/>
    <n v="77"/>
    <x v="3"/>
    <s v="Female"/>
    <x v="1"/>
    <n v="2.2000000000000002"/>
    <n v="5450.74"/>
    <n v="0"/>
    <n v="3.6"/>
    <n v="0.82"/>
  </r>
  <r>
    <s v="ENC100784"/>
    <s v="PT53035"/>
    <x v="2"/>
    <x v="3"/>
    <d v="2025-08-21T00:00:00"/>
    <d v="2025-08-29T00:00:00"/>
    <x v="4"/>
    <x v="2"/>
    <x v="5"/>
    <n v="16"/>
    <x v="2"/>
    <s v="Female"/>
    <x v="3"/>
    <n v="7.9"/>
    <n v="34206.449999999997"/>
    <n v="0"/>
    <n v="3.6"/>
    <n v="0.77"/>
  </r>
  <r>
    <s v="ENC100785"/>
    <s v="PT62942"/>
    <x v="0"/>
    <x v="1"/>
    <d v="2025-10-17T00:00:00"/>
    <d v="2025-10-23T00:00:00"/>
    <x v="9"/>
    <x v="2"/>
    <x v="7"/>
    <n v="30"/>
    <x v="4"/>
    <s v="Male"/>
    <x v="3"/>
    <n v="5.5"/>
    <n v="10477.56"/>
    <n v="1"/>
    <n v="4.4000000000000004"/>
    <n v="0.77"/>
  </r>
  <r>
    <s v="ENC100786"/>
    <s v="PT12914"/>
    <x v="0"/>
    <x v="2"/>
    <d v="2025-10-29T00:00:00"/>
    <d v="2025-10-31T00:00:00"/>
    <x v="8"/>
    <x v="0"/>
    <x v="6"/>
    <n v="50"/>
    <x v="1"/>
    <s v="Female"/>
    <x v="0"/>
    <n v="1.4"/>
    <n v="3864.21"/>
    <n v="0"/>
    <n v="3.6"/>
    <n v="0.78"/>
  </r>
  <r>
    <s v="ENC100787"/>
    <s v="PT71747"/>
    <x v="2"/>
    <x v="2"/>
    <d v="2025-03-19T00:00:00"/>
    <d v="2025-03-23T00:00:00"/>
    <x v="2"/>
    <x v="1"/>
    <x v="8"/>
    <n v="67"/>
    <x v="6"/>
    <s v="Female"/>
    <x v="0"/>
    <n v="3.1"/>
    <n v="7839.8"/>
    <n v="0"/>
    <n v="3.3"/>
    <n v="0.7"/>
  </r>
  <r>
    <s v="ENC100788"/>
    <s v="PT59005"/>
    <x v="2"/>
    <x v="3"/>
    <d v="2025-03-18T00:00:00"/>
    <d v="2025-03-20T00:00:00"/>
    <x v="9"/>
    <x v="2"/>
    <x v="3"/>
    <n v="52"/>
    <x v="1"/>
    <s v="Female"/>
    <x v="3"/>
    <n v="1.1000000000000001"/>
    <n v="2578.7600000000002"/>
    <n v="0"/>
    <n v="4.5999999999999996"/>
    <n v="0.81"/>
  </r>
  <r>
    <s v="ENC100789"/>
    <s v="PT11107"/>
    <x v="3"/>
    <x v="2"/>
    <d v="2025-12-04T00:00:00"/>
    <d v="2025-12-08T00:00:00"/>
    <x v="3"/>
    <x v="2"/>
    <x v="6"/>
    <n v="50"/>
    <x v="1"/>
    <s v="Male"/>
    <x v="1"/>
    <n v="3.3"/>
    <n v="6371.31"/>
    <n v="0"/>
    <n v="3.9"/>
    <n v="0.86"/>
  </r>
  <r>
    <s v="ENC100790"/>
    <s v="PT18610"/>
    <x v="4"/>
    <x v="3"/>
    <d v="2025-07-13T00:00:00"/>
    <d v="2025-07-16T00:00:00"/>
    <x v="3"/>
    <x v="2"/>
    <x v="0"/>
    <n v="34"/>
    <x v="4"/>
    <s v="Female"/>
    <x v="0"/>
    <n v="2.5"/>
    <n v="5102.92"/>
    <n v="1"/>
    <n v="4.3"/>
    <n v="0.74"/>
  </r>
  <r>
    <s v="ENC100791"/>
    <s v="PT50888"/>
    <x v="4"/>
    <x v="2"/>
    <d v="2025-06-09T00:00:00"/>
    <d v="2025-06-14T00:00:00"/>
    <x v="2"/>
    <x v="2"/>
    <x v="9"/>
    <n v="53"/>
    <x v="1"/>
    <s v="Female"/>
    <x v="3"/>
    <n v="4.5"/>
    <n v="8771.11"/>
    <n v="0"/>
    <n v="4.4000000000000004"/>
    <n v="0.79"/>
  </r>
  <r>
    <s v="ENC100792"/>
    <s v="PT75031"/>
    <x v="2"/>
    <x v="1"/>
    <d v="2025-04-15T00:00:00"/>
    <d v="2025-04-19T00:00:00"/>
    <x v="6"/>
    <x v="0"/>
    <x v="6"/>
    <n v="43"/>
    <x v="0"/>
    <s v="Female"/>
    <x v="1"/>
    <n v="3.6"/>
    <n v="9367.9500000000007"/>
    <n v="1"/>
    <n v="5"/>
    <n v="0.8"/>
  </r>
  <r>
    <s v="ENC100793"/>
    <s v="PT84285"/>
    <x v="0"/>
    <x v="2"/>
    <d v="2025-08-22T00:00:00"/>
    <d v="2025-08-23T00:00:00"/>
    <x v="3"/>
    <x v="0"/>
    <x v="2"/>
    <n v="43"/>
    <x v="0"/>
    <s v="Female"/>
    <x v="1"/>
    <n v="0.5"/>
    <n v="829.26"/>
    <n v="0"/>
    <n v="4.4000000000000004"/>
    <n v="0.84"/>
  </r>
  <r>
    <s v="ENC100794"/>
    <s v="PT48816"/>
    <x v="2"/>
    <x v="1"/>
    <d v="2025-10-03T00:00:00"/>
    <d v="2025-10-12T00:00:00"/>
    <x v="5"/>
    <x v="0"/>
    <x v="6"/>
    <n v="53"/>
    <x v="1"/>
    <s v="Female"/>
    <x v="0"/>
    <n v="8.9"/>
    <n v="26638.49"/>
    <n v="0"/>
    <n v="3.3"/>
    <n v="0.71"/>
  </r>
  <r>
    <s v="ENC100795"/>
    <s v="PT36582"/>
    <x v="0"/>
    <x v="0"/>
    <d v="2025-01-01T00:00:00"/>
    <d v="2025-01-04T00:00:00"/>
    <x v="2"/>
    <x v="2"/>
    <x v="5"/>
    <n v="54"/>
    <x v="1"/>
    <s v="Male"/>
    <x v="1"/>
    <n v="2.2999999999999998"/>
    <n v="4808.2299999999996"/>
    <n v="0"/>
    <n v="4.2"/>
    <n v="0.67"/>
  </r>
  <r>
    <s v="ENC100796"/>
    <s v="PT97146"/>
    <x v="2"/>
    <x v="1"/>
    <d v="2025-07-21T00:00:00"/>
    <d v="2025-07-23T00:00:00"/>
    <x v="6"/>
    <x v="0"/>
    <x v="7"/>
    <n v="30"/>
    <x v="4"/>
    <s v="Female"/>
    <x v="0"/>
    <n v="1.4"/>
    <n v="3415.34"/>
    <n v="0"/>
    <n v="3.6"/>
    <n v="0.77"/>
  </r>
  <r>
    <s v="ENC100797"/>
    <s v="PT51268"/>
    <x v="1"/>
    <x v="0"/>
    <d v="2025-12-29T00:00:00"/>
    <d v="2026-01-04T00:00:00"/>
    <x v="6"/>
    <x v="2"/>
    <x v="0"/>
    <n v="12"/>
    <x v="5"/>
    <s v="Female"/>
    <x v="3"/>
    <n v="5.9"/>
    <n v="14803.2"/>
    <n v="0"/>
    <n v="3.6"/>
    <n v="0.78"/>
  </r>
  <r>
    <s v="ENC100798"/>
    <s v="PT38384"/>
    <x v="0"/>
    <x v="1"/>
    <d v="2025-04-13T00:00:00"/>
    <d v="2025-04-16T00:00:00"/>
    <x v="1"/>
    <x v="2"/>
    <x v="6"/>
    <n v="27"/>
    <x v="4"/>
    <s v="Female"/>
    <x v="0"/>
    <n v="2.5"/>
    <n v="7945.23"/>
    <n v="0"/>
    <n v="3.1"/>
    <n v="0.82"/>
  </r>
  <r>
    <s v="ENC100799"/>
    <s v="PT49807"/>
    <x v="1"/>
    <x v="2"/>
    <d v="2025-04-13T00:00:00"/>
    <d v="2025-04-15T00:00:00"/>
    <x v="0"/>
    <x v="1"/>
    <x v="3"/>
    <n v="37"/>
    <x v="0"/>
    <s v="Female"/>
    <x v="3"/>
    <n v="1.2"/>
    <n v="2388.4899999999998"/>
    <n v="0"/>
    <n v="3.7"/>
    <n v="0.86"/>
  </r>
  <r>
    <s v="ENC100800"/>
    <s v="PT11088"/>
    <x v="4"/>
    <x v="3"/>
    <d v="2025-11-17T00:00:00"/>
    <d v="2025-11-23T00:00:00"/>
    <x v="1"/>
    <x v="0"/>
    <x v="6"/>
    <n v="14"/>
    <x v="2"/>
    <s v="Female"/>
    <x v="3"/>
    <n v="5.8"/>
    <n v="17513.5"/>
    <n v="0"/>
    <n v="4.2"/>
    <n v="0.82"/>
  </r>
  <r>
    <s v="ENC100801"/>
    <s v="PT37173"/>
    <x v="2"/>
    <x v="2"/>
    <d v="2025-01-23T00:00:00"/>
    <d v="2025-01-25T00:00:00"/>
    <x v="5"/>
    <x v="1"/>
    <x v="2"/>
    <n v="16"/>
    <x v="2"/>
    <s v="Male"/>
    <x v="3"/>
    <n v="1.2"/>
    <n v="2969.16"/>
    <n v="0"/>
    <n v="3.9"/>
    <n v="0.82"/>
  </r>
  <r>
    <s v="ENC100802"/>
    <s v="PT56399"/>
    <x v="0"/>
    <x v="1"/>
    <d v="2025-05-26T00:00:00"/>
    <d v="2025-05-30T00:00:00"/>
    <x v="9"/>
    <x v="1"/>
    <x v="7"/>
    <n v="86"/>
    <x v="3"/>
    <s v="Male"/>
    <x v="0"/>
    <n v="3.3"/>
    <n v="8544.9699999999993"/>
    <n v="1"/>
    <n v="3.2"/>
    <n v="0.85"/>
  </r>
  <r>
    <s v="ENC100803"/>
    <s v="PT92658"/>
    <x v="4"/>
    <x v="1"/>
    <d v="2025-06-17T00:00:00"/>
    <d v="2025-06-23T00:00:00"/>
    <x v="4"/>
    <x v="0"/>
    <x v="7"/>
    <n v="25"/>
    <x v="4"/>
    <s v="Male"/>
    <x v="0"/>
    <n v="5.9"/>
    <n v="26782.14"/>
    <n v="0"/>
    <n v="2.9"/>
    <n v="0.85"/>
  </r>
  <r>
    <s v="ENC100804"/>
    <s v="PT76439"/>
    <x v="3"/>
    <x v="3"/>
    <d v="2025-10-19T00:00:00"/>
    <d v="2025-10-21T00:00:00"/>
    <x v="3"/>
    <x v="1"/>
    <x v="6"/>
    <n v="67"/>
    <x v="6"/>
    <s v="Female"/>
    <x v="1"/>
    <n v="1.7"/>
    <n v="3086.53"/>
    <n v="0"/>
    <n v="5"/>
    <n v="0.9"/>
  </r>
  <r>
    <s v="ENC100805"/>
    <s v="PT80315"/>
    <x v="2"/>
    <x v="3"/>
    <d v="2025-02-17T00:00:00"/>
    <d v="2025-02-22T00:00:00"/>
    <x v="1"/>
    <x v="2"/>
    <x v="6"/>
    <n v="11"/>
    <x v="5"/>
    <s v="Male"/>
    <x v="1"/>
    <n v="4.9000000000000004"/>
    <n v="14513.65"/>
    <n v="1"/>
    <n v="4.0999999999999996"/>
    <n v="0.81"/>
  </r>
  <r>
    <s v="ENC100806"/>
    <s v="PT59040"/>
    <x v="0"/>
    <x v="3"/>
    <d v="2025-06-08T00:00:00"/>
    <d v="2025-06-26T00:00:00"/>
    <x v="5"/>
    <x v="2"/>
    <x v="2"/>
    <n v="88"/>
    <x v="3"/>
    <s v="Male"/>
    <x v="3"/>
    <n v="17.2"/>
    <n v="40081.82"/>
    <n v="0"/>
    <n v="3.2"/>
    <n v="0.8"/>
  </r>
  <r>
    <s v="ENC100807"/>
    <s v="PT19952"/>
    <x v="3"/>
    <x v="2"/>
    <d v="2025-02-25T00:00:00"/>
    <d v="2025-02-27T00:00:00"/>
    <x v="3"/>
    <x v="2"/>
    <x v="6"/>
    <n v="19"/>
    <x v="4"/>
    <s v="Female"/>
    <x v="0"/>
    <n v="1.2"/>
    <n v="2651.14"/>
    <n v="0"/>
    <n v="4"/>
    <n v="0.79"/>
  </r>
  <r>
    <s v="ENC100808"/>
    <s v="PT45182"/>
    <x v="0"/>
    <x v="2"/>
    <d v="2025-10-15T00:00:00"/>
    <d v="2025-10-16T00:00:00"/>
    <x v="3"/>
    <x v="2"/>
    <x v="0"/>
    <n v="35"/>
    <x v="0"/>
    <s v="Female"/>
    <x v="3"/>
    <n v="0.8"/>
    <n v="1374.49"/>
    <n v="0"/>
    <n v="5"/>
    <n v="0.9"/>
  </r>
  <r>
    <s v="ENC100809"/>
    <s v="PT99732"/>
    <x v="3"/>
    <x v="3"/>
    <d v="2025-08-19T00:00:00"/>
    <d v="2025-08-22T00:00:00"/>
    <x v="2"/>
    <x v="2"/>
    <x v="5"/>
    <n v="71"/>
    <x v="6"/>
    <s v="Male"/>
    <x v="0"/>
    <n v="3"/>
    <n v="6926.52"/>
    <n v="1"/>
    <n v="4.3"/>
    <n v="0.84"/>
  </r>
  <r>
    <s v="ENC100810"/>
    <s v="PT13975"/>
    <x v="1"/>
    <x v="2"/>
    <d v="2025-07-01T00:00:00"/>
    <d v="2025-07-03T00:00:00"/>
    <x v="3"/>
    <x v="2"/>
    <x v="2"/>
    <n v="18"/>
    <x v="4"/>
    <s v="Female"/>
    <x v="0"/>
    <n v="1.4"/>
    <n v="2722.41"/>
    <n v="0"/>
    <n v="2"/>
    <n v="0.87"/>
  </r>
  <r>
    <s v="ENC100811"/>
    <s v="PT89127"/>
    <x v="4"/>
    <x v="3"/>
    <d v="2025-05-24T00:00:00"/>
    <d v="2025-06-01T00:00:00"/>
    <x v="6"/>
    <x v="0"/>
    <x v="5"/>
    <n v="50"/>
    <x v="1"/>
    <s v="Female"/>
    <x v="0"/>
    <n v="7.5"/>
    <n v="18253.759999999998"/>
    <n v="0"/>
    <n v="5"/>
    <n v="0.76"/>
  </r>
  <r>
    <s v="ENC100812"/>
    <s v="PT71603"/>
    <x v="4"/>
    <x v="3"/>
    <d v="2025-02-25T00:00:00"/>
    <d v="2025-02-27T00:00:00"/>
    <x v="3"/>
    <x v="0"/>
    <x v="8"/>
    <n v="71"/>
    <x v="6"/>
    <s v="Male"/>
    <x v="3"/>
    <n v="1.5"/>
    <n v="2360.34"/>
    <n v="0"/>
    <n v="2.6"/>
    <n v="0.82"/>
  </r>
  <r>
    <s v="ENC100813"/>
    <s v="PT35551"/>
    <x v="1"/>
    <x v="0"/>
    <d v="2025-12-03T00:00:00"/>
    <d v="2025-12-05T00:00:00"/>
    <x v="5"/>
    <x v="0"/>
    <x v="5"/>
    <n v="2"/>
    <x v="5"/>
    <s v="Female"/>
    <x v="0"/>
    <n v="1.7"/>
    <n v="4473.8599999999997"/>
    <n v="0"/>
    <n v="3.8"/>
    <n v="0.72"/>
  </r>
  <r>
    <s v="ENC100814"/>
    <s v="PT80018"/>
    <x v="0"/>
    <x v="1"/>
    <d v="2025-08-25T00:00:00"/>
    <d v="2025-09-15T00:00:00"/>
    <x v="7"/>
    <x v="2"/>
    <x v="6"/>
    <n v="2"/>
    <x v="5"/>
    <s v="Male"/>
    <x v="0"/>
    <n v="21"/>
    <n v="63860.35"/>
    <n v="0"/>
    <n v="3"/>
    <n v="0.78"/>
  </r>
  <r>
    <s v="ENC100815"/>
    <s v="PT85319"/>
    <x v="1"/>
    <x v="1"/>
    <d v="2025-04-27T00:00:00"/>
    <d v="2025-05-01T00:00:00"/>
    <x v="0"/>
    <x v="0"/>
    <x v="1"/>
    <n v="71"/>
    <x v="6"/>
    <s v="Female"/>
    <x v="3"/>
    <n v="3.9"/>
    <n v="7613.9"/>
    <n v="0"/>
    <n v="3.5"/>
    <n v="0.82"/>
  </r>
  <r>
    <s v="ENC100816"/>
    <s v="PT13889"/>
    <x v="2"/>
    <x v="3"/>
    <d v="2025-06-01T00:00:00"/>
    <d v="2025-06-03T00:00:00"/>
    <x v="6"/>
    <x v="2"/>
    <x v="0"/>
    <n v="23"/>
    <x v="4"/>
    <s v="Female"/>
    <x v="1"/>
    <n v="1.3"/>
    <n v="3787.57"/>
    <n v="1"/>
    <n v="4.0999999999999996"/>
    <n v="0.77"/>
  </r>
  <r>
    <s v="ENC100817"/>
    <s v="PT19577"/>
    <x v="1"/>
    <x v="3"/>
    <d v="2025-09-23T00:00:00"/>
    <d v="2025-09-24T00:00:00"/>
    <x v="3"/>
    <x v="2"/>
    <x v="4"/>
    <n v="82"/>
    <x v="3"/>
    <s v="Female"/>
    <x v="0"/>
    <n v="0.4"/>
    <n v="705.08"/>
    <n v="0"/>
    <n v="2.5"/>
    <n v="0.86"/>
  </r>
  <r>
    <s v="ENC100818"/>
    <s v="PT69916"/>
    <x v="1"/>
    <x v="0"/>
    <d v="2025-09-20T00:00:00"/>
    <d v="2025-09-22T00:00:00"/>
    <x v="4"/>
    <x v="2"/>
    <x v="6"/>
    <n v="84"/>
    <x v="3"/>
    <s v="Female"/>
    <x v="0"/>
    <n v="1.8"/>
    <n v="7677.8"/>
    <n v="0"/>
    <n v="3.7"/>
    <n v="0.78"/>
  </r>
  <r>
    <s v="ENC100819"/>
    <s v="PT99918"/>
    <x v="3"/>
    <x v="3"/>
    <d v="2025-06-18T00:00:00"/>
    <d v="2025-06-23T00:00:00"/>
    <x v="7"/>
    <x v="2"/>
    <x v="2"/>
    <n v="80"/>
    <x v="3"/>
    <s v="Male"/>
    <x v="1"/>
    <n v="4.4000000000000004"/>
    <n v="13000.09"/>
    <n v="0"/>
    <n v="4.5999999999999996"/>
    <n v="0.87"/>
  </r>
  <r>
    <s v="ENC100820"/>
    <s v="PT12156"/>
    <x v="2"/>
    <x v="1"/>
    <d v="2025-04-21T00:00:00"/>
    <d v="2025-04-27T00:00:00"/>
    <x v="4"/>
    <x v="2"/>
    <x v="0"/>
    <n v="90"/>
    <x v="3"/>
    <s v="Male"/>
    <x v="0"/>
    <n v="5.9"/>
    <n v="30802.9"/>
    <n v="0"/>
    <n v="3.3"/>
    <n v="0.8"/>
  </r>
  <r>
    <s v="ENC100821"/>
    <s v="PT69910"/>
    <x v="3"/>
    <x v="1"/>
    <d v="2025-08-29T00:00:00"/>
    <d v="2025-08-30T00:00:00"/>
    <x v="3"/>
    <x v="0"/>
    <x v="8"/>
    <n v="74"/>
    <x v="6"/>
    <s v="Male"/>
    <x v="0"/>
    <n v="0.5"/>
    <n v="945.2"/>
    <n v="0"/>
    <n v="2.9"/>
    <n v="0.93"/>
  </r>
  <r>
    <s v="ENC100822"/>
    <s v="PT22287"/>
    <x v="0"/>
    <x v="2"/>
    <d v="2025-08-29T00:00:00"/>
    <d v="2025-08-30T00:00:00"/>
    <x v="3"/>
    <x v="0"/>
    <x v="5"/>
    <n v="34"/>
    <x v="4"/>
    <s v="Female"/>
    <x v="1"/>
    <n v="0.2"/>
    <n v="373.32"/>
    <n v="0"/>
    <n v="3.6"/>
    <n v="0.83"/>
  </r>
  <r>
    <s v="ENC100823"/>
    <s v="PT68510"/>
    <x v="1"/>
    <x v="0"/>
    <d v="2025-08-07T00:00:00"/>
    <d v="2025-08-09T00:00:00"/>
    <x v="8"/>
    <x v="0"/>
    <x v="6"/>
    <n v="90"/>
    <x v="3"/>
    <s v="Female"/>
    <x v="0"/>
    <n v="1.1000000000000001"/>
    <n v="2723.31"/>
    <n v="0"/>
    <n v="3.7"/>
    <n v="0.8"/>
  </r>
  <r>
    <s v="ENC100824"/>
    <s v="PT66097"/>
    <x v="0"/>
    <x v="1"/>
    <d v="2025-01-27T00:00:00"/>
    <d v="2025-02-02T00:00:00"/>
    <x v="5"/>
    <x v="2"/>
    <x v="2"/>
    <n v="31"/>
    <x v="4"/>
    <s v="Female"/>
    <x v="1"/>
    <n v="6"/>
    <n v="17301.64"/>
    <n v="0"/>
    <n v="3.5"/>
    <n v="0.75"/>
  </r>
  <r>
    <s v="ENC100825"/>
    <s v="PT18139"/>
    <x v="0"/>
    <x v="0"/>
    <d v="2025-06-22T00:00:00"/>
    <d v="2025-06-26T00:00:00"/>
    <x v="7"/>
    <x v="0"/>
    <x v="6"/>
    <n v="53"/>
    <x v="1"/>
    <s v="Female"/>
    <x v="0"/>
    <n v="3.2"/>
    <n v="10168.709999999999"/>
    <n v="0"/>
    <n v="3.2"/>
    <n v="0.87"/>
  </r>
  <r>
    <s v="ENC100826"/>
    <s v="PT71264"/>
    <x v="1"/>
    <x v="0"/>
    <d v="2025-08-13T00:00:00"/>
    <d v="2025-08-15T00:00:00"/>
    <x v="1"/>
    <x v="0"/>
    <x v="9"/>
    <n v="0"/>
    <x v="5"/>
    <s v="Male"/>
    <x v="0"/>
    <n v="1.3"/>
    <n v="4144.0200000000004"/>
    <n v="0"/>
    <n v="4.2"/>
    <n v="0.85"/>
  </r>
  <r>
    <s v="ENC100827"/>
    <s v="PT90732"/>
    <x v="3"/>
    <x v="3"/>
    <d v="2025-12-13T00:00:00"/>
    <d v="2025-12-18T00:00:00"/>
    <x v="7"/>
    <x v="2"/>
    <x v="9"/>
    <n v="87"/>
    <x v="3"/>
    <s v="Female"/>
    <x v="0"/>
    <n v="4.9000000000000004"/>
    <n v="13885.02"/>
    <n v="0"/>
    <n v="4.3"/>
    <n v="0.84"/>
  </r>
  <r>
    <s v="ENC100828"/>
    <s v="PT87709"/>
    <x v="2"/>
    <x v="2"/>
    <d v="2025-07-11T00:00:00"/>
    <d v="2025-07-14T00:00:00"/>
    <x v="0"/>
    <x v="0"/>
    <x v="2"/>
    <n v="53"/>
    <x v="1"/>
    <s v="Female"/>
    <x v="0"/>
    <n v="2.4"/>
    <n v="4772.18"/>
    <n v="0"/>
    <n v="3.3"/>
    <n v="0.69"/>
  </r>
  <r>
    <s v="ENC100829"/>
    <s v="PT12609"/>
    <x v="2"/>
    <x v="3"/>
    <d v="2025-05-06T00:00:00"/>
    <d v="2025-05-14T00:00:00"/>
    <x v="4"/>
    <x v="2"/>
    <x v="8"/>
    <n v="86"/>
    <x v="3"/>
    <s v="Female"/>
    <x v="0"/>
    <n v="8"/>
    <n v="31449.58"/>
    <n v="1"/>
    <n v="3"/>
    <n v="0.71"/>
  </r>
  <r>
    <s v="ENC100830"/>
    <s v="PT32132"/>
    <x v="0"/>
    <x v="3"/>
    <d v="2025-07-22T00:00:00"/>
    <d v="2025-07-24T00:00:00"/>
    <x v="3"/>
    <x v="2"/>
    <x v="0"/>
    <n v="32"/>
    <x v="4"/>
    <s v="Male"/>
    <x v="0"/>
    <n v="1.1000000000000001"/>
    <n v="2193.83"/>
    <n v="0"/>
    <n v="3.8"/>
    <n v="0.83"/>
  </r>
  <r>
    <s v="ENC100831"/>
    <s v="PT31674"/>
    <x v="2"/>
    <x v="0"/>
    <d v="2025-03-06T00:00:00"/>
    <d v="2025-03-10T00:00:00"/>
    <x v="5"/>
    <x v="2"/>
    <x v="1"/>
    <n v="28"/>
    <x v="4"/>
    <s v="Female"/>
    <x v="3"/>
    <n v="3.5"/>
    <n v="9751.7999999999993"/>
    <n v="0"/>
    <n v="3.3"/>
    <n v="0.76"/>
  </r>
  <r>
    <s v="ENC100832"/>
    <s v="PT50795"/>
    <x v="4"/>
    <x v="3"/>
    <d v="2025-02-03T00:00:00"/>
    <d v="2025-02-10T00:00:00"/>
    <x v="6"/>
    <x v="2"/>
    <x v="0"/>
    <n v="47"/>
    <x v="0"/>
    <s v="Male"/>
    <x v="3"/>
    <n v="6.3"/>
    <n v="14493.2"/>
    <n v="0"/>
    <n v="4"/>
    <n v="0.7"/>
  </r>
  <r>
    <s v="ENC100833"/>
    <s v="PT22871"/>
    <x v="3"/>
    <x v="0"/>
    <d v="2025-09-05T00:00:00"/>
    <d v="2025-09-07T00:00:00"/>
    <x v="7"/>
    <x v="2"/>
    <x v="2"/>
    <n v="78"/>
    <x v="3"/>
    <s v="Male"/>
    <x v="0"/>
    <n v="1.8"/>
    <n v="4967.62"/>
    <n v="0"/>
    <n v="4.8"/>
    <n v="0.87"/>
  </r>
  <r>
    <s v="ENC100834"/>
    <s v="PT86890"/>
    <x v="4"/>
    <x v="1"/>
    <d v="2025-12-26T00:00:00"/>
    <d v="2025-12-27T00:00:00"/>
    <x v="3"/>
    <x v="2"/>
    <x v="2"/>
    <n v="49"/>
    <x v="0"/>
    <s v="Male"/>
    <x v="1"/>
    <n v="0.9"/>
    <n v="1466.88"/>
    <n v="0"/>
    <n v="3.7"/>
    <n v="0.72"/>
  </r>
  <r>
    <s v="ENC100835"/>
    <s v="PT79908"/>
    <x v="1"/>
    <x v="2"/>
    <d v="2025-11-05T00:00:00"/>
    <d v="2025-11-06T00:00:00"/>
    <x v="2"/>
    <x v="2"/>
    <x v="5"/>
    <n v="72"/>
    <x v="6"/>
    <s v="Female"/>
    <x v="1"/>
    <n v="0.4"/>
    <n v="824.93"/>
    <n v="0"/>
    <n v="3.2"/>
    <n v="0.87"/>
  </r>
  <r>
    <s v="ENC100836"/>
    <s v="PT82750"/>
    <x v="1"/>
    <x v="0"/>
    <d v="2025-08-02T00:00:00"/>
    <d v="2025-08-04T00:00:00"/>
    <x v="9"/>
    <x v="1"/>
    <x v="8"/>
    <n v="19"/>
    <x v="4"/>
    <s v="Female"/>
    <x v="3"/>
    <n v="1.6"/>
    <n v="3400.8"/>
    <n v="0"/>
    <n v="4.0999999999999996"/>
    <n v="0.83"/>
  </r>
  <r>
    <s v="ENC100837"/>
    <s v="PT27838"/>
    <x v="2"/>
    <x v="0"/>
    <d v="2025-01-15T00:00:00"/>
    <d v="2025-01-17T00:00:00"/>
    <x v="3"/>
    <x v="2"/>
    <x v="5"/>
    <n v="70"/>
    <x v="6"/>
    <s v="Female"/>
    <x v="0"/>
    <n v="1.2"/>
    <n v="2223.2399999999998"/>
    <n v="0"/>
    <n v="3.6"/>
    <n v="0.73"/>
  </r>
  <r>
    <s v="ENC100838"/>
    <s v="PT11311"/>
    <x v="3"/>
    <x v="1"/>
    <d v="2025-12-27T00:00:00"/>
    <d v="2026-01-07T00:00:00"/>
    <x v="4"/>
    <x v="2"/>
    <x v="2"/>
    <n v="66"/>
    <x v="6"/>
    <s v="Male"/>
    <x v="0"/>
    <n v="10.7"/>
    <n v="51085.05"/>
    <n v="1"/>
    <n v="3.5"/>
    <n v="0.88"/>
  </r>
  <r>
    <s v="ENC100839"/>
    <s v="PT91956"/>
    <x v="3"/>
    <x v="2"/>
    <d v="2025-06-14T00:00:00"/>
    <d v="2025-06-15T00:00:00"/>
    <x v="2"/>
    <x v="2"/>
    <x v="6"/>
    <n v="81"/>
    <x v="3"/>
    <s v="Male"/>
    <x v="0"/>
    <n v="0.4"/>
    <n v="1026.02"/>
    <n v="0"/>
    <n v="4.2"/>
    <n v="0.85"/>
  </r>
  <r>
    <s v="ENC100840"/>
    <s v="PT36001"/>
    <x v="2"/>
    <x v="1"/>
    <d v="2025-04-16T00:00:00"/>
    <d v="2025-04-19T00:00:00"/>
    <x v="6"/>
    <x v="1"/>
    <x v="0"/>
    <n v="5"/>
    <x v="5"/>
    <s v="Male"/>
    <x v="0"/>
    <n v="2.9"/>
    <n v="9530.44"/>
    <n v="0"/>
    <n v="4.3"/>
    <n v="0.8"/>
  </r>
  <r>
    <s v="ENC100841"/>
    <s v="PT69063"/>
    <x v="3"/>
    <x v="0"/>
    <d v="2025-11-22T00:00:00"/>
    <d v="2025-12-02T00:00:00"/>
    <x v="2"/>
    <x v="0"/>
    <x v="9"/>
    <n v="34"/>
    <x v="4"/>
    <s v="Female"/>
    <x v="0"/>
    <n v="9.1"/>
    <n v="17417.55"/>
    <n v="0"/>
    <n v="3.7"/>
    <n v="0.84"/>
  </r>
  <r>
    <s v="ENC100842"/>
    <s v="PT91848"/>
    <x v="2"/>
    <x v="2"/>
    <d v="2025-09-30T00:00:00"/>
    <d v="2025-10-09T00:00:00"/>
    <x v="4"/>
    <x v="1"/>
    <x v="9"/>
    <n v="8"/>
    <x v="5"/>
    <s v="Female"/>
    <x v="3"/>
    <n v="8.1"/>
    <n v="27887.75"/>
    <n v="0"/>
    <n v="3.6"/>
    <n v="0.76"/>
  </r>
  <r>
    <s v="ENC100843"/>
    <s v="PT13254"/>
    <x v="4"/>
    <x v="0"/>
    <d v="2025-10-01T00:00:00"/>
    <d v="2025-10-02T00:00:00"/>
    <x v="9"/>
    <x v="2"/>
    <x v="0"/>
    <n v="36"/>
    <x v="0"/>
    <s v="Male"/>
    <x v="3"/>
    <n v="0.7"/>
    <n v="1765.24"/>
    <n v="0"/>
    <n v="5"/>
    <n v="0.77"/>
  </r>
  <r>
    <s v="ENC100844"/>
    <s v="PT10492"/>
    <x v="2"/>
    <x v="2"/>
    <d v="2025-04-12T00:00:00"/>
    <d v="2025-04-14T00:00:00"/>
    <x v="9"/>
    <x v="2"/>
    <x v="6"/>
    <n v="69"/>
    <x v="6"/>
    <s v="Female"/>
    <x v="0"/>
    <n v="1.7"/>
    <n v="3994.06"/>
    <n v="0"/>
    <n v="4.5999999999999996"/>
    <n v="0.76"/>
  </r>
  <r>
    <s v="ENC100845"/>
    <s v="PT10488"/>
    <x v="1"/>
    <x v="1"/>
    <d v="2025-12-29T00:00:00"/>
    <d v="2025-12-31T00:00:00"/>
    <x v="3"/>
    <x v="0"/>
    <x v="1"/>
    <n v="58"/>
    <x v="1"/>
    <s v="Male"/>
    <x v="1"/>
    <n v="1.4"/>
    <n v="2805.59"/>
    <n v="0"/>
    <n v="4.2"/>
    <n v="0.89"/>
  </r>
  <r>
    <s v="ENC100846"/>
    <s v="PT24069"/>
    <x v="4"/>
    <x v="3"/>
    <d v="2025-06-15T00:00:00"/>
    <d v="2025-06-18T00:00:00"/>
    <x v="5"/>
    <x v="2"/>
    <x v="6"/>
    <n v="68"/>
    <x v="6"/>
    <s v="Male"/>
    <x v="0"/>
    <n v="2.2000000000000002"/>
    <n v="6400.73"/>
    <n v="0"/>
    <n v="4"/>
    <n v="0.76"/>
  </r>
  <r>
    <s v="ENC100847"/>
    <s v="PT14649"/>
    <x v="4"/>
    <x v="2"/>
    <d v="2025-07-13T00:00:00"/>
    <d v="2025-07-16T00:00:00"/>
    <x v="0"/>
    <x v="0"/>
    <x v="2"/>
    <n v="67"/>
    <x v="6"/>
    <s v="Female"/>
    <x v="1"/>
    <n v="2.2999999999999998"/>
    <n v="5312.36"/>
    <n v="0"/>
    <n v="3.3"/>
    <n v="0.81"/>
  </r>
  <r>
    <s v="ENC100848"/>
    <s v="PT83797"/>
    <x v="1"/>
    <x v="3"/>
    <d v="2025-10-02T00:00:00"/>
    <d v="2025-10-04T00:00:00"/>
    <x v="3"/>
    <x v="1"/>
    <x v="0"/>
    <n v="90"/>
    <x v="3"/>
    <s v="Female"/>
    <x v="1"/>
    <n v="1.2"/>
    <n v="2568.12"/>
    <n v="1"/>
    <n v="4.4000000000000004"/>
    <n v="0.78"/>
  </r>
  <r>
    <s v="ENC100849"/>
    <s v="PT64532"/>
    <x v="3"/>
    <x v="3"/>
    <d v="2025-08-29T00:00:00"/>
    <d v="2025-09-01T00:00:00"/>
    <x v="6"/>
    <x v="2"/>
    <x v="1"/>
    <n v="80"/>
    <x v="3"/>
    <s v="Female"/>
    <x v="0"/>
    <n v="2.6"/>
    <n v="7582.02"/>
    <n v="0"/>
    <n v="4"/>
    <n v="0.76"/>
  </r>
  <r>
    <s v="ENC100850"/>
    <s v="PT98203"/>
    <x v="3"/>
    <x v="0"/>
    <d v="2025-03-04T00:00:00"/>
    <d v="2025-03-05T00:00:00"/>
    <x v="9"/>
    <x v="1"/>
    <x v="7"/>
    <n v="53"/>
    <x v="1"/>
    <s v="Female"/>
    <x v="3"/>
    <n v="0.6"/>
    <n v="1174.3900000000001"/>
    <n v="1"/>
    <n v="3.6"/>
    <n v="0.85"/>
  </r>
  <r>
    <s v="ENC100851"/>
    <s v="PT82132"/>
    <x v="4"/>
    <x v="3"/>
    <d v="2025-04-21T00:00:00"/>
    <d v="2025-04-22T00:00:00"/>
    <x v="3"/>
    <x v="0"/>
    <x v="0"/>
    <n v="79"/>
    <x v="3"/>
    <s v="Male"/>
    <x v="2"/>
    <n v="0.5"/>
    <n v="895.66"/>
    <n v="0"/>
    <n v="3.6"/>
    <n v="0.79"/>
  </r>
  <r>
    <s v="ENC100852"/>
    <s v="PT96685"/>
    <x v="2"/>
    <x v="2"/>
    <d v="2025-05-12T00:00:00"/>
    <d v="2025-05-26T00:00:00"/>
    <x v="5"/>
    <x v="2"/>
    <x v="6"/>
    <n v="4"/>
    <x v="5"/>
    <s v="Female"/>
    <x v="1"/>
    <n v="13.6"/>
    <n v="35314.6"/>
    <n v="0"/>
    <n v="3.1"/>
    <n v="0.75"/>
  </r>
  <r>
    <s v="ENC100853"/>
    <s v="PT31469"/>
    <x v="4"/>
    <x v="3"/>
    <d v="2025-12-12T00:00:00"/>
    <d v="2025-12-15T00:00:00"/>
    <x v="1"/>
    <x v="2"/>
    <x v="8"/>
    <n v="65"/>
    <x v="6"/>
    <s v="Female"/>
    <x v="1"/>
    <n v="2.5"/>
    <n v="7067.19"/>
    <n v="1"/>
    <n v="4.5"/>
    <n v="0.72"/>
  </r>
  <r>
    <s v="ENC100854"/>
    <s v="PT35901"/>
    <x v="1"/>
    <x v="2"/>
    <d v="2025-09-18T00:00:00"/>
    <d v="2025-09-21T00:00:00"/>
    <x v="6"/>
    <x v="2"/>
    <x v="8"/>
    <n v="47"/>
    <x v="0"/>
    <s v="Female"/>
    <x v="1"/>
    <n v="2.1"/>
    <n v="5658.2"/>
    <n v="0"/>
    <n v="4.3"/>
    <n v="0.83"/>
  </r>
  <r>
    <s v="ENC100855"/>
    <s v="PT86445"/>
    <x v="4"/>
    <x v="3"/>
    <d v="2025-05-14T00:00:00"/>
    <d v="2025-05-17T00:00:00"/>
    <x v="5"/>
    <x v="0"/>
    <x v="1"/>
    <n v="87"/>
    <x v="3"/>
    <s v="Female"/>
    <x v="0"/>
    <n v="2.7"/>
    <n v="8651.68"/>
    <n v="1"/>
    <n v="4"/>
    <n v="0.79"/>
  </r>
  <r>
    <s v="ENC100856"/>
    <s v="PT32039"/>
    <x v="4"/>
    <x v="3"/>
    <d v="2025-09-26T00:00:00"/>
    <d v="2025-09-30T00:00:00"/>
    <x v="9"/>
    <x v="2"/>
    <x v="7"/>
    <n v="45"/>
    <x v="0"/>
    <s v="Male"/>
    <x v="0"/>
    <n v="4"/>
    <n v="8946.06"/>
    <n v="0"/>
    <n v="3.9"/>
    <n v="0.74"/>
  </r>
  <r>
    <s v="ENC100857"/>
    <s v="PT15150"/>
    <x v="4"/>
    <x v="0"/>
    <d v="2025-09-27T00:00:00"/>
    <d v="2025-10-01T00:00:00"/>
    <x v="5"/>
    <x v="2"/>
    <x v="9"/>
    <n v="16"/>
    <x v="2"/>
    <s v="Male"/>
    <x v="1"/>
    <n v="3.1"/>
    <n v="8596.51"/>
    <n v="0"/>
    <n v="3.5"/>
    <n v="0.73"/>
  </r>
  <r>
    <s v="ENC100858"/>
    <s v="PT70221"/>
    <x v="1"/>
    <x v="3"/>
    <d v="2025-05-24T00:00:00"/>
    <d v="2025-05-25T00:00:00"/>
    <x v="3"/>
    <x v="0"/>
    <x v="1"/>
    <n v="65"/>
    <x v="6"/>
    <s v="Female"/>
    <x v="0"/>
    <n v="0.9"/>
    <n v="1722.9"/>
    <n v="1"/>
    <n v="2.4"/>
    <n v="0.81"/>
  </r>
  <r>
    <s v="ENC100859"/>
    <s v="PT82085"/>
    <x v="1"/>
    <x v="2"/>
    <d v="2025-05-28T00:00:00"/>
    <d v="2025-05-30T00:00:00"/>
    <x v="3"/>
    <x v="2"/>
    <x v="9"/>
    <n v="86"/>
    <x v="3"/>
    <s v="Female"/>
    <x v="3"/>
    <n v="1.2"/>
    <n v="1621.29"/>
    <n v="0"/>
    <n v="2.9"/>
    <n v="0.85"/>
  </r>
  <r>
    <s v="ENC100860"/>
    <s v="PT97136"/>
    <x v="1"/>
    <x v="3"/>
    <d v="2025-11-23T00:00:00"/>
    <d v="2025-11-28T00:00:00"/>
    <x v="9"/>
    <x v="2"/>
    <x v="0"/>
    <n v="1"/>
    <x v="5"/>
    <s v="Female"/>
    <x v="1"/>
    <n v="4.4000000000000004"/>
    <n v="12000.69"/>
    <n v="0"/>
    <n v="3.5"/>
    <n v="0.84"/>
  </r>
  <r>
    <s v="ENC100861"/>
    <s v="PT93500"/>
    <x v="3"/>
    <x v="1"/>
    <d v="2025-07-25T00:00:00"/>
    <d v="2025-07-28T00:00:00"/>
    <x v="6"/>
    <x v="0"/>
    <x v="2"/>
    <n v="5"/>
    <x v="5"/>
    <s v="Female"/>
    <x v="0"/>
    <n v="2.4"/>
    <n v="5429.38"/>
    <n v="0"/>
    <n v="3.4"/>
    <n v="0.8"/>
  </r>
  <r>
    <s v="ENC100862"/>
    <s v="PT20820"/>
    <x v="1"/>
    <x v="3"/>
    <d v="2025-02-24T00:00:00"/>
    <d v="2025-02-28T00:00:00"/>
    <x v="5"/>
    <x v="2"/>
    <x v="3"/>
    <n v="60"/>
    <x v="1"/>
    <s v="Female"/>
    <x v="0"/>
    <n v="3.9"/>
    <n v="11401.59"/>
    <n v="1"/>
    <n v="4.0999999999999996"/>
    <n v="0.83"/>
  </r>
  <r>
    <s v="ENC100863"/>
    <s v="PT79488"/>
    <x v="4"/>
    <x v="3"/>
    <d v="2025-09-20T00:00:00"/>
    <d v="2025-09-21T00:00:00"/>
    <x v="3"/>
    <x v="2"/>
    <x v="1"/>
    <n v="50"/>
    <x v="1"/>
    <s v="Male"/>
    <x v="2"/>
    <n v="0.6"/>
    <n v="1045.1099999999999"/>
    <n v="0"/>
    <n v="4.2"/>
    <n v="0.82"/>
  </r>
  <r>
    <s v="ENC100864"/>
    <s v="PT86150"/>
    <x v="0"/>
    <x v="2"/>
    <d v="2025-08-04T00:00:00"/>
    <d v="2025-08-10T00:00:00"/>
    <x v="7"/>
    <x v="2"/>
    <x v="1"/>
    <n v="49"/>
    <x v="0"/>
    <s v="Female"/>
    <x v="0"/>
    <n v="5.6"/>
    <n v="19396.23"/>
    <n v="0"/>
    <n v="3.8"/>
    <n v="0.75"/>
  </r>
  <r>
    <s v="ENC100865"/>
    <s v="PT72830"/>
    <x v="4"/>
    <x v="1"/>
    <d v="2025-07-05T00:00:00"/>
    <d v="2025-07-09T00:00:00"/>
    <x v="9"/>
    <x v="2"/>
    <x v="5"/>
    <n v="8"/>
    <x v="5"/>
    <s v="Female"/>
    <x v="0"/>
    <n v="3.4"/>
    <n v="8684.7900000000009"/>
    <n v="0"/>
    <n v="4.7"/>
    <n v="0.78"/>
  </r>
  <r>
    <s v="ENC100866"/>
    <s v="PT83781"/>
    <x v="0"/>
    <x v="1"/>
    <d v="2025-09-22T00:00:00"/>
    <d v="2025-09-28T00:00:00"/>
    <x v="5"/>
    <x v="2"/>
    <x v="8"/>
    <n v="52"/>
    <x v="1"/>
    <s v="Female"/>
    <x v="0"/>
    <n v="6"/>
    <n v="18309.009999999998"/>
    <n v="0"/>
    <n v="3.4"/>
    <n v="0.85"/>
  </r>
  <r>
    <s v="ENC100867"/>
    <s v="PT85417"/>
    <x v="1"/>
    <x v="0"/>
    <d v="2025-11-28T00:00:00"/>
    <d v="2025-12-05T00:00:00"/>
    <x v="9"/>
    <x v="0"/>
    <x v="7"/>
    <n v="51"/>
    <x v="1"/>
    <s v="Male"/>
    <x v="1"/>
    <n v="6.7"/>
    <n v="14961.75"/>
    <n v="0"/>
    <n v="3.8"/>
    <n v="0.77"/>
  </r>
  <r>
    <s v="ENC100868"/>
    <s v="PT50189"/>
    <x v="2"/>
    <x v="1"/>
    <d v="2025-05-01T00:00:00"/>
    <d v="2025-05-03T00:00:00"/>
    <x v="8"/>
    <x v="1"/>
    <x v="5"/>
    <n v="77"/>
    <x v="3"/>
    <s v="Female"/>
    <x v="2"/>
    <n v="1.6"/>
    <n v="3444.8"/>
    <n v="0"/>
    <n v="3.9"/>
    <n v="0.8"/>
  </r>
  <r>
    <s v="ENC100869"/>
    <s v="PT13613"/>
    <x v="0"/>
    <x v="2"/>
    <d v="2025-06-03T00:00:00"/>
    <d v="2025-06-07T00:00:00"/>
    <x v="5"/>
    <x v="2"/>
    <x v="4"/>
    <n v="35"/>
    <x v="0"/>
    <s v="Male"/>
    <x v="0"/>
    <n v="3.8"/>
    <n v="10291.48"/>
    <n v="0"/>
    <n v="4.5999999999999996"/>
    <n v="0.86"/>
  </r>
  <r>
    <s v="ENC100870"/>
    <s v="PT51057"/>
    <x v="2"/>
    <x v="0"/>
    <d v="2025-03-11T00:00:00"/>
    <d v="2025-03-14T00:00:00"/>
    <x v="1"/>
    <x v="1"/>
    <x v="6"/>
    <n v="31"/>
    <x v="4"/>
    <s v="Female"/>
    <x v="3"/>
    <n v="2.7"/>
    <n v="7088.69"/>
    <n v="0"/>
    <n v="4"/>
    <n v="0.74"/>
  </r>
  <r>
    <s v="ENC100871"/>
    <s v="PT28160"/>
    <x v="0"/>
    <x v="3"/>
    <d v="2025-08-25T00:00:00"/>
    <d v="2025-09-04T00:00:00"/>
    <x v="5"/>
    <x v="0"/>
    <x v="4"/>
    <n v="7"/>
    <x v="5"/>
    <s v="Male"/>
    <x v="0"/>
    <n v="9.6999999999999993"/>
    <n v="28873.73"/>
    <n v="0"/>
    <n v="3.8"/>
    <n v="0.79"/>
  </r>
  <r>
    <s v="ENC100872"/>
    <s v="PT20235"/>
    <x v="0"/>
    <x v="1"/>
    <d v="2025-05-27T00:00:00"/>
    <d v="2025-05-31T00:00:00"/>
    <x v="6"/>
    <x v="0"/>
    <x v="8"/>
    <n v="51"/>
    <x v="1"/>
    <s v="Male"/>
    <x v="1"/>
    <n v="4"/>
    <n v="8560.33"/>
    <n v="0"/>
    <n v="2.9"/>
    <n v="0.84"/>
  </r>
  <r>
    <s v="ENC100873"/>
    <s v="PT21243"/>
    <x v="4"/>
    <x v="0"/>
    <d v="2025-05-05T00:00:00"/>
    <d v="2025-05-06T00:00:00"/>
    <x v="1"/>
    <x v="0"/>
    <x v="6"/>
    <n v="58"/>
    <x v="1"/>
    <s v="Female"/>
    <x v="0"/>
    <n v="0.7"/>
    <n v="2308.59"/>
    <n v="1"/>
    <n v="3.4"/>
    <n v="0.77"/>
  </r>
  <r>
    <s v="ENC100874"/>
    <s v="PT72762"/>
    <x v="4"/>
    <x v="2"/>
    <d v="2025-09-12T00:00:00"/>
    <d v="2025-09-15T00:00:00"/>
    <x v="7"/>
    <x v="0"/>
    <x v="3"/>
    <n v="25"/>
    <x v="4"/>
    <s v="Female"/>
    <x v="1"/>
    <n v="2.2999999999999998"/>
    <n v="6313.94"/>
    <n v="1"/>
    <n v="4.5999999999999996"/>
    <n v="0.69"/>
  </r>
  <r>
    <s v="ENC100875"/>
    <s v="PT55407"/>
    <x v="0"/>
    <x v="0"/>
    <d v="2025-05-29T00:00:00"/>
    <d v="2025-05-31T00:00:00"/>
    <x v="0"/>
    <x v="0"/>
    <x v="7"/>
    <n v="66"/>
    <x v="6"/>
    <s v="Female"/>
    <x v="1"/>
    <n v="1.4"/>
    <n v="2574.4899999999998"/>
    <n v="0"/>
    <n v="2.7"/>
    <n v="0.8"/>
  </r>
  <r>
    <s v="ENC100876"/>
    <s v="PT58584"/>
    <x v="1"/>
    <x v="1"/>
    <d v="2025-06-19T00:00:00"/>
    <d v="2025-06-20T00:00:00"/>
    <x v="9"/>
    <x v="2"/>
    <x v="1"/>
    <n v="85"/>
    <x v="3"/>
    <s v="Male"/>
    <x v="1"/>
    <n v="0.6"/>
    <n v="1438.95"/>
    <n v="0"/>
    <n v="4.7"/>
    <n v="0.84"/>
  </r>
  <r>
    <s v="ENC100877"/>
    <s v="PT77066"/>
    <x v="4"/>
    <x v="1"/>
    <d v="2025-06-10T00:00:00"/>
    <d v="2025-06-14T00:00:00"/>
    <x v="8"/>
    <x v="2"/>
    <x v="6"/>
    <n v="15"/>
    <x v="2"/>
    <s v="Male"/>
    <x v="0"/>
    <n v="3.5"/>
    <n v="9237.9699999999993"/>
    <n v="0"/>
    <n v="4.2"/>
    <n v="0.81"/>
  </r>
  <r>
    <s v="ENC100878"/>
    <s v="PT59343"/>
    <x v="2"/>
    <x v="2"/>
    <d v="2025-04-05T00:00:00"/>
    <d v="2025-04-07T00:00:00"/>
    <x v="6"/>
    <x v="2"/>
    <x v="9"/>
    <n v="52"/>
    <x v="1"/>
    <s v="Female"/>
    <x v="3"/>
    <n v="1.7"/>
    <n v="3919.06"/>
    <n v="0"/>
    <n v="3.5"/>
    <n v="0.71"/>
  </r>
  <r>
    <s v="ENC100879"/>
    <s v="PT66700"/>
    <x v="1"/>
    <x v="2"/>
    <d v="2025-02-15T00:00:00"/>
    <d v="2025-02-19T00:00:00"/>
    <x v="3"/>
    <x v="2"/>
    <x v="0"/>
    <n v="63"/>
    <x v="1"/>
    <s v="Female"/>
    <x v="2"/>
    <n v="3.5"/>
    <n v="6433.6"/>
    <n v="0"/>
    <n v="3.2"/>
    <n v="0.81"/>
  </r>
  <r>
    <s v="ENC100880"/>
    <s v="PT17742"/>
    <x v="1"/>
    <x v="1"/>
    <d v="2025-10-29T00:00:00"/>
    <d v="2025-11-04T00:00:00"/>
    <x v="7"/>
    <x v="0"/>
    <x v="4"/>
    <n v="1"/>
    <x v="5"/>
    <s v="Female"/>
    <x v="1"/>
    <n v="5.0999999999999996"/>
    <n v="13428.02"/>
    <n v="0"/>
    <n v="5"/>
    <n v="0.86"/>
  </r>
  <r>
    <s v="ENC100881"/>
    <s v="PT86600"/>
    <x v="2"/>
    <x v="3"/>
    <d v="2025-02-03T00:00:00"/>
    <d v="2025-02-06T00:00:00"/>
    <x v="8"/>
    <x v="2"/>
    <x v="0"/>
    <n v="16"/>
    <x v="2"/>
    <s v="Female"/>
    <x v="1"/>
    <n v="2.4"/>
    <n v="6774.6"/>
    <n v="0"/>
    <n v="4.7"/>
    <n v="0.75"/>
  </r>
  <r>
    <s v="ENC100882"/>
    <s v="PT50389"/>
    <x v="4"/>
    <x v="1"/>
    <d v="2025-04-29T00:00:00"/>
    <d v="2025-05-01T00:00:00"/>
    <x v="2"/>
    <x v="2"/>
    <x v="1"/>
    <n v="36"/>
    <x v="0"/>
    <s v="Male"/>
    <x v="3"/>
    <n v="1.2"/>
    <n v="2855.88"/>
    <n v="0"/>
    <n v="3.8"/>
    <n v="0.72"/>
  </r>
  <r>
    <s v="ENC100883"/>
    <s v="PT23969"/>
    <x v="3"/>
    <x v="3"/>
    <d v="2025-09-01T00:00:00"/>
    <d v="2025-09-05T00:00:00"/>
    <x v="8"/>
    <x v="2"/>
    <x v="6"/>
    <n v="12"/>
    <x v="5"/>
    <s v="Female"/>
    <x v="0"/>
    <n v="3.1"/>
    <n v="9164.7999999999993"/>
    <n v="0"/>
    <n v="4"/>
    <n v="0.89"/>
  </r>
  <r>
    <s v="ENC100884"/>
    <s v="PT83198"/>
    <x v="3"/>
    <x v="1"/>
    <d v="2025-02-17T00:00:00"/>
    <d v="2025-02-25T00:00:00"/>
    <x v="2"/>
    <x v="2"/>
    <x v="0"/>
    <n v="32"/>
    <x v="4"/>
    <s v="Female"/>
    <x v="3"/>
    <n v="8"/>
    <n v="16610.88"/>
    <n v="0"/>
    <n v="3.3"/>
    <n v="0.83"/>
  </r>
  <r>
    <s v="ENC100885"/>
    <s v="PT76115"/>
    <x v="3"/>
    <x v="2"/>
    <d v="2025-08-28T00:00:00"/>
    <d v="2025-08-30T00:00:00"/>
    <x v="6"/>
    <x v="0"/>
    <x v="2"/>
    <n v="13"/>
    <x v="2"/>
    <s v="Male"/>
    <x v="0"/>
    <n v="2"/>
    <n v="4765.5600000000004"/>
    <n v="0"/>
    <n v="4"/>
    <n v="0.88"/>
  </r>
  <r>
    <s v="ENC100886"/>
    <s v="PT14772"/>
    <x v="0"/>
    <x v="2"/>
    <d v="2025-09-25T00:00:00"/>
    <d v="2025-09-28T00:00:00"/>
    <x v="6"/>
    <x v="0"/>
    <x v="2"/>
    <n v="81"/>
    <x v="3"/>
    <s v="Male"/>
    <x v="3"/>
    <n v="2.2999999999999998"/>
    <n v="5294.21"/>
    <n v="1"/>
    <n v="3.5"/>
    <n v="0.74"/>
  </r>
  <r>
    <s v="ENC100887"/>
    <s v="PT27373"/>
    <x v="4"/>
    <x v="1"/>
    <d v="2025-08-30T00:00:00"/>
    <d v="2025-09-05T00:00:00"/>
    <x v="6"/>
    <x v="2"/>
    <x v="1"/>
    <n v="54"/>
    <x v="1"/>
    <s v="Male"/>
    <x v="0"/>
    <n v="5.7"/>
    <n v="15754.73"/>
    <n v="0"/>
    <n v="3.9"/>
    <n v="0.78"/>
  </r>
  <r>
    <s v="ENC100888"/>
    <s v="PT11417"/>
    <x v="2"/>
    <x v="0"/>
    <d v="2025-04-22T00:00:00"/>
    <d v="2025-04-26T00:00:00"/>
    <x v="2"/>
    <x v="2"/>
    <x v="9"/>
    <n v="29"/>
    <x v="4"/>
    <s v="Female"/>
    <x v="0"/>
    <n v="3.6"/>
    <n v="7254.48"/>
    <n v="0"/>
    <n v="5"/>
    <n v="0.77"/>
  </r>
  <r>
    <s v="ENC100889"/>
    <s v="PT34368"/>
    <x v="2"/>
    <x v="1"/>
    <d v="2025-01-08T00:00:00"/>
    <d v="2025-01-15T00:00:00"/>
    <x v="5"/>
    <x v="2"/>
    <x v="7"/>
    <n v="70"/>
    <x v="6"/>
    <s v="Male"/>
    <x v="1"/>
    <n v="6.6"/>
    <n v="17565.8"/>
    <n v="0"/>
    <n v="3.8"/>
    <n v="0.75"/>
  </r>
  <r>
    <s v="ENC100890"/>
    <s v="PT18998"/>
    <x v="2"/>
    <x v="0"/>
    <d v="2025-11-20T00:00:00"/>
    <d v="2025-11-26T00:00:00"/>
    <x v="7"/>
    <x v="2"/>
    <x v="6"/>
    <n v="1"/>
    <x v="5"/>
    <s v="Male"/>
    <x v="1"/>
    <n v="5.9"/>
    <n v="16205.1"/>
    <n v="0"/>
    <n v="3.3"/>
    <n v="0.7"/>
  </r>
  <r>
    <s v="ENC100891"/>
    <s v="PT73890"/>
    <x v="4"/>
    <x v="1"/>
    <d v="2025-04-30T00:00:00"/>
    <d v="2025-05-04T00:00:00"/>
    <x v="1"/>
    <x v="0"/>
    <x v="2"/>
    <n v="54"/>
    <x v="1"/>
    <s v="Female"/>
    <x v="3"/>
    <n v="3.9"/>
    <n v="12734.33"/>
    <n v="0"/>
    <n v="3.1"/>
    <n v="0.68"/>
  </r>
  <r>
    <s v="ENC100892"/>
    <s v="PT57029"/>
    <x v="1"/>
    <x v="1"/>
    <d v="2025-10-21T00:00:00"/>
    <d v="2025-10-22T00:00:00"/>
    <x v="0"/>
    <x v="0"/>
    <x v="6"/>
    <n v="62"/>
    <x v="1"/>
    <s v="Female"/>
    <x v="2"/>
    <n v="0.4"/>
    <n v="788.9"/>
    <n v="0"/>
    <n v="4"/>
    <n v="0.88"/>
  </r>
  <r>
    <s v="ENC100893"/>
    <s v="PT98217"/>
    <x v="1"/>
    <x v="2"/>
    <d v="2025-03-14T00:00:00"/>
    <d v="2025-03-16T00:00:00"/>
    <x v="8"/>
    <x v="2"/>
    <x v="4"/>
    <n v="73"/>
    <x v="6"/>
    <s v="Male"/>
    <x v="0"/>
    <n v="1.2"/>
    <n v="2780.72"/>
    <n v="0"/>
    <n v="3.4"/>
    <n v="0.83"/>
  </r>
  <r>
    <s v="ENC100894"/>
    <s v="PT77447"/>
    <x v="1"/>
    <x v="1"/>
    <d v="2025-03-01T00:00:00"/>
    <d v="2025-03-05T00:00:00"/>
    <x v="1"/>
    <x v="2"/>
    <x v="9"/>
    <n v="20"/>
    <x v="4"/>
    <s v="Male"/>
    <x v="0"/>
    <n v="3.9"/>
    <n v="11951.77"/>
    <n v="0"/>
    <n v="4"/>
    <n v="0.87"/>
  </r>
  <r>
    <s v="ENC100895"/>
    <s v="PT65038"/>
    <x v="1"/>
    <x v="2"/>
    <d v="2025-10-12T00:00:00"/>
    <d v="2025-10-14T00:00:00"/>
    <x v="6"/>
    <x v="1"/>
    <x v="8"/>
    <n v="53"/>
    <x v="1"/>
    <s v="Male"/>
    <x v="0"/>
    <n v="1.2"/>
    <n v="2974.42"/>
    <n v="0"/>
    <n v="2.9"/>
    <n v="0.86"/>
  </r>
  <r>
    <s v="ENC100896"/>
    <s v="PT55837"/>
    <x v="3"/>
    <x v="1"/>
    <d v="2025-12-10T00:00:00"/>
    <d v="2025-12-11T00:00:00"/>
    <x v="3"/>
    <x v="0"/>
    <x v="1"/>
    <n v="69"/>
    <x v="6"/>
    <s v="Male"/>
    <x v="1"/>
    <n v="0.9"/>
    <n v="1708.97"/>
    <n v="0"/>
    <n v="4.0999999999999996"/>
    <n v="0.86"/>
  </r>
  <r>
    <s v="ENC100897"/>
    <s v="PT14904"/>
    <x v="1"/>
    <x v="3"/>
    <d v="2025-11-11T00:00:00"/>
    <d v="2025-11-13T00:00:00"/>
    <x v="5"/>
    <x v="2"/>
    <x v="7"/>
    <n v="72"/>
    <x v="6"/>
    <s v="Male"/>
    <x v="1"/>
    <n v="1.2"/>
    <n v="2964.03"/>
    <n v="0"/>
    <n v="3.3"/>
    <n v="0.81"/>
  </r>
  <r>
    <s v="ENC100898"/>
    <s v="PT16318"/>
    <x v="2"/>
    <x v="0"/>
    <d v="2025-10-02T00:00:00"/>
    <d v="2025-10-05T00:00:00"/>
    <x v="3"/>
    <x v="2"/>
    <x v="4"/>
    <n v="15"/>
    <x v="2"/>
    <s v="Male"/>
    <x v="3"/>
    <n v="2.2000000000000002"/>
    <n v="3102.15"/>
    <n v="0"/>
    <n v="3.7"/>
    <n v="0.77"/>
  </r>
  <r>
    <s v="ENC100899"/>
    <s v="PT65467"/>
    <x v="3"/>
    <x v="2"/>
    <d v="2025-04-01T00:00:00"/>
    <d v="2025-04-03T00:00:00"/>
    <x v="8"/>
    <x v="2"/>
    <x v="2"/>
    <n v="88"/>
    <x v="3"/>
    <s v="Male"/>
    <x v="3"/>
    <n v="1.7"/>
    <n v="3628.54"/>
    <n v="0"/>
    <n v="3.7"/>
    <n v="0.9"/>
  </r>
  <r>
    <s v="ENC100900"/>
    <s v="PT10394"/>
    <x v="4"/>
    <x v="1"/>
    <d v="2025-11-30T00:00:00"/>
    <d v="2025-12-02T00:00:00"/>
    <x v="2"/>
    <x v="1"/>
    <x v="4"/>
    <n v="24"/>
    <x v="4"/>
    <s v="Female"/>
    <x v="0"/>
    <n v="1.2"/>
    <n v="2700.83"/>
    <n v="0"/>
    <n v="4.9000000000000004"/>
    <n v="0.78"/>
  </r>
  <r>
    <s v="ENC100901"/>
    <s v="PT13811"/>
    <x v="0"/>
    <x v="1"/>
    <d v="2025-09-01T00:00:00"/>
    <d v="2025-09-02T00:00:00"/>
    <x v="3"/>
    <x v="2"/>
    <x v="2"/>
    <n v="35"/>
    <x v="0"/>
    <s v="Female"/>
    <x v="1"/>
    <n v="0.3"/>
    <n v="539.38"/>
    <n v="0"/>
    <n v="3.8"/>
    <n v="0.88"/>
  </r>
  <r>
    <s v="ENC100902"/>
    <s v="PT29721"/>
    <x v="2"/>
    <x v="3"/>
    <d v="2025-03-04T00:00:00"/>
    <d v="2025-03-10T00:00:00"/>
    <x v="1"/>
    <x v="2"/>
    <x v="2"/>
    <n v="17"/>
    <x v="2"/>
    <s v="Male"/>
    <x v="1"/>
    <n v="5.5"/>
    <n v="17331.5"/>
    <n v="0"/>
    <n v="5"/>
    <n v="0.69"/>
  </r>
  <r>
    <s v="ENC100903"/>
    <s v="PT89572"/>
    <x v="4"/>
    <x v="3"/>
    <d v="2025-02-17T00:00:00"/>
    <d v="2025-02-19T00:00:00"/>
    <x v="9"/>
    <x v="1"/>
    <x v="9"/>
    <n v="13"/>
    <x v="2"/>
    <s v="Female"/>
    <x v="1"/>
    <n v="2"/>
    <n v="4370.66"/>
    <n v="0"/>
    <n v="4.2"/>
    <n v="0.72"/>
  </r>
  <r>
    <s v="ENC100904"/>
    <s v="PT51303"/>
    <x v="0"/>
    <x v="3"/>
    <d v="2025-11-14T00:00:00"/>
    <d v="2025-11-26T00:00:00"/>
    <x v="4"/>
    <x v="0"/>
    <x v="6"/>
    <n v="23"/>
    <x v="4"/>
    <s v="Male"/>
    <x v="0"/>
    <n v="11.1"/>
    <n v="46970.38"/>
    <n v="0"/>
    <n v="4.5"/>
    <n v="0.84"/>
  </r>
  <r>
    <s v="ENC100905"/>
    <s v="PT73861"/>
    <x v="3"/>
    <x v="1"/>
    <d v="2025-04-11T00:00:00"/>
    <d v="2025-04-13T00:00:00"/>
    <x v="2"/>
    <x v="2"/>
    <x v="0"/>
    <n v="12"/>
    <x v="5"/>
    <s v="Male"/>
    <x v="0"/>
    <n v="1.8"/>
    <n v="4741.58"/>
    <n v="0"/>
    <n v="3.8"/>
    <n v="0.81"/>
  </r>
  <r>
    <s v="ENC100906"/>
    <s v="PT47040"/>
    <x v="2"/>
    <x v="1"/>
    <d v="2025-10-07T00:00:00"/>
    <d v="2025-10-08T00:00:00"/>
    <x v="2"/>
    <x v="2"/>
    <x v="7"/>
    <n v="66"/>
    <x v="6"/>
    <s v="Male"/>
    <x v="0"/>
    <n v="1"/>
    <n v="2646.78"/>
    <n v="0"/>
    <n v="4.0999999999999996"/>
    <n v="0.83"/>
  </r>
  <r>
    <s v="ENC100907"/>
    <s v="PT25581"/>
    <x v="3"/>
    <x v="2"/>
    <d v="2025-02-20T00:00:00"/>
    <d v="2025-02-22T00:00:00"/>
    <x v="9"/>
    <x v="2"/>
    <x v="4"/>
    <n v="54"/>
    <x v="1"/>
    <s v="Male"/>
    <x v="0"/>
    <n v="2"/>
    <n v="4931.6000000000004"/>
    <n v="0"/>
    <n v="4.5999999999999996"/>
    <n v="0.89"/>
  </r>
  <r>
    <s v="ENC100908"/>
    <s v="PT43403"/>
    <x v="3"/>
    <x v="3"/>
    <d v="2025-04-13T00:00:00"/>
    <d v="2025-04-19T00:00:00"/>
    <x v="6"/>
    <x v="0"/>
    <x v="2"/>
    <n v="35"/>
    <x v="0"/>
    <s v="Female"/>
    <x v="3"/>
    <n v="5.8"/>
    <n v="12565.32"/>
    <n v="0"/>
    <n v="4.4000000000000004"/>
    <n v="0.9"/>
  </r>
  <r>
    <s v="ENC100909"/>
    <s v="PT18254"/>
    <x v="4"/>
    <x v="3"/>
    <d v="2025-04-14T00:00:00"/>
    <d v="2025-04-15T00:00:00"/>
    <x v="8"/>
    <x v="2"/>
    <x v="6"/>
    <n v="49"/>
    <x v="0"/>
    <s v="Male"/>
    <x v="0"/>
    <n v="0.6"/>
    <n v="1584.36"/>
    <n v="1"/>
    <n v="4.2"/>
    <n v="0.82"/>
  </r>
  <r>
    <s v="ENC100910"/>
    <s v="PT79322"/>
    <x v="2"/>
    <x v="1"/>
    <d v="2025-04-13T00:00:00"/>
    <d v="2025-04-18T00:00:00"/>
    <x v="5"/>
    <x v="1"/>
    <x v="9"/>
    <n v="54"/>
    <x v="1"/>
    <s v="Female"/>
    <x v="1"/>
    <n v="4.2"/>
    <n v="8132.86"/>
    <n v="0"/>
    <n v="3.7"/>
    <n v="0.71"/>
  </r>
  <r>
    <s v="ENC100911"/>
    <s v="PT26517"/>
    <x v="2"/>
    <x v="1"/>
    <d v="2025-09-04T00:00:00"/>
    <d v="2025-09-07T00:00:00"/>
    <x v="0"/>
    <x v="1"/>
    <x v="6"/>
    <n v="16"/>
    <x v="2"/>
    <s v="Male"/>
    <x v="1"/>
    <n v="2.6"/>
    <n v="5842.64"/>
    <n v="0"/>
    <n v="3.8"/>
    <n v="0.68"/>
  </r>
  <r>
    <s v="ENC100912"/>
    <s v="PT43873"/>
    <x v="2"/>
    <x v="2"/>
    <d v="2025-11-30T00:00:00"/>
    <d v="2025-12-09T00:00:00"/>
    <x v="8"/>
    <x v="2"/>
    <x v="7"/>
    <n v="27"/>
    <x v="4"/>
    <s v="Male"/>
    <x v="3"/>
    <n v="8.6999999999999993"/>
    <n v="21158.23"/>
    <n v="0"/>
    <n v="4.4000000000000004"/>
    <n v="0.81"/>
  </r>
  <r>
    <s v="ENC100913"/>
    <s v="PT98201"/>
    <x v="2"/>
    <x v="3"/>
    <d v="2025-11-29T00:00:00"/>
    <d v="2025-12-02T00:00:00"/>
    <x v="4"/>
    <x v="0"/>
    <x v="5"/>
    <n v="80"/>
    <x v="3"/>
    <s v="Female"/>
    <x v="0"/>
    <n v="2.5"/>
    <n v="10444.91"/>
    <n v="0"/>
    <n v="4.5999999999999996"/>
    <n v="0.69"/>
  </r>
  <r>
    <s v="ENC100914"/>
    <s v="PT63276"/>
    <x v="2"/>
    <x v="1"/>
    <d v="2025-09-28T00:00:00"/>
    <d v="2025-09-29T00:00:00"/>
    <x v="3"/>
    <x v="2"/>
    <x v="2"/>
    <n v="1"/>
    <x v="5"/>
    <s v="Female"/>
    <x v="0"/>
    <n v="0.2"/>
    <n v="334.71"/>
    <n v="0"/>
    <n v="3.3"/>
    <n v="0.81"/>
  </r>
  <r>
    <s v="ENC100915"/>
    <s v="PT51269"/>
    <x v="3"/>
    <x v="2"/>
    <d v="2025-03-15T00:00:00"/>
    <d v="2025-03-17T00:00:00"/>
    <x v="9"/>
    <x v="2"/>
    <x v="1"/>
    <n v="87"/>
    <x v="3"/>
    <s v="Female"/>
    <x v="0"/>
    <n v="1.5"/>
    <n v="3506.88"/>
    <n v="0"/>
    <n v="3.5"/>
    <n v="0.87"/>
  </r>
  <r>
    <s v="ENC100916"/>
    <s v="PT58870"/>
    <x v="4"/>
    <x v="3"/>
    <d v="2025-12-17T00:00:00"/>
    <d v="2025-12-22T00:00:00"/>
    <x v="6"/>
    <x v="0"/>
    <x v="4"/>
    <n v="87"/>
    <x v="3"/>
    <s v="Male"/>
    <x v="1"/>
    <n v="4.2"/>
    <n v="9513.52"/>
    <n v="0"/>
    <n v="3.4"/>
    <n v="0.78"/>
  </r>
  <r>
    <s v="ENC100917"/>
    <s v="PT80566"/>
    <x v="2"/>
    <x v="0"/>
    <d v="2025-07-17T00:00:00"/>
    <d v="2025-07-18T00:00:00"/>
    <x v="3"/>
    <x v="2"/>
    <x v="7"/>
    <n v="23"/>
    <x v="4"/>
    <s v="Female"/>
    <x v="0"/>
    <n v="1"/>
    <n v="1787.13"/>
    <n v="0"/>
    <n v="4.2"/>
    <n v="0.77"/>
  </r>
  <r>
    <s v="ENC100918"/>
    <s v="PT32903"/>
    <x v="4"/>
    <x v="0"/>
    <d v="2025-07-19T00:00:00"/>
    <d v="2025-07-21T00:00:00"/>
    <x v="3"/>
    <x v="2"/>
    <x v="2"/>
    <n v="29"/>
    <x v="4"/>
    <s v="Female"/>
    <x v="3"/>
    <n v="1.4"/>
    <n v="2457.31"/>
    <n v="0"/>
    <n v="3.1"/>
    <n v="0.8"/>
  </r>
  <r>
    <s v="ENC100919"/>
    <s v="PT67276"/>
    <x v="0"/>
    <x v="3"/>
    <d v="2025-09-14T00:00:00"/>
    <d v="2025-09-16T00:00:00"/>
    <x v="8"/>
    <x v="2"/>
    <x v="2"/>
    <n v="18"/>
    <x v="4"/>
    <s v="Male"/>
    <x v="0"/>
    <n v="1.2"/>
    <n v="3298.66"/>
    <n v="0"/>
    <n v="4.4000000000000004"/>
    <n v="0.79"/>
  </r>
  <r>
    <s v="ENC100920"/>
    <s v="PT88541"/>
    <x v="2"/>
    <x v="0"/>
    <d v="2025-10-08T00:00:00"/>
    <d v="2025-10-11T00:00:00"/>
    <x v="6"/>
    <x v="2"/>
    <x v="9"/>
    <n v="51"/>
    <x v="1"/>
    <s v="Female"/>
    <x v="0"/>
    <n v="2.1"/>
    <n v="5429.8"/>
    <n v="0"/>
    <n v="4.2"/>
    <n v="0.81"/>
  </r>
  <r>
    <s v="ENC100921"/>
    <s v="PT61516"/>
    <x v="3"/>
    <x v="3"/>
    <d v="2025-12-14T00:00:00"/>
    <d v="2025-12-16T00:00:00"/>
    <x v="3"/>
    <x v="2"/>
    <x v="2"/>
    <n v="19"/>
    <x v="4"/>
    <s v="Female"/>
    <x v="0"/>
    <n v="1.1000000000000001"/>
    <n v="2140.4699999999998"/>
    <n v="0"/>
    <n v="3.4"/>
    <n v="0.9"/>
  </r>
  <r>
    <s v="ENC100922"/>
    <s v="PT50188"/>
    <x v="0"/>
    <x v="3"/>
    <d v="2025-08-01T00:00:00"/>
    <d v="2025-08-02T00:00:00"/>
    <x v="6"/>
    <x v="0"/>
    <x v="2"/>
    <n v="71"/>
    <x v="6"/>
    <s v="Male"/>
    <x v="3"/>
    <n v="0.5"/>
    <n v="1182.32"/>
    <n v="0"/>
    <n v="4.8"/>
    <n v="0.81"/>
  </r>
  <r>
    <s v="ENC100923"/>
    <s v="PT23061"/>
    <x v="0"/>
    <x v="1"/>
    <d v="2025-08-11T00:00:00"/>
    <d v="2025-08-14T00:00:00"/>
    <x v="8"/>
    <x v="0"/>
    <x v="7"/>
    <n v="35"/>
    <x v="0"/>
    <s v="Female"/>
    <x v="3"/>
    <n v="3"/>
    <n v="5716.51"/>
    <n v="0"/>
    <n v="3"/>
    <n v="0.78"/>
  </r>
  <r>
    <s v="ENC100924"/>
    <s v="PT32345"/>
    <x v="4"/>
    <x v="2"/>
    <d v="2025-09-30T00:00:00"/>
    <d v="2025-10-03T00:00:00"/>
    <x v="7"/>
    <x v="0"/>
    <x v="4"/>
    <n v="88"/>
    <x v="3"/>
    <s v="Female"/>
    <x v="3"/>
    <n v="3"/>
    <n v="6995.16"/>
    <n v="0"/>
    <n v="4.9000000000000004"/>
    <n v="0.83"/>
  </r>
  <r>
    <s v="ENC100925"/>
    <s v="PT95141"/>
    <x v="1"/>
    <x v="0"/>
    <d v="2025-04-04T00:00:00"/>
    <d v="2025-04-25T00:00:00"/>
    <x v="7"/>
    <x v="0"/>
    <x v="7"/>
    <n v="77"/>
    <x v="3"/>
    <s v="Male"/>
    <x v="1"/>
    <n v="21"/>
    <n v="56882.21"/>
    <n v="0"/>
    <n v="3.9"/>
    <n v="0.74"/>
  </r>
  <r>
    <s v="ENC100926"/>
    <s v="PT58712"/>
    <x v="4"/>
    <x v="0"/>
    <d v="2025-04-23T00:00:00"/>
    <d v="2025-04-26T00:00:00"/>
    <x v="6"/>
    <x v="2"/>
    <x v="5"/>
    <n v="36"/>
    <x v="0"/>
    <s v="Male"/>
    <x v="3"/>
    <n v="2.6"/>
    <n v="6204.07"/>
    <n v="0"/>
    <n v="2.7"/>
    <n v="0.8"/>
  </r>
  <r>
    <s v="ENC100927"/>
    <s v="PT37120"/>
    <x v="3"/>
    <x v="3"/>
    <d v="2025-08-17T00:00:00"/>
    <d v="2025-08-24T00:00:00"/>
    <x v="6"/>
    <x v="0"/>
    <x v="8"/>
    <n v="54"/>
    <x v="1"/>
    <s v="Female"/>
    <x v="1"/>
    <n v="6.7"/>
    <n v="18580.509999999998"/>
    <n v="0"/>
    <n v="4.9000000000000004"/>
    <n v="0.87"/>
  </r>
  <r>
    <s v="ENC100928"/>
    <s v="PT47652"/>
    <x v="4"/>
    <x v="3"/>
    <d v="2025-01-24T00:00:00"/>
    <d v="2025-01-26T00:00:00"/>
    <x v="3"/>
    <x v="2"/>
    <x v="7"/>
    <n v="2"/>
    <x v="5"/>
    <s v="Male"/>
    <x v="0"/>
    <n v="1.4"/>
    <n v="2486.89"/>
    <n v="0"/>
    <n v="4.3"/>
    <n v="0.75"/>
  </r>
  <r>
    <s v="ENC100929"/>
    <s v="PT62020"/>
    <x v="3"/>
    <x v="0"/>
    <d v="2025-04-27T00:00:00"/>
    <d v="2025-04-28T00:00:00"/>
    <x v="3"/>
    <x v="2"/>
    <x v="8"/>
    <n v="6"/>
    <x v="5"/>
    <s v="Female"/>
    <x v="1"/>
    <n v="0.9"/>
    <n v="1547.52"/>
    <n v="0"/>
    <n v="3.4"/>
    <n v="0.88"/>
  </r>
  <r>
    <s v="ENC100930"/>
    <s v="PT58378"/>
    <x v="4"/>
    <x v="3"/>
    <d v="2025-09-20T00:00:00"/>
    <d v="2025-09-28T00:00:00"/>
    <x v="8"/>
    <x v="1"/>
    <x v="8"/>
    <n v="46"/>
    <x v="0"/>
    <s v="Female"/>
    <x v="3"/>
    <n v="7.7"/>
    <n v="16051.23"/>
    <n v="0"/>
    <n v="3.1"/>
    <n v="0.78"/>
  </r>
  <r>
    <s v="ENC100931"/>
    <s v="PT72979"/>
    <x v="2"/>
    <x v="2"/>
    <d v="2025-12-23T00:00:00"/>
    <d v="2025-12-24T00:00:00"/>
    <x v="2"/>
    <x v="2"/>
    <x v="7"/>
    <n v="43"/>
    <x v="0"/>
    <s v="Male"/>
    <x v="0"/>
    <n v="1"/>
    <n v="2351.9899999999998"/>
    <n v="0"/>
    <n v="3"/>
    <n v="0.73"/>
  </r>
  <r>
    <s v="ENC100932"/>
    <s v="PT33174"/>
    <x v="0"/>
    <x v="2"/>
    <d v="2025-07-09T00:00:00"/>
    <d v="2025-07-11T00:00:00"/>
    <x v="9"/>
    <x v="2"/>
    <x v="5"/>
    <n v="36"/>
    <x v="0"/>
    <s v="Female"/>
    <x v="1"/>
    <n v="1.5"/>
    <n v="3189.97"/>
    <n v="0"/>
    <n v="5"/>
    <n v="0.84"/>
  </r>
  <r>
    <s v="ENC100933"/>
    <s v="PT68430"/>
    <x v="2"/>
    <x v="2"/>
    <d v="2025-05-26T00:00:00"/>
    <d v="2025-05-31T00:00:00"/>
    <x v="9"/>
    <x v="2"/>
    <x v="7"/>
    <n v="8"/>
    <x v="5"/>
    <s v="Female"/>
    <x v="1"/>
    <n v="4.0999999999999996"/>
    <n v="10845.44"/>
    <n v="0"/>
    <n v="3.3"/>
    <n v="0.71"/>
  </r>
  <r>
    <s v="ENC100934"/>
    <s v="PT49840"/>
    <x v="2"/>
    <x v="1"/>
    <d v="2025-06-10T00:00:00"/>
    <d v="2025-06-11T00:00:00"/>
    <x v="5"/>
    <x v="2"/>
    <x v="1"/>
    <n v="76"/>
    <x v="3"/>
    <s v="Male"/>
    <x v="1"/>
    <n v="0.3"/>
    <n v="793.79"/>
    <n v="0"/>
    <n v="3.1"/>
    <n v="0.78"/>
  </r>
  <r>
    <s v="ENC100935"/>
    <s v="PT94652"/>
    <x v="2"/>
    <x v="0"/>
    <d v="2025-09-08T00:00:00"/>
    <d v="2025-09-10T00:00:00"/>
    <x v="0"/>
    <x v="2"/>
    <x v="7"/>
    <n v="36"/>
    <x v="0"/>
    <s v="Female"/>
    <x v="0"/>
    <n v="1.9"/>
    <n v="4662"/>
    <n v="0"/>
    <n v="4.0999999999999996"/>
    <n v="0.67"/>
  </r>
  <r>
    <s v="ENC100936"/>
    <s v="PT24212"/>
    <x v="3"/>
    <x v="3"/>
    <d v="2025-07-18T00:00:00"/>
    <d v="2025-07-21T00:00:00"/>
    <x v="6"/>
    <x v="2"/>
    <x v="6"/>
    <n v="42"/>
    <x v="0"/>
    <s v="Female"/>
    <x v="1"/>
    <n v="2.5"/>
    <n v="6268.92"/>
    <n v="0"/>
    <n v="2.9"/>
    <n v="0.85"/>
  </r>
  <r>
    <s v="ENC100937"/>
    <s v="PT23359"/>
    <x v="0"/>
    <x v="1"/>
    <d v="2025-01-09T00:00:00"/>
    <d v="2025-01-13T00:00:00"/>
    <x v="2"/>
    <x v="1"/>
    <x v="5"/>
    <n v="36"/>
    <x v="0"/>
    <s v="Female"/>
    <x v="3"/>
    <n v="3.3"/>
    <n v="6097.78"/>
    <n v="0"/>
    <n v="3.3"/>
    <n v="0.8"/>
  </r>
  <r>
    <s v="ENC100938"/>
    <s v="PT51548"/>
    <x v="1"/>
    <x v="3"/>
    <d v="2025-07-16T00:00:00"/>
    <d v="2025-07-19T00:00:00"/>
    <x v="2"/>
    <x v="2"/>
    <x v="7"/>
    <n v="45"/>
    <x v="0"/>
    <s v="Male"/>
    <x v="0"/>
    <n v="2.4"/>
    <n v="5378.06"/>
    <n v="0"/>
    <n v="4.5"/>
    <n v="0.8"/>
  </r>
  <r>
    <s v="ENC100939"/>
    <s v="PT55751"/>
    <x v="4"/>
    <x v="0"/>
    <d v="2025-05-27T00:00:00"/>
    <d v="2025-06-03T00:00:00"/>
    <x v="1"/>
    <x v="2"/>
    <x v="0"/>
    <n v="59"/>
    <x v="1"/>
    <s v="Male"/>
    <x v="0"/>
    <n v="6.1"/>
    <n v="24455.01"/>
    <n v="1"/>
    <n v="4.2"/>
    <n v="0.8"/>
  </r>
  <r>
    <s v="ENC100940"/>
    <s v="PT72178"/>
    <x v="2"/>
    <x v="1"/>
    <d v="2025-09-13T00:00:00"/>
    <d v="2025-09-15T00:00:00"/>
    <x v="1"/>
    <x v="2"/>
    <x v="5"/>
    <n v="69"/>
    <x v="6"/>
    <s v="Male"/>
    <x v="0"/>
    <n v="1.7"/>
    <n v="5555.65"/>
    <n v="1"/>
    <n v="3.7"/>
    <n v="0.75"/>
  </r>
  <r>
    <s v="ENC100941"/>
    <s v="PT46362"/>
    <x v="0"/>
    <x v="1"/>
    <d v="2025-11-16T00:00:00"/>
    <d v="2025-11-24T00:00:00"/>
    <x v="7"/>
    <x v="0"/>
    <x v="5"/>
    <n v="50"/>
    <x v="1"/>
    <s v="Female"/>
    <x v="0"/>
    <n v="7.9"/>
    <n v="26300.37"/>
    <n v="0"/>
    <n v="3.7"/>
    <n v="0.84"/>
  </r>
  <r>
    <s v="ENC100942"/>
    <s v="PT92233"/>
    <x v="0"/>
    <x v="1"/>
    <d v="2025-12-18T00:00:00"/>
    <d v="2025-12-20T00:00:00"/>
    <x v="2"/>
    <x v="2"/>
    <x v="9"/>
    <n v="15"/>
    <x v="2"/>
    <s v="Male"/>
    <x v="2"/>
    <n v="1.1000000000000001"/>
    <n v="2191.27"/>
    <n v="0"/>
    <n v="3.6"/>
    <n v="0.82"/>
  </r>
  <r>
    <s v="ENC100943"/>
    <s v="PT52674"/>
    <x v="0"/>
    <x v="0"/>
    <d v="2025-08-11T00:00:00"/>
    <d v="2025-08-16T00:00:00"/>
    <x v="1"/>
    <x v="2"/>
    <x v="7"/>
    <n v="79"/>
    <x v="3"/>
    <s v="Male"/>
    <x v="1"/>
    <n v="4.3"/>
    <n v="13407.3"/>
    <n v="0"/>
    <n v="3.9"/>
    <n v="0.82"/>
  </r>
  <r>
    <s v="ENC100944"/>
    <s v="PT21640"/>
    <x v="4"/>
    <x v="3"/>
    <d v="2025-05-13T00:00:00"/>
    <d v="2025-05-20T00:00:00"/>
    <x v="6"/>
    <x v="2"/>
    <x v="5"/>
    <n v="25"/>
    <x v="4"/>
    <s v="Female"/>
    <x v="0"/>
    <n v="6.1"/>
    <n v="15205.53"/>
    <n v="0"/>
    <n v="3.4"/>
    <n v="0.79"/>
  </r>
  <r>
    <s v="ENC100945"/>
    <s v="PT20729"/>
    <x v="2"/>
    <x v="3"/>
    <d v="2025-06-12T00:00:00"/>
    <d v="2025-06-13T00:00:00"/>
    <x v="9"/>
    <x v="0"/>
    <x v="2"/>
    <n v="1"/>
    <x v="5"/>
    <s v="Female"/>
    <x v="0"/>
    <n v="0.9"/>
    <n v="1969.2"/>
    <n v="0"/>
    <n v="3.6"/>
    <n v="0.73"/>
  </r>
  <r>
    <s v="ENC100946"/>
    <s v="PT97605"/>
    <x v="2"/>
    <x v="1"/>
    <d v="2025-03-06T00:00:00"/>
    <d v="2025-03-07T00:00:00"/>
    <x v="3"/>
    <x v="0"/>
    <x v="1"/>
    <n v="3"/>
    <x v="5"/>
    <s v="Male"/>
    <x v="2"/>
    <n v="0.5"/>
    <n v="851.54"/>
    <n v="1"/>
    <n v="3.3"/>
    <n v="0.74"/>
  </r>
  <r>
    <s v="ENC100947"/>
    <s v="PT22068"/>
    <x v="2"/>
    <x v="1"/>
    <d v="2025-12-08T00:00:00"/>
    <d v="2025-12-13T00:00:00"/>
    <x v="9"/>
    <x v="0"/>
    <x v="7"/>
    <n v="70"/>
    <x v="6"/>
    <s v="Female"/>
    <x v="0"/>
    <n v="4.0999999999999996"/>
    <n v="9562.82"/>
    <n v="0"/>
    <n v="3.5"/>
    <n v="0.76"/>
  </r>
  <r>
    <s v="ENC100948"/>
    <s v="PT95305"/>
    <x v="2"/>
    <x v="2"/>
    <d v="2025-11-06T00:00:00"/>
    <d v="2025-11-09T00:00:00"/>
    <x v="2"/>
    <x v="0"/>
    <x v="7"/>
    <n v="35"/>
    <x v="0"/>
    <s v="Male"/>
    <x v="3"/>
    <n v="3"/>
    <n v="4936.3100000000004"/>
    <n v="1"/>
    <n v="4.5"/>
    <n v="0.74"/>
  </r>
  <r>
    <s v="ENC100949"/>
    <s v="PT35026"/>
    <x v="3"/>
    <x v="1"/>
    <d v="2025-11-08T00:00:00"/>
    <d v="2025-11-09T00:00:00"/>
    <x v="3"/>
    <x v="2"/>
    <x v="7"/>
    <n v="2"/>
    <x v="5"/>
    <s v="Male"/>
    <x v="0"/>
    <n v="0.2"/>
    <n v="364.87"/>
    <n v="1"/>
    <n v="4.2"/>
    <n v="0.88"/>
  </r>
  <r>
    <s v="ENC100950"/>
    <s v="PT18406"/>
    <x v="0"/>
    <x v="0"/>
    <d v="2025-04-30T00:00:00"/>
    <d v="2025-05-07T00:00:00"/>
    <x v="4"/>
    <x v="2"/>
    <x v="2"/>
    <n v="73"/>
    <x v="6"/>
    <s v="Female"/>
    <x v="0"/>
    <n v="6.7"/>
    <n v="29318.19"/>
    <n v="0"/>
    <n v="3.2"/>
    <n v="0.8"/>
  </r>
  <r>
    <s v="ENC100951"/>
    <s v="PT37423"/>
    <x v="3"/>
    <x v="3"/>
    <d v="2025-04-28T00:00:00"/>
    <d v="2025-04-30T00:00:00"/>
    <x v="3"/>
    <x v="2"/>
    <x v="0"/>
    <n v="27"/>
    <x v="4"/>
    <s v="Male"/>
    <x v="1"/>
    <n v="1.6"/>
    <n v="2832.67"/>
    <n v="0"/>
    <n v="3"/>
    <n v="0.86"/>
  </r>
  <r>
    <s v="ENC100952"/>
    <s v="PT65322"/>
    <x v="1"/>
    <x v="3"/>
    <d v="2025-11-09T00:00:00"/>
    <d v="2025-11-15T00:00:00"/>
    <x v="2"/>
    <x v="2"/>
    <x v="9"/>
    <n v="88"/>
    <x v="3"/>
    <s v="Male"/>
    <x v="0"/>
    <n v="6"/>
    <n v="12848.35"/>
    <n v="0"/>
    <n v="3.8"/>
    <n v="0.76"/>
  </r>
  <r>
    <s v="ENC100953"/>
    <s v="PT48510"/>
    <x v="2"/>
    <x v="2"/>
    <d v="2025-07-18T00:00:00"/>
    <d v="2025-07-22T00:00:00"/>
    <x v="2"/>
    <x v="2"/>
    <x v="9"/>
    <n v="80"/>
    <x v="3"/>
    <s v="Female"/>
    <x v="1"/>
    <n v="3.6"/>
    <n v="7181.85"/>
    <n v="0"/>
    <n v="5"/>
    <n v="0.79"/>
  </r>
  <r>
    <s v="ENC100954"/>
    <s v="PT80701"/>
    <x v="2"/>
    <x v="3"/>
    <d v="2025-09-15T00:00:00"/>
    <d v="2025-09-24T00:00:00"/>
    <x v="4"/>
    <x v="2"/>
    <x v="2"/>
    <n v="4"/>
    <x v="5"/>
    <s v="Male"/>
    <x v="0"/>
    <n v="8.3000000000000007"/>
    <n v="42254.78"/>
    <n v="0"/>
    <n v="3"/>
    <n v="0.73"/>
  </r>
  <r>
    <s v="ENC100955"/>
    <s v="PT64988"/>
    <x v="0"/>
    <x v="2"/>
    <d v="2025-06-28T00:00:00"/>
    <d v="2025-07-09T00:00:00"/>
    <x v="1"/>
    <x v="2"/>
    <x v="6"/>
    <n v="62"/>
    <x v="1"/>
    <s v="Female"/>
    <x v="3"/>
    <n v="10.1"/>
    <n v="30678.99"/>
    <n v="0"/>
    <n v="3.6"/>
    <n v="0.76"/>
  </r>
  <r>
    <s v="ENC100956"/>
    <s v="PT46070"/>
    <x v="4"/>
    <x v="2"/>
    <d v="2025-06-11T00:00:00"/>
    <d v="2025-06-13T00:00:00"/>
    <x v="3"/>
    <x v="0"/>
    <x v="1"/>
    <n v="54"/>
    <x v="1"/>
    <s v="Male"/>
    <x v="3"/>
    <n v="1.7"/>
    <n v="3265.91"/>
    <n v="0"/>
    <n v="3.8"/>
    <n v="0.85"/>
  </r>
  <r>
    <s v="ENC100957"/>
    <s v="PT67115"/>
    <x v="0"/>
    <x v="1"/>
    <d v="2025-08-19T00:00:00"/>
    <d v="2025-08-22T00:00:00"/>
    <x v="6"/>
    <x v="2"/>
    <x v="3"/>
    <n v="15"/>
    <x v="2"/>
    <s v="Female"/>
    <x v="3"/>
    <n v="2.1"/>
    <n v="4832.74"/>
    <n v="1"/>
    <n v="3.8"/>
    <n v="0.83"/>
  </r>
  <r>
    <s v="ENC100958"/>
    <s v="PT97430"/>
    <x v="4"/>
    <x v="1"/>
    <d v="2025-10-24T00:00:00"/>
    <d v="2025-10-28T00:00:00"/>
    <x v="7"/>
    <x v="0"/>
    <x v="1"/>
    <n v="31"/>
    <x v="4"/>
    <s v="Female"/>
    <x v="0"/>
    <n v="3.5"/>
    <n v="9997.02"/>
    <n v="0"/>
    <n v="3.6"/>
    <n v="0.82"/>
  </r>
  <r>
    <s v="ENC100959"/>
    <s v="PT47062"/>
    <x v="3"/>
    <x v="0"/>
    <d v="2025-05-02T00:00:00"/>
    <d v="2025-05-05T00:00:00"/>
    <x v="3"/>
    <x v="0"/>
    <x v="2"/>
    <n v="44"/>
    <x v="0"/>
    <s v="Female"/>
    <x v="1"/>
    <n v="2.1"/>
    <n v="3889.71"/>
    <n v="0"/>
    <n v="4.4000000000000004"/>
    <n v="0.86"/>
  </r>
  <r>
    <s v="ENC100960"/>
    <s v="PT23809"/>
    <x v="4"/>
    <x v="0"/>
    <d v="2025-10-23T00:00:00"/>
    <d v="2025-10-28T00:00:00"/>
    <x v="5"/>
    <x v="2"/>
    <x v="2"/>
    <n v="13"/>
    <x v="2"/>
    <s v="Female"/>
    <x v="2"/>
    <n v="4.5"/>
    <n v="10272.89"/>
    <n v="0"/>
    <n v="4.2"/>
    <n v="0.78"/>
  </r>
  <r>
    <s v="ENC100961"/>
    <s v="PT46790"/>
    <x v="1"/>
    <x v="3"/>
    <d v="2025-03-31T00:00:00"/>
    <d v="2025-04-03T00:00:00"/>
    <x v="6"/>
    <x v="2"/>
    <x v="7"/>
    <n v="65"/>
    <x v="6"/>
    <s v="Female"/>
    <x v="0"/>
    <n v="2.9"/>
    <n v="6773.14"/>
    <n v="0"/>
    <n v="4.4000000000000004"/>
    <n v="0.81"/>
  </r>
  <r>
    <s v="ENC100962"/>
    <s v="PT85609"/>
    <x v="0"/>
    <x v="1"/>
    <d v="2025-05-28T00:00:00"/>
    <d v="2025-06-01T00:00:00"/>
    <x v="7"/>
    <x v="0"/>
    <x v="9"/>
    <n v="25"/>
    <x v="4"/>
    <s v="Female"/>
    <x v="0"/>
    <n v="3.1"/>
    <n v="8516.59"/>
    <n v="0"/>
    <n v="4.3"/>
    <n v="0.83"/>
  </r>
  <r>
    <s v="ENC100963"/>
    <s v="PT29586"/>
    <x v="4"/>
    <x v="1"/>
    <d v="2025-11-30T00:00:00"/>
    <d v="2025-12-09T00:00:00"/>
    <x v="7"/>
    <x v="0"/>
    <x v="7"/>
    <n v="85"/>
    <x v="3"/>
    <s v="Male"/>
    <x v="3"/>
    <n v="8.8000000000000007"/>
    <n v="23367.24"/>
    <n v="1"/>
    <n v="4.2"/>
    <n v="0.83"/>
  </r>
  <r>
    <s v="ENC100964"/>
    <s v="PT95421"/>
    <x v="1"/>
    <x v="0"/>
    <d v="2025-12-15T00:00:00"/>
    <d v="2025-12-17T00:00:00"/>
    <x v="1"/>
    <x v="2"/>
    <x v="3"/>
    <n v="72"/>
    <x v="6"/>
    <s v="Female"/>
    <x v="0"/>
    <n v="1.7"/>
    <n v="6493.92"/>
    <n v="0"/>
    <n v="4.9000000000000004"/>
    <n v="0.82"/>
  </r>
  <r>
    <s v="ENC100965"/>
    <s v="PT62946"/>
    <x v="0"/>
    <x v="3"/>
    <d v="2025-12-04T00:00:00"/>
    <d v="2025-12-06T00:00:00"/>
    <x v="6"/>
    <x v="2"/>
    <x v="0"/>
    <n v="57"/>
    <x v="1"/>
    <s v="Female"/>
    <x v="1"/>
    <n v="1.8"/>
    <n v="5094.5200000000004"/>
    <n v="0"/>
    <n v="4.7"/>
    <n v="0.88"/>
  </r>
  <r>
    <s v="ENC100966"/>
    <s v="PT64140"/>
    <x v="0"/>
    <x v="3"/>
    <d v="2025-04-26T00:00:00"/>
    <d v="2025-05-03T00:00:00"/>
    <x v="1"/>
    <x v="0"/>
    <x v="8"/>
    <n v="10"/>
    <x v="5"/>
    <s v="Female"/>
    <x v="3"/>
    <n v="6.7"/>
    <n v="22962.26"/>
    <n v="0"/>
    <n v="5"/>
    <n v="0.79"/>
  </r>
  <r>
    <s v="ENC100967"/>
    <s v="PT38533"/>
    <x v="1"/>
    <x v="2"/>
    <d v="2025-11-04T00:00:00"/>
    <d v="2025-11-13T00:00:00"/>
    <x v="7"/>
    <x v="0"/>
    <x v="6"/>
    <n v="2"/>
    <x v="5"/>
    <s v="Male"/>
    <x v="0"/>
    <n v="8.6999999999999993"/>
    <n v="31490.46"/>
    <n v="1"/>
    <n v="4.4000000000000004"/>
    <n v="0.76"/>
  </r>
  <r>
    <s v="ENC100968"/>
    <s v="PT92840"/>
    <x v="0"/>
    <x v="1"/>
    <d v="2025-12-08T00:00:00"/>
    <d v="2025-12-20T00:00:00"/>
    <x v="6"/>
    <x v="2"/>
    <x v="8"/>
    <n v="13"/>
    <x v="2"/>
    <s v="Female"/>
    <x v="1"/>
    <n v="11.1"/>
    <n v="22377.86"/>
    <n v="0"/>
    <n v="3.3"/>
    <n v="0.73"/>
  </r>
  <r>
    <s v="ENC100969"/>
    <s v="PT13245"/>
    <x v="0"/>
    <x v="0"/>
    <d v="2025-12-24T00:00:00"/>
    <d v="2025-12-28T00:00:00"/>
    <x v="5"/>
    <x v="2"/>
    <x v="9"/>
    <n v="45"/>
    <x v="0"/>
    <s v="Female"/>
    <x v="1"/>
    <n v="3.5"/>
    <n v="7949.29"/>
    <n v="0"/>
    <n v="4.4000000000000004"/>
    <n v="0.73"/>
  </r>
  <r>
    <s v="ENC100970"/>
    <s v="PT36880"/>
    <x v="2"/>
    <x v="2"/>
    <d v="2025-01-08T00:00:00"/>
    <d v="2025-01-12T00:00:00"/>
    <x v="7"/>
    <x v="1"/>
    <x v="4"/>
    <n v="71"/>
    <x v="6"/>
    <s v="Male"/>
    <x v="0"/>
    <n v="3.3"/>
    <n v="8298.5499999999993"/>
    <n v="0"/>
    <n v="4.3"/>
    <n v="0.73"/>
  </r>
  <r>
    <s v="ENC100971"/>
    <s v="PT47655"/>
    <x v="4"/>
    <x v="3"/>
    <d v="2025-09-29T00:00:00"/>
    <d v="2025-10-02T00:00:00"/>
    <x v="8"/>
    <x v="2"/>
    <x v="7"/>
    <n v="13"/>
    <x v="2"/>
    <s v="Female"/>
    <x v="3"/>
    <n v="2.7"/>
    <n v="6489.91"/>
    <n v="0"/>
    <n v="5"/>
    <n v="0.77"/>
  </r>
  <r>
    <s v="ENC100972"/>
    <s v="PT52954"/>
    <x v="4"/>
    <x v="3"/>
    <d v="2025-12-30T00:00:00"/>
    <d v="2025-12-31T00:00:00"/>
    <x v="5"/>
    <x v="1"/>
    <x v="1"/>
    <n v="64"/>
    <x v="1"/>
    <s v="Male"/>
    <x v="0"/>
    <n v="0.7"/>
    <n v="1999.43"/>
    <n v="0"/>
    <n v="3.3"/>
    <n v="0.81"/>
  </r>
  <r>
    <s v="ENC100973"/>
    <s v="PT52671"/>
    <x v="3"/>
    <x v="3"/>
    <d v="2025-10-07T00:00:00"/>
    <d v="2025-10-08T00:00:00"/>
    <x v="3"/>
    <x v="2"/>
    <x v="3"/>
    <n v="4"/>
    <x v="5"/>
    <s v="Female"/>
    <x v="0"/>
    <n v="0.2"/>
    <n v="380.5"/>
    <n v="0"/>
    <n v="4"/>
    <n v="0.84"/>
  </r>
  <r>
    <s v="ENC100974"/>
    <s v="PT23313"/>
    <x v="0"/>
    <x v="1"/>
    <d v="2025-03-27T00:00:00"/>
    <d v="2025-03-31T00:00:00"/>
    <x v="6"/>
    <x v="2"/>
    <x v="1"/>
    <n v="24"/>
    <x v="4"/>
    <s v="Male"/>
    <x v="3"/>
    <n v="3.3"/>
    <n v="7670.69"/>
    <n v="0"/>
    <n v="3.5"/>
    <n v="0.83"/>
  </r>
  <r>
    <s v="ENC100975"/>
    <s v="PT30303"/>
    <x v="1"/>
    <x v="2"/>
    <d v="2025-10-06T00:00:00"/>
    <d v="2025-10-08T00:00:00"/>
    <x v="0"/>
    <x v="2"/>
    <x v="2"/>
    <n v="54"/>
    <x v="1"/>
    <s v="Female"/>
    <x v="0"/>
    <n v="1.5"/>
    <n v="3408.73"/>
    <n v="0"/>
    <n v="4.2"/>
    <n v="0.82"/>
  </r>
  <r>
    <s v="ENC100976"/>
    <s v="PT18571"/>
    <x v="3"/>
    <x v="3"/>
    <d v="2025-02-08T00:00:00"/>
    <d v="2025-02-11T00:00:00"/>
    <x v="7"/>
    <x v="2"/>
    <x v="5"/>
    <n v="75"/>
    <x v="3"/>
    <s v="Male"/>
    <x v="3"/>
    <n v="2.2999999999999998"/>
    <n v="5564.51"/>
    <n v="0"/>
    <n v="3.8"/>
    <n v="0.84"/>
  </r>
  <r>
    <s v="ENC100977"/>
    <s v="PT61520"/>
    <x v="1"/>
    <x v="3"/>
    <d v="2025-06-25T00:00:00"/>
    <d v="2025-06-29T00:00:00"/>
    <x v="1"/>
    <x v="1"/>
    <x v="6"/>
    <n v="70"/>
    <x v="6"/>
    <s v="Male"/>
    <x v="0"/>
    <n v="3.5"/>
    <n v="10676.38"/>
    <n v="0"/>
    <n v="4.2"/>
    <n v="0.8"/>
  </r>
  <r>
    <s v="ENC100978"/>
    <s v="PT41577"/>
    <x v="3"/>
    <x v="3"/>
    <d v="2025-08-17T00:00:00"/>
    <d v="2025-08-22T00:00:00"/>
    <x v="8"/>
    <x v="2"/>
    <x v="5"/>
    <n v="48"/>
    <x v="0"/>
    <s v="Female"/>
    <x v="1"/>
    <n v="4.0999999999999996"/>
    <n v="10311.42"/>
    <n v="0"/>
    <n v="3.1"/>
    <n v="0.9"/>
  </r>
  <r>
    <s v="ENC100979"/>
    <s v="PT60918"/>
    <x v="2"/>
    <x v="0"/>
    <d v="2025-06-16T00:00:00"/>
    <d v="2025-06-18T00:00:00"/>
    <x v="9"/>
    <x v="1"/>
    <x v="2"/>
    <n v="3"/>
    <x v="5"/>
    <s v="Female"/>
    <x v="0"/>
    <n v="1.9"/>
    <n v="5028.54"/>
    <n v="0"/>
    <n v="4.4000000000000004"/>
    <n v="0.69"/>
  </r>
  <r>
    <s v="ENC100980"/>
    <s v="PT63073"/>
    <x v="3"/>
    <x v="1"/>
    <d v="2025-09-13T00:00:00"/>
    <d v="2025-09-16T00:00:00"/>
    <x v="2"/>
    <x v="2"/>
    <x v="7"/>
    <n v="26"/>
    <x v="4"/>
    <s v="Female"/>
    <x v="1"/>
    <n v="2.7"/>
    <n v="5512.98"/>
    <n v="0"/>
    <n v="4"/>
    <n v="0.85"/>
  </r>
  <r>
    <s v="ENC100981"/>
    <s v="PT73179"/>
    <x v="3"/>
    <x v="3"/>
    <d v="2025-03-29T00:00:00"/>
    <d v="2025-03-31T00:00:00"/>
    <x v="9"/>
    <x v="1"/>
    <x v="7"/>
    <n v="71"/>
    <x v="6"/>
    <s v="Female"/>
    <x v="3"/>
    <n v="1.5"/>
    <n v="2843.72"/>
    <n v="0"/>
    <n v="4"/>
    <n v="0.83"/>
  </r>
  <r>
    <s v="ENC100982"/>
    <s v="PT59232"/>
    <x v="4"/>
    <x v="0"/>
    <d v="2025-08-10T00:00:00"/>
    <d v="2025-08-16T00:00:00"/>
    <x v="1"/>
    <x v="1"/>
    <x v="3"/>
    <n v="7"/>
    <x v="5"/>
    <s v="Male"/>
    <x v="3"/>
    <n v="5.4"/>
    <n v="13852.39"/>
    <n v="0"/>
    <n v="5"/>
    <n v="0.81"/>
  </r>
  <r>
    <s v="ENC100983"/>
    <s v="PT68314"/>
    <x v="2"/>
    <x v="1"/>
    <d v="2025-08-24T00:00:00"/>
    <d v="2025-08-25T00:00:00"/>
    <x v="3"/>
    <x v="0"/>
    <x v="4"/>
    <n v="64"/>
    <x v="1"/>
    <s v="Male"/>
    <x v="2"/>
    <n v="0.6"/>
    <n v="968.21"/>
    <n v="0"/>
    <n v="3.5"/>
    <n v="0.75"/>
  </r>
  <r>
    <s v="ENC100984"/>
    <s v="PT62842"/>
    <x v="4"/>
    <x v="0"/>
    <d v="2025-08-20T00:00:00"/>
    <d v="2025-08-21T00:00:00"/>
    <x v="0"/>
    <x v="2"/>
    <x v="1"/>
    <n v="64"/>
    <x v="1"/>
    <s v="Male"/>
    <x v="1"/>
    <n v="0.9"/>
    <n v="1852.72"/>
    <n v="1"/>
    <n v="4.0999999999999996"/>
    <n v="0.78"/>
  </r>
  <r>
    <s v="ENC100985"/>
    <s v="PT68718"/>
    <x v="2"/>
    <x v="2"/>
    <d v="2025-04-16T00:00:00"/>
    <d v="2025-04-19T00:00:00"/>
    <x v="8"/>
    <x v="0"/>
    <x v="9"/>
    <n v="68"/>
    <x v="6"/>
    <s v="Male"/>
    <x v="3"/>
    <n v="2.1"/>
    <n v="4363.74"/>
    <n v="0"/>
    <n v="4"/>
    <n v="0.74"/>
  </r>
  <r>
    <s v="ENC100986"/>
    <s v="PT65497"/>
    <x v="0"/>
    <x v="0"/>
    <d v="2025-04-22T00:00:00"/>
    <d v="2025-04-27T00:00:00"/>
    <x v="1"/>
    <x v="2"/>
    <x v="7"/>
    <n v="19"/>
    <x v="4"/>
    <s v="Male"/>
    <x v="1"/>
    <n v="4.0999999999999996"/>
    <n v="10527.22"/>
    <n v="0"/>
    <n v="4"/>
    <n v="0.86"/>
  </r>
  <r>
    <s v="ENC100987"/>
    <s v="PT38458"/>
    <x v="1"/>
    <x v="0"/>
    <d v="2025-04-05T00:00:00"/>
    <d v="2025-04-09T00:00:00"/>
    <x v="0"/>
    <x v="1"/>
    <x v="4"/>
    <n v="22"/>
    <x v="4"/>
    <s v="Male"/>
    <x v="3"/>
    <n v="3.4"/>
    <n v="5448.63"/>
    <n v="0"/>
    <n v="5"/>
    <n v="0.82"/>
  </r>
  <r>
    <s v="ENC100988"/>
    <s v="PT32165"/>
    <x v="1"/>
    <x v="3"/>
    <d v="2025-06-18T00:00:00"/>
    <d v="2025-06-27T00:00:00"/>
    <x v="6"/>
    <x v="2"/>
    <x v="4"/>
    <n v="18"/>
    <x v="4"/>
    <s v="Female"/>
    <x v="1"/>
    <n v="8.9"/>
    <n v="17970.509999999998"/>
    <n v="0"/>
    <n v="3.7"/>
    <n v="0.9"/>
  </r>
  <r>
    <s v="ENC100989"/>
    <s v="PT80868"/>
    <x v="1"/>
    <x v="2"/>
    <d v="2025-08-02T00:00:00"/>
    <d v="2025-08-05T00:00:00"/>
    <x v="9"/>
    <x v="2"/>
    <x v="3"/>
    <n v="35"/>
    <x v="0"/>
    <s v="Female"/>
    <x v="3"/>
    <n v="2.4"/>
    <n v="5241.26"/>
    <n v="0"/>
    <n v="3.6"/>
    <n v="0.83"/>
  </r>
  <r>
    <s v="ENC100990"/>
    <s v="PT40842"/>
    <x v="1"/>
    <x v="3"/>
    <d v="2025-05-13T00:00:00"/>
    <d v="2025-05-16T00:00:00"/>
    <x v="3"/>
    <x v="2"/>
    <x v="4"/>
    <n v="47"/>
    <x v="0"/>
    <s v="Female"/>
    <x v="0"/>
    <n v="2.9"/>
    <n v="4620.92"/>
    <n v="0"/>
    <n v="4.8"/>
    <n v="0.82"/>
  </r>
  <r>
    <s v="ENC100991"/>
    <s v="PT59422"/>
    <x v="4"/>
    <x v="2"/>
    <d v="2025-05-30T00:00:00"/>
    <d v="2025-06-01T00:00:00"/>
    <x v="0"/>
    <x v="0"/>
    <x v="5"/>
    <n v="10"/>
    <x v="5"/>
    <s v="Female"/>
    <x v="1"/>
    <n v="1.1000000000000001"/>
    <n v="2267.4299999999998"/>
    <n v="0"/>
    <n v="3.7"/>
    <n v="0.77"/>
  </r>
  <r>
    <s v="ENC100992"/>
    <s v="PT27727"/>
    <x v="3"/>
    <x v="1"/>
    <d v="2025-04-15T00:00:00"/>
    <d v="2025-04-17T00:00:00"/>
    <x v="2"/>
    <x v="1"/>
    <x v="1"/>
    <n v="51"/>
    <x v="1"/>
    <s v="Female"/>
    <x v="3"/>
    <n v="1.4"/>
    <n v="2975.8"/>
    <n v="1"/>
    <n v="2.9"/>
    <n v="0.86"/>
  </r>
  <r>
    <s v="ENC100993"/>
    <s v="PT48827"/>
    <x v="0"/>
    <x v="2"/>
    <d v="2025-03-21T00:00:00"/>
    <d v="2025-03-23T00:00:00"/>
    <x v="3"/>
    <x v="2"/>
    <x v="2"/>
    <n v="21"/>
    <x v="4"/>
    <s v="Female"/>
    <x v="0"/>
    <n v="1.4"/>
    <n v="3116.35"/>
    <n v="0"/>
    <n v="3.3"/>
    <n v="0.78"/>
  </r>
  <r>
    <s v="ENC100994"/>
    <s v="PT57669"/>
    <x v="3"/>
    <x v="2"/>
    <d v="2025-08-28T00:00:00"/>
    <d v="2025-09-06T00:00:00"/>
    <x v="4"/>
    <x v="0"/>
    <x v="9"/>
    <n v="51"/>
    <x v="1"/>
    <s v="Female"/>
    <x v="0"/>
    <n v="8.1"/>
    <n v="29381.19"/>
    <n v="0"/>
    <n v="2.9"/>
    <n v="0.85"/>
  </r>
  <r>
    <s v="ENC100995"/>
    <s v="PT66340"/>
    <x v="3"/>
    <x v="0"/>
    <d v="2025-10-25T00:00:00"/>
    <d v="2025-10-29T00:00:00"/>
    <x v="1"/>
    <x v="1"/>
    <x v="6"/>
    <n v="27"/>
    <x v="4"/>
    <s v="Female"/>
    <x v="2"/>
    <n v="3.8"/>
    <n v="11097.7"/>
    <n v="0"/>
    <n v="2.8"/>
    <n v="0.84"/>
  </r>
  <r>
    <s v="ENC100996"/>
    <s v="PT57373"/>
    <x v="2"/>
    <x v="3"/>
    <d v="2025-04-17T00:00:00"/>
    <d v="2025-04-23T00:00:00"/>
    <x v="3"/>
    <x v="2"/>
    <x v="3"/>
    <n v="86"/>
    <x v="3"/>
    <s v="Female"/>
    <x v="1"/>
    <n v="5.5"/>
    <n v="10268.68"/>
    <n v="0"/>
    <n v="3.5"/>
    <n v="0.76"/>
  </r>
  <r>
    <s v="ENC100997"/>
    <s v="PT42458"/>
    <x v="4"/>
    <x v="1"/>
    <d v="2025-11-11T00:00:00"/>
    <d v="2025-11-14T00:00:00"/>
    <x v="5"/>
    <x v="2"/>
    <x v="7"/>
    <n v="29"/>
    <x v="4"/>
    <s v="Female"/>
    <x v="0"/>
    <n v="2.2999999999999998"/>
    <n v="5698.02"/>
    <n v="0"/>
    <n v="3.9"/>
    <n v="0.79"/>
  </r>
  <r>
    <s v="ENC100998"/>
    <s v="PT96558"/>
    <x v="3"/>
    <x v="0"/>
    <d v="2025-07-28T00:00:00"/>
    <d v="2025-08-05T00:00:00"/>
    <x v="8"/>
    <x v="0"/>
    <x v="5"/>
    <n v="79"/>
    <x v="3"/>
    <s v="Female"/>
    <x v="0"/>
    <n v="7.2"/>
    <n v="19617.16"/>
    <n v="0"/>
    <n v="4.4000000000000004"/>
    <n v="0.86"/>
  </r>
  <r>
    <s v="ENC100999"/>
    <s v="PT56146"/>
    <x v="2"/>
    <x v="1"/>
    <d v="2025-03-03T00:00:00"/>
    <d v="2025-03-05T00:00:00"/>
    <x v="2"/>
    <x v="0"/>
    <x v="0"/>
    <n v="15"/>
    <x v="2"/>
    <s v="Female"/>
    <x v="0"/>
    <n v="1.4"/>
    <n v="3858.16"/>
    <n v="0"/>
    <n v="4.3"/>
    <n v="0.75"/>
  </r>
  <r>
    <s v="ENC101000"/>
    <s v="PT82746"/>
    <x v="2"/>
    <x v="1"/>
    <d v="2025-05-14T00:00:00"/>
    <d v="2025-05-16T00:00:00"/>
    <x v="3"/>
    <x v="2"/>
    <x v="0"/>
    <n v="7"/>
    <x v="5"/>
    <s v="Male"/>
    <x v="1"/>
    <n v="1.7"/>
    <n v="3383.97"/>
    <n v="1"/>
    <n v="4.0999999999999996"/>
    <n v="0.81"/>
  </r>
  <r>
    <s v="ENC101001"/>
    <s v="PT76302"/>
    <x v="3"/>
    <x v="2"/>
    <d v="2025-01-03T00:00:00"/>
    <d v="2025-01-06T00:00:00"/>
    <x v="9"/>
    <x v="0"/>
    <x v="6"/>
    <n v="17"/>
    <x v="2"/>
    <s v="Male"/>
    <x v="2"/>
    <n v="2.1"/>
    <n v="4833.83"/>
    <n v="0"/>
    <n v="3.4"/>
    <n v="0.86"/>
  </r>
  <r>
    <s v="ENC101002"/>
    <s v="PT60247"/>
    <x v="0"/>
    <x v="1"/>
    <d v="2025-01-15T00:00:00"/>
    <d v="2025-01-20T00:00:00"/>
    <x v="1"/>
    <x v="2"/>
    <x v="9"/>
    <n v="38"/>
    <x v="0"/>
    <s v="Female"/>
    <x v="2"/>
    <n v="4.2"/>
    <n v="9433.77"/>
    <n v="0"/>
    <n v="4.4000000000000004"/>
    <n v="0.9"/>
  </r>
  <r>
    <s v="ENC101003"/>
    <s v="PT89775"/>
    <x v="0"/>
    <x v="3"/>
    <d v="2025-05-03T00:00:00"/>
    <d v="2025-05-08T00:00:00"/>
    <x v="8"/>
    <x v="1"/>
    <x v="6"/>
    <n v="82"/>
    <x v="3"/>
    <s v="Female"/>
    <x v="1"/>
    <n v="4.3"/>
    <n v="10278.65"/>
    <n v="0"/>
    <n v="4.7"/>
    <n v="0.8"/>
  </r>
  <r>
    <s v="ENC101004"/>
    <s v="PT21543"/>
    <x v="3"/>
    <x v="0"/>
    <d v="2025-06-15T00:00:00"/>
    <d v="2025-06-18T00:00:00"/>
    <x v="6"/>
    <x v="1"/>
    <x v="3"/>
    <n v="16"/>
    <x v="2"/>
    <s v="Female"/>
    <x v="1"/>
    <n v="2.7"/>
    <n v="7411.3"/>
    <n v="0"/>
    <n v="4.0999999999999996"/>
    <n v="0.88"/>
  </r>
  <r>
    <s v="ENC101005"/>
    <s v="PT92894"/>
    <x v="0"/>
    <x v="0"/>
    <d v="2025-10-19T00:00:00"/>
    <d v="2025-10-21T00:00:00"/>
    <x v="0"/>
    <x v="0"/>
    <x v="5"/>
    <n v="71"/>
    <x v="6"/>
    <s v="Female"/>
    <x v="0"/>
    <n v="1.7"/>
    <n v="3983.69"/>
    <n v="0"/>
    <n v="4.2"/>
    <n v="0.77"/>
  </r>
  <r>
    <s v="ENC101006"/>
    <s v="PT86519"/>
    <x v="3"/>
    <x v="0"/>
    <d v="2025-02-19T00:00:00"/>
    <d v="2025-02-20T00:00:00"/>
    <x v="2"/>
    <x v="2"/>
    <x v="5"/>
    <n v="63"/>
    <x v="1"/>
    <s v="Female"/>
    <x v="3"/>
    <n v="0.5"/>
    <n v="1050.25"/>
    <n v="0"/>
    <n v="3.1"/>
    <n v="0.9"/>
  </r>
  <r>
    <s v="ENC101007"/>
    <s v="PT55326"/>
    <x v="1"/>
    <x v="0"/>
    <d v="2025-11-03T00:00:00"/>
    <d v="2025-11-11T00:00:00"/>
    <x v="5"/>
    <x v="2"/>
    <x v="4"/>
    <n v="31"/>
    <x v="4"/>
    <s v="Male"/>
    <x v="0"/>
    <n v="7.1"/>
    <n v="20640.03"/>
    <n v="0"/>
    <n v="4.3"/>
    <n v="0.79"/>
  </r>
  <r>
    <s v="ENC101008"/>
    <s v="PT76004"/>
    <x v="1"/>
    <x v="3"/>
    <d v="2025-03-27T00:00:00"/>
    <d v="2025-03-28T00:00:00"/>
    <x v="3"/>
    <x v="2"/>
    <x v="2"/>
    <n v="30"/>
    <x v="4"/>
    <s v="Female"/>
    <x v="0"/>
    <n v="0.3"/>
    <n v="480.06"/>
    <n v="0"/>
    <n v="4.8"/>
    <n v="0.84"/>
  </r>
  <r>
    <s v="ENC101009"/>
    <s v="PT56824"/>
    <x v="0"/>
    <x v="2"/>
    <d v="2025-02-20T00:00:00"/>
    <d v="2025-02-21T00:00:00"/>
    <x v="3"/>
    <x v="2"/>
    <x v="9"/>
    <n v="86"/>
    <x v="3"/>
    <s v="Female"/>
    <x v="2"/>
    <n v="0.8"/>
    <n v="1301.9100000000001"/>
    <n v="0"/>
    <n v="3.9"/>
    <n v="0.79"/>
  </r>
  <r>
    <s v="ENC101010"/>
    <s v="PT34188"/>
    <x v="1"/>
    <x v="0"/>
    <d v="2025-09-13T00:00:00"/>
    <d v="2025-09-16T00:00:00"/>
    <x v="9"/>
    <x v="0"/>
    <x v="3"/>
    <n v="65"/>
    <x v="6"/>
    <s v="Male"/>
    <x v="3"/>
    <n v="2.6"/>
    <n v="6281.54"/>
    <n v="0"/>
    <n v="3.5"/>
    <n v="0.84"/>
  </r>
  <r>
    <s v="ENC101011"/>
    <s v="PT81987"/>
    <x v="3"/>
    <x v="2"/>
    <d v="2025-10-10T00:00:00"/>
    <d v="2025-10-12T00:00:00"/>
    <x v="5"/>
    <x v="2"/>
    <x v="2"/>
    <n v="21"/>
    <x v="4"/>
    <s v="Female"/>
    <x v="0"/>
    <n v="1.4"/>
    <n v="3759.85"/>
    <n v="0"/>
    <n v="3.8"/>
    <n v="0.83"/>
  </r>
  <r>
    <s v="ENC101012"/>
    <s v="PT32132"/>
    <x v="1"/>
    <x v="3"/>
    <d v="2025-08-09T00:00:00"/>
    <d v="2025-08-13T00:00:00"/>
    <x v="1"/>
    <x v="2"/>
    <x v="5"/>
    <n v="82"/>
    <x v="3"/>
    <s v="Female"/>
    <x v="1"/>
    <n v="3.1"/>
    <n v="11612.75"/>
    <n v="0"/>
    <n v="3.6"/>
    <n v="0.79"/>
  </r>
  <r>
    <s v="ENC101013"/>
    <s v="PT38300"/>
    <x v="2"/>
    <x v="3"/>
    <d v="2025-02-12T00:00:00"/>
    <d v="2025-02-19T00:00:00"/>
    <x v="5"/>
    <x v="2"/>
    <x v="5"/>
    <n v="37"/>
    <x v="0"/>
    <s v="Female"/>
    <x v="1"/>
    <n v="6.6"/>
    <n v="17506.240000000002"/>
    <n v="0"/>
    <n v="3.7"/>
    <n v="0.74"/>
  </r>
  <r>
    <s v="ENC101014"/>
    <s v="PT56735"/>
    <x v="4"/>
    <x v="1"/>
    <d v="2025-02-12T00:00:00"/>
    <d v="2025-02-14T00:00:00"/>
    <x v="9"/>
    <x v="2"/>
    <x v="3"/>
    <n v="7"/>
    <x v="5"/>
    <s v="Male"/>
    <x v="0"/>
    <n v="1.6"/>
    <n v="3337.89"/>
    <n v="0"/>
    <n v="4.3"/>
    <n v="0.84"/>
  </r>
  <r>
    <s v="ENC101015"/>
    <s v="PT85363"/>
    <x v="3"/>
    <x v="1"/>
    <d v="2025-05-23T00:00:00"/>
    <d v="2025-05-24T00:00:00"/>
    <x v="3"/>
    <x v="2"/>
    <x v="9"/>
    <n v="74"/>
    <x v="6"/>
    <s v="Female"/>
    <x v="0"/>
    <n v="0.9"/>
    <n v="1669.41"/>
    <n v="0"/>
    <n v="3.9"/>
    <n v="0.86"/>
  </r>
  <r>
    <s v="ENC101016"/>
    <s v="PT44552"/>
    <x v="4"/>
    <x v="2"/>
    <d v="2025-06-14T00:00:00"/>
    <d v="2025-06-15T00:00:00"/>
    <x v="3"/>
    <x v="0"/>
    <x v="8"/>
    <n v="79"/>
    <x v="3"/>
    <s v="Male"/>
    <x v="0"/>
    <n v="0.4"/>
    <n v="732.82"/>
    <n v="1"/>
    <n v="4.3"/>
    <n v="0.73"/>
  </r>
  <r>
    <s v="ENC101017"/>
    <s v="PT54472"/>
    <x v="1"/>
    <x v="3"/>
    <d v="2025-12-31T00:00:00"/>
    <d v="2026-01-02T00:00:00"/>
    <x v="9"/>
    <x v="0"/>
    <x v="1"/>
    <n v="40"/>
    <x v="0"/>
    <s v="Male"/>
    <x v="1"/>
    <n v="1.6"/>
    <n v="4190.33"/>
    <n v="0"/>
    <n v="4.0999999999999996"/>
    <n v="0.86"/>
  </r>
  <r>
    <s v="ENC101018"/>
    <s v="PT13749"/>
    <x v="1"/>
    <x v="0"/>
    <d v="2025-04-15T00:00:00"/>
    <d v="2025-04-16T00:00:00"/>
    <x v="9"/>
    <x v="2"/>
    <x v="8"/>
    <n v="64"/>
    <x v="1"/>
    <s v="Female"/>
    <x v="1"/>
    <n v="0.7"/>
    <n v="1687.97"/>
    <n v="0"/>
    <n v="3.4"/>
    <n v="0.78"/>
  </r>
  <r>
    <s v="ENC101019"/>
    <s v="PT20426"/>
    <x v="0"/>
    <x v="2"/>
    <d v="2025-03-12T00:00:00"/>
    <d v="2025-03-15T00:00:00"/>
    <x v="6"/>
    <x v="1"/>
    <x v="0"/>
    <n v="21"/>
    <x v="4"/>
    <s v="Male"/>
    <x v="1"/>
    <n v="3"/>
    <n v="7523.33"/>
    <n v="0"/>
    <n v="3.6"/>
    <n v="0.83"/>
  </r>
  <r>
    <s v="ENC101020"/>
    <s v="PT15035"/>
    <x v="3"/>
    <x v="0"/>
    <d v="2025-12-12T00:00:00"/>
    <d v="2025-12-13T00:00:00"/>
    <x v="6"/>
    <x v="1"/>
    <x v="5"/>
    <n v="77"/>
    <x v="3"/>
    <s v="Female"/>
    <x v="0"/>
    <n v="0.6"/>
    <n v="1677.61"/>
    <n v="0"/>
    <n v="3.6"/>
    <n v="0.86"/>
  </r>
  <r>
    <s v="ENC101021"/>
    <s v="PT16485"/>
    <x v="3"/>
    <x v="2"/>
    <d v="2025-02-26T00:00:00"/>
    <d v="2025-03-01T00:00:00"/>
    <x v="5"/>
    <x v="2"/>
    <x v="4"/>
    <n v="33"/>
    <x v="4"/>
    <s v="Female"/>
    <x v="2"/>
    <n v="2.2000000000000002"/>
    <n v="5319.89"/>
    <n v="1"/>
    <n v="3.8"/>
    <n v="0.86"/>
  </r>
  <r>
    <s v="ENC101022"/>
    <s v="PT88165"/>
    <x v="4"/>
    <x v="0"/>
    <d v="2025-01-10T00:00:00"/>
    <d v="2025-01-15T00:00:00"/>
    <x v="7"/>
    <x v="0"/>
    <x v="5"/>
    <n v="24"/>
    <x v="4"/>
    <s v="Female"/>
    <x v="1"/>
    <n v="4.2"/>
    <n v="11379.55"/>
    <n v="0"/>
    <n v="5"/>
    <n v="0.85"/>
  </r>
  <r>
    <s v="ENC101023"/>
    <s v="PT85778"/>
    <x v="0"/>
    <x v="2"/>
    <d v="2025-06-04T00:00:00"/>
    <d v="2025-06-07T00:00:00"/>
    <x v="8"/>
    <x v="2"/>
    <x v="1"/>
    <n v="45"/>
    <x v="0"/>
    <s v="Male"/>
    <x v="3"/>
    <n v="2.8"/>
    <n v="7087.89"/>
    <n v="0"/>
    <n v="5"/>
    <n v="0.77"/>
  </r>
  <r>
    <s v="ENC101024"/>
    <s v="PT83968"/>
    <x v="1"/>
    <x v="1"/>
    <d v="2025-05-27T00:00:00"/>
    <d v="2025-06-01T00:00:00"/>
    <x v="1"/>
    <x v="2"/>
    <x v="8"/>
    <n v="24"/>
    <x v="4"/>
    <s v="Female"/>
    <x v="0"/>
    <n v="4.5999999999999996"/>
    <n v="16555.02"/>
    <n v="0"/>
    <n v="4.4000000000000004"/>
    <n v="0.84"/>
  </r>
  <r>
    <s v="ENC101025"/>
    <s v="PT15001"/>
    <x v="0"/>
    <x v="1"/>
    <d v="2025-08-15T00:00:00"/>
    <d v="2025-08-18T00:00:00"/>
    <x v="8"/>
    <x v="2"/>
    <x v="1"/>
    <n v="56"/>
    <x v="1"/>
    <s v="Female"/>
    <x v="1"/>
    <n v="3"/>
    <n v="7887.72"/>
    <n v="0"/>
    <n v="4"/>
    <n v="0.85"/>
  </r>
  <r>
    <s v="ENC101026"/>
    <s v="PT16987"/>
    <x v="0"/>
    <x v="3"/>
    <d v="2025-11-17T00:00:00"/>
    <d v="2025-11-18T00:00:00"/>
    <x v="2"/>
    <x v="2"/>
    <x v="5"/>
    <n v="68"/>
    <x v="6"/>
    <s v="Male"/>
    <x v="3"/>
    <n v="0.5"/>
    <n v="979.79"/>
    <n v="0"/>
    <n v="3.1"/>
    <n v="0.77"/>
  </r>
  <r>
    <s v="ENC101027"/>
    <s v="PT35254"/>
    <x v="4"/>
    <x v="1"/>
    <d v="2025-12-07T00:00:00"/>
    <d v="2025-12-08T00:00:00"/>
    <x v="3"/>
    <x v="1"/>
    <x v="1"/>
    <n v="36"/>
    <x v="0"/>
    <s v="Female"/>
    <x v="0"/>
    <n v="0.4"/>
    <n v="808.77"/>
    <n v="0"/>
    <n v="3.8"/>
    <n v="0.75"/>
  </r>
  <r>
    <s v="ENC101028"/>
    <s v="PT60875"/>
    <x v="2"/>
    <x v="2"/>
    <d v="2025-04-16T00:00:00"/>
    <d v="2025-04-17T00:00:00"/>
    <x v="3"/>
    <x v="1"/>
    <x v="3"/>
    <n v="71"/>
    <x v="6"/>
    <s v="Male"/>
    <x v="0"/>
    <n v="1"/>
    <n v="1811.18"/>
    <n v="0"/>
    <n v="3.2"/>
    <n v="0.74"/>
  </r>
  <r>
    <s v="ENC101029"/>
    <s v="PT40071"/>
    <x v="3"/>
    <x v="3"/>
    <d v="2025-12-24T00:00:00"/>
    <d v="2026-01-05T00:00:00"/>
    <x v="4"/>
    <x v="0"/>
    <x v="9"/>
    <n v="39"/>
    <x v="0"/>
    <s v="Male"/>
    <x v="0"/>
    <n v="11.2"/>
    <n v="38637.660000000003"/>
    <n v="0"/>
    <n v="4.5999999999999996"/>
    <n v="0.85"/>
  </r>
  <r>
    <s v="ENC101030"/>
    <s v="PT53879"/>
    <x v="1"/>
    <x v="1"/>
    <d v="2025-08-19T00:00:00"/>
    <d v="2025-08-24T00:00:00"/>
    <x v="6"/>
    <x v="0"/>
    <x v="5"/>
    <n v="88"/>
    <x v="3"/>
    <s v="Male"/>
    <x v="0"/>
    <n v="4.5"/>
    <n v="11446.88"/>
    <n v="0"/>
    <n v="2.9"/>
    <n v="0.76"/>
  </r>
  <r>
    <s v="ENC101031"/>
    <s v="PT25569"/>
    <x v="4"/>
    <x v="1"/>
    <d v="2025-01-26T00:00:00"/>
    <d v="2025-02-16T00:00:00"/>
    <x v="4"/>
    <x v="0"/>
    <x v="8"/>
    <n v="24"/>
    <x v="4"/>
    <s v="Male"/>
    <x v="1"/>
    <n v="21"/>
    <n v="74492.649999999994"/>
    <n v="0"/>
    <n v="3.8"/>
    <n v="0.8"/>
  </r>
  <r>
    <s v="ENC101032"/>
    <s v="PT75769"/>
    <x v="1"/>
    <x v="2"/>
    <d v="2025-12-09T00:00:00"/>
    <d v="2025-12-10T00:00:00"/>
    <x v="3"/>
    <x v="1"/>
    <x v="8"/>
    <n v="64"/>
    <x v="1"/>
    <s v="Male"/>
    <x v="0"/>
    <n v="0.6"/>
    <n v="1073.74"/>
    <n v="0"/>
    <n v="3.2"/>
    <n v="0.76"/>
  </r>
  <r>
    <s v="ENC101033"/>
    <s v="PT38250"/>
    <x v="1"/>
    <x v="3"/>
    <d v="2025-02-20T00:00:00"/>
    <d v="2025-02-24T00:00:00"/>
    <x v="9"/>
    <x v="2"/>
    <x v="5"/>
    <n v="48"/>
    <x v="0"/>
    <s v="Female"/>
    <x v="0"/>
    <n v="3.9"/>
    <n v="8006.66"/>
    <n v="0"/>
    <n v="3.9"/>
    <n v="0.87"/>
  </r>
  <r>
    <s v="ENC101034"/>
    <s v="PT15988"/>
    <x v="1"/>
    <x v="2"/>
    <d v="2025-08-03T00:00:00"/>
    <d v="2025-08-08T00:00:00"/>
    <x v="2"/>
    <x v="2"/>
    <x v="6"/>
    <n v="85"/>
    <x v="3"/>
    <s v="Male"/>
    <x v="1"/>
    <n v="4.8"/>
    <n v="9037.2199999999993"/>
    <n v="1"/>
    <n v="4.3"/>
    <n v="0.84"/>
  </r>
  <r>
    <s v="ENC101035"/>
    <s v="PT76841"/>
    <x v="2"/>
    <x v="1"/>
    <d v="2025-10-16T00:00:00"/>
    <d v="2025-10-25T00:00:00"/>
    <x v="1"/>
    <x v="0"/>
    <x v="2"/>
    <n v="19"/>
    <x v="4"/>
    <s v="Male"/>
    <x v="0"/>
    <n v="8.9"/>
    <n v="30923.98"/>
    <n v="1"/>
    <n v="4.3"/>
    <n v="0.83"/>
  </r>
  <r>
    <s v="ENC101036"/>
    <s v="PT91250"/>
    <x v="1"/>
    <x v="2"/>
    <d v="2025-04-02T00:00:00"/>
    <d v="2025-04-05T00:00:00"/>
    <x v="3"/>
    <x v="2"/>
    <x v="7"/>
    <n v="17"/>
    <x v="2"/>
    <s v="Male"/>
    <x v="0"/>
    <n v="2.4"/>
    <n v="4243.17"/>
    <n v="0"/>
    <n v="3.7"/>
    <n v="0.85"/>
  </r>
  <r>
    <s v="ENC101037"/>
    <s v="PT11321"/>
    <x v="2"/>
    <x v="3"/>
    <d v="2025-04-09T00:00:00"/>
    <d v="2025-04-13T00:00:00"/>
    <x v="6"/>
    <x v="2"/>
    <x v="3"/>
    <n v="78"/>
    <x v="3"/>
    <s v="Male"/>
    <x v="1"/>
    <n v="3.3"/>
    <n v="7934.67"/>
    <n v="0"/>
    <n v="4.4000000000000004"/>
    <n v="0.74"/>
  </r>
  <r>
    <s v="ENC101038"/>
    <s v="PT49300"/>
    <x v="3"/>
    <x v="3"/>
    <d v="2025-06-23T00:00:00"/>
    <d v="2025-06-30T00:00:00"/>
    <x v="7"/>
    <x v="2"/>
    <x v="3"/>
    <n v="81"/>
    <x v="3"/>
    <s v="Female"/>
    <x v="0"/>
    <n v="6.9"/>
    <n v="20372.95"/>
    <n v="0"/>
    <n v="3.5"/>
    <n v="0.81"/>
  </r>
  <r>
    <s v="ENC101039"/>
    <s v="PT84444"/>
    <x v="3"/>
    <x v="0"/>
    <d v="2025-11-19T00:00:00"/>
    <d v="2025-11-22T00:00:00"/>
    <x v="0"/>
    <x v="0"/>
    <x v="1"/>
    <n v="68"/>
    <x v="6"/>
    <s v="Female"/>
    <x v="0"/>
    <n v="2.5"/>
    <n v="5571.49"/>
    <n v="0"/>
    <n v="4"/>
    <n v="0.85"/>
  </r>
  <r>
    <s v="ENC101040"/>
    <s v="PT73554"/>
    <x v="2"/>
    <x v="1"/>
    <d v="2025-03-23T00:00:00"/>
    <d v="2025-03-26T00:00:00"/>
    <x v="6"/>
    <x v="2"/>
    <x v="0"/>
    <n v="43"/>
    <x v="0"/>
    <s v="Female"/>
    <x v="0"/>
    <n v="2.6"/>
    <n v="7584.95"/>
    <n v="0"/>
    <n v="4.5"/>
    <n v="0.75"/>
  </r>
  <r>
    <s v="ENC101041"/>
    <s v="PT87088"/>
    <x v="1"/>
    <x v="2"/>
    <d v="2025-08-31T00:00:00"/>
    <d v="2025-09-02T00:00:00"/>
    <x v="3"/>
    <x v="2"/>
    <x v="8"/>
    <n v="37"/>
    <x v="0"/>
    <s v="Female"/>
    <x v="0"/>
    <n v="1.5"/>
    <n v="2903.85"/>
    <n v="1"/>
    <n v="3.9"/>
    <n v="0.87"/>
  </r>
  <r>
    <s v="ENC101042"/>
    <s v="PT47368"/>
    <x v="1"/>
    <x v="2"/>
    <d v="2025-06-15T00:00:00"/>
    <d v="2025-06-21T00:00:00"/>
    <x v="7"/>
    <x v="2"/>
    <x v="8"/>
    <n v="60"/>
    <x v="1"/>
    <s v="Male"/>
    <x v="1"/>
    <n v="5.0999999999999996"/>
    <n v="16378.7"/>
    <n v="0"/>
    <n v="3.6"/>
    <n v="0.78"/>
  </r>
  <r>
    <s v="ENC101043"/>
    <s v="PT43503"/>
    <x v="4"/>
    <x v="0"/>
    <d v="2025-02-10T00:00:00"/>
    <d v="2025-02-14T00:00:00"/>
    <x v="8"/>
    <x v="2"/>
    <x v="6"/>
    <n v="67"/>
    <x v="6"/>
    <s v="Male"/>
    <x v="0"/>
    <n v="3.6"/>
    <n v="10687.62"/>
    <n v="1"/>
    <n v="3.7"/>
    <n v="0.86"/>
  </r>
  <r>
    <s v="ENC101044"/>
    <s v="PT73825"/>
    <x v="3"/>
    <x v="2"/>
    <d v="2025-09-17T00:00:00"/>
    <d v="2025-09-30T00:00:00"/>
    <x v="7"/>
    <x v="1"/>
    <x v="3"/>
    <n v="25"/>
    <x v="4"/>
    <s v="Female"/>
    <x v="0"/>
    <n v="12.5"/>
    <n v="40417.67"/>
    <n v="0"/>
    <n v="4.3"/>
    <n v="0.89"/>
  </r>
  <r>
    <s v="ENC101045"/>
    <s v="PT23825"/>
    <x v="3"/>
    <x v="1"/>
    <d v="2025-10-31T00:00:00"/>
    <d v="2025-11-05T00:00:00"/>
    <x v="8"/>
    <x v="2"/>
    <x v="7"/>
    <n v="0"/>
    <x v="5"/>
    <s v="Female"/>
    <x v="2"/>
    <n v="4.0999999999999996"/>
    <n v="7718.34"/>
    <n v="0"/>
    <n v="3.2"/>
    <n v="0.83"/>
  </r>
  <r>
    <s v="ENC101046"/>
    <s v="PT31547"/>
    <x v="4"/>
    <x v="1"/>
    <d v="2025-07-30T00:00:00"/>
    <d v="2025-08-02T00:00:00"/>
    <x v="6"/>
    <x v="0"/>
    <x v="7"/>
    <n v="6"/>
    <x v="5"/>
    <s v="Male"/>
    <x v="3"/>
    <n v="2.6"/>
    <n v="5158.8100000000004"/>
    <n v="0"/>
    <n v="3.3"/>
    <n v="0.85"/>
  </r>
  <r>
    <s v="ENC101047"/>
    <s v="PT64075"/>
    <x v="4"/>
    <x v="1"/>
    <d v="2025-03-06T00:00:00"/>
    <d v="2025-03-11T00:00:00"/>
    <x v="4"/>
    <x v="0"/>
    <x v="1"/>
    <n v="31"/>
    <x v="4"/>
    <s v="Female"/>
    <x v="0"/>
    <n v="4.7"/>
    <n v="21936.02"/>
    <n v="0"/>
    <n v="4.2"/>
    <n v="0.75"/>
  </r>
  <r>
    <s v="ENC101048"/>
    <s v="PT70160"/>
    <x v="0"/>
    <x v="0"/>
    <d v="2025-02-26T00:00:00"/>
    <d v="2025-03-02T00:00:00"/>
    <x v="7"/>
    <x v="2"/>
    <x v="2"/>
    <n v="62"/>
    <x v="1"/>
    <s v="Male"/>
    <x v="0"/>
    <n v="3.7"/>
    <n v="10931"/>
    <n v="0"/>
    <n v="3.6"/>
    <n v="0.81"/>
  </r>
  <r>
    <s v="ENC101049"/>
    <s v="PT20770"/>
    <x v="4"/>
    <x v="1"/>
    <d v="2025-06-04T00:00:00"/>
    <d v="2025-06-05T00:00:00"/>
    <x v="6"/>
    <x v="0"/>
    <x v="9"/>
    <n v="40"/>
    <x v="0"/>
    <s v="Male"/>
    <x v="1"/>
    <n v="0.9"/>
    <n v="1839.32"/>
    <n v="0"/>
    <n v="3"/>
    <n v="0.73"/>
  </r>
  <r>
    <s v="ENC101050"/>
    <s v="PT55747"/>
    <x v="3"/>
    <x v="0"/>
    <d v="2025-07-04T00:00:00"/>
    <d v="2025-07-06T00:00:00"/>
    <x v="0"/>
    <x v="0"/>
    <x v="7"/>
    <n v="56"/>
    <x v="1"/>
    <s v="Female"/>
    <x v="3"/>
    <n v="1.8"/>
    <n v="3344.96"/>
    <n v="0"/>
    <n v="4.7"/>
    <n v="0.91"/>
  </r>
  <r>
    <s v="ENC101051"/>
    <s v="PT42842"/>
    <x v="4"/>
    <x v="1"/>
    <d v="2025-07-21T00:00:00"/>
    <d v="2025-07-27T00:00:00"/>
    <x v="2"/>
    <x v="0"/>
    <x v="4"/>
    <n v="42"/>
    <x v="0"/>
    <s v="Female"/>
    <x v="3"/>
    <n v="5.8"/>
    <n v="13143.71"/>
    <n v="0"/>
    <n v="3.2"/>
    <n v="0.71"/>
  </r>
  <r>
    <s v="ENC101052"/>
    <s v="PT55156"/>
    <x v="4"/>
    <x v="3"/>
    <d v="2025-03-30T00:00:00"/>
    <d v="2025-04-02T00:00:00"/>
    <x v="7"/>
    <x v="2"/>
    <x v="2"/>
    <n v="22"/>
    <x v="4"/>
    <s v="Male"/>
    <x v="0"/>
    <n v="2.9"/>
    <n v="8778.23"/>
    <n v="0"/>
    <n v="3.8"/>
    <n v="0.72"/>
  </r>
  <r>
    <s v="ENC101053"/>
    <s v="PT96257"/>
    <x v="0"/>
    <x v="2"/>
    <d v="2025-07-02T00:00:00"/>
    <d v="2025-07-03T00:00:00"/>
    <x v="0"/>
    <x v="2"/>
    <x v="8"/>
    <n v="68"/>
    <x v="6"/>
    <s v="Female"/>
    <x v="0"/>
    <n v="0.2"/>
    <n v="453.5"/>
    <n v="1"/>
    <n v="3.5"/>
    <n v="0.77"/>
  </r>
  <r>
    <s v="ENC101054"/>
    <s v="PT16894"/>
    <x v="1"/>
    <x v="3"/>
    <d v="2025-04-18T00:00:00"/>
    <d v="2025-04-21T00:00:00"/>
    <x v="9"/>
    <x v="1"/>
    <x v="2"/>
    <n v="65"/>
    <x v="6"/>
    <s v="Male"/>
    <x v="0"/>
    <n v="3"/>
    <n v="6484.54"/>
    <n v="1"/>
    <n v="3.7"/>
    <n v="0.87"/>
  </r>
  <r>
    <s v="ENC101055"/>
    <s v="PT99590"/>
    <x v="4"/>
    <x v="1"/>
    <d v="2025-09-08T00:00:00"/>
    <d v="2025-09-11T00:00:00"/>
    <x v="0"/>
    <x v="0"/>
    <x v="4"/>
    <n v="87"/>
    <x v="3"/>
    <s v="Female"/>
    <x v="3"/>
    <n v="2.2000000000000002"/>
    <n v="4380.6099999999997"/>
    <n v="1"/>
    <n v="3.4"/>
    <n v="0.82"/>
  </r>
  <r>
    <s v="ENC101056"/>
    <s v="PT50461"/>
    <x v="3"/>
    <x v="3"/>
    <d v="2025-10-18T00:00:00"/>
    <d v="2025-10-28T00:00:00"/>
    <x v="1"/>
    <x v="1"/>
    <x v="6"/>
    <n v="75"/>
    <x v="3"/>
    <s v="Female"/>
    <x v="3"/>
    <n v="9.5"/>
    <n v="30341.54"/>
    <n v="0"/>
    <n v="4.0999999999999996"/>
    <n v="0.84"/>
  </r>
  <r>
    <s v="ENC101057"/>
    <s v="PT79488"/>
    <x v="1"/>
    <x v="1"/>
    <d v="2025-08-27T00:00:00"/>
    <d v="2025-08-29T00:00:00"/>
    <x v="2"/>
    <x v="1"/>
    <x v="3"/>
    <n v="34"/>
    <x v="4"/>
    <s v="Female"/>
    <x v="0"/>
    <n v="1.6"/>
    <n v="4121.58"/>
    <n v="0"/>
    <n v="4"/>
    <n v="0.86"/>
  </r>
  <r>
    <s v="ENC101058"/>
    <s v="PT48201"/>
    <x v="0"/>
    <x v="3"/>
    <d v="2025-01-01T00:00:00"/>
    <d v="2025-01-02T00:00:00"/>
    <x v="3"/>
    <x v="2"/>
    <x v="6"/>
    <n v="64"/>
    <x v="1"/>
    <s v="Male"/>
    <x v="1"/>
    <n v="0.3"/>
    <n v="590.24"/>
    <n v="0"/>
    <n v="4.3"/>
    <n v="0.8"/>
  </r>
  <r>
    <s v="ENC101059"/>
    <s v="PT37986"/>
    <x v="4"/>
    <x v="3"/>
    <d v="2025-12-29T00:00:00"/>
    <d v="2026-01-02T00:00:00"/>
    <x v="7"/>
    <x v="0"/>
    <x v="8"/>
    <n v="31"/>
    <x v="4"/>
    <s v="Male"/>
    <x v="0"/>
    <n v="3.4"/>
    <n v="10639.39"/>
    <n v="0"/>
    <n v="3.5"/>
    <n v="0.8"/>
  </r>
  <r>
    <s v="ENC101060"/>
    <s v="PT79353"/>
    <x v="1"/>
    <x v="0"/>
    <d v="2025-01-09T00:00:00"/>
    <d v="2025-01-12T00:00:00"/>
    <x v="2"/>
    <x v="2"/>
    <x v="6"/>
    <n v="79"/>
    <x v="3"/>
    <s v="Male"/>
    <x v="1"/>
    <n v="2.2000000000000002"/>
    <n v="4655.84"/>
    <n v="0"/>
    <n v="5"/>
    <n v="0.89"/>
  </r>
  <r>
    <s v="ENC101061"/>
    <s v="PT71889"/>
    <x v="1"/>
    <x v="1"/>
    <d v="2025-12-31T00:00:00"/>
    <d v="2026-01-01T00:00:00"/>
    <x v="9"/>
    <x v="0"/>
    <x v="2"/>
    <n v="55"/>
    <x v="1"/>
    <s v="Female"/>
    <x v="3"/>
    <n v="0.4"/>
    <n v="966.36"/>
    <n v="1"/>
    <n v="2.8"/>
    <n v="0.81"/>
  </r>
  <r>
    <s v="ENC101062"/>
    <s v="PT22965"/>
    <x v="4"/>
    <x v="2"/>
    <d v="2025-01-12T00:00:00"/>
    <d v="2025-01-16T00:00:00"/>
    <x v="5"/>
    <x v="2"/>
    <x v="5"/>
    <n v="75"/>
    <x v="3"/>
    <s v="Male"/>
    <x v="1"/>
    <n v="4"/>
    <n v="10974.51"/>
    <n v="0"/>
    <n v="2.9"/>
    <n v="0.75"/>
  </r>
  <r>
    <s v="ENC101063"/>
    <s v="PT73485"/>
    <x v="1"/>
    <x v="2"/>
    <d v="2025-07-08T00:00:00"/>
    <d v="2025-07-09T00:00:00"/>
    <x v="3"/>
    <x v="2"/>
    <x v="9"/>
    <n v="25"/>
    <x v="4"/>
    <s v="Female"/>
    <x v="0"/>
    <n v="0.7"/>
    <n v="1036.3"/>
    <n v="0"/>
    <n v="4.8"/>
    <n v="0.84"/>
  </r>
  <r>
    <s v="ENC101064"/>
    <s v="PT77776"/>
    <x v="4"/>
    <x v="3"/>
    <d v="2025-02-08T00:00:00"/>
    <d v="2025-02-13T00:00:00"/>
    <x v="0"/>
    <x v="0"/>
    <x v="5"/>
    <n v="1"/>
    <x v="5"/>
    <s v="Male"/>
    <x v="1"/>
    <n v="4.8"/>
    <n v="10104.11"/>
    <n v="0"/>
    <n v="4.2"/>
    <n v="0.81"/>
  </r>
  <r>
    <s v="ENC101065"/>
    <s v="PT44905"/>
    <x v="3"/>
    <x v="2"/>
    <d v="2025-02-04T00:00:00"/>
    <d v="2025-02-05T00:00:00"/>
    <x v="3"/>
    <x v="0"/>
    <x v="8"/>
    <n v="12"/>
    <x v="5"/>
    <s v="Male"/>
    <x v="0"/>
    <n v="1"/>
    <n v="1853.53"/>
    <n v="0"/>
    <n v="3.9"/>
    <n v="0.84"/>
  </r>
  <r>
    <s v="ENC101066"/>
    <s v="PT93307"/>
    <x v="2"/>
    <x v="2"/>
    <d v="2025-09-07T00:00:00"/>
    <d v="2025-09-09T00:00:00"/>
    <x v="2"/>
    <x v="0"/>
    <x v="4"/>
    <n v="48"/>
    <x v="0"/>
    <s v="Female"/>
    <x v="3"/>
    <n v="1.4"/>
    <n v="2847.05"/>
    <n v="0"/>
    <n v="4.2"/>
    <n v="0.79"/>
  </r>
  <r>
    <s v="ENC101067"/>
    <s v="PT67679"/>
    <x v="3"/>
    <x v="1"/>
    <d v="2025-09-23T00:00:00"/>
    <d v="2025-09-27T00:00:00"/>
    <x v="5"/>
    <x v="2"/>
    <x v="5"/>
    <n v="87"/>
    <x v="3"/>
    <s v="Male"/>
    <x v="0"/>
    <n v="3.7"/>
    <n v="10728.87"/>
    <n v="0"/>
    <n v="4.2"/>
    <n v="0.83"/>
  </r>
  <r>
    <s v="ENC101068"/>
    <s v="PT40026"/>
    <x v="0"/>
    <x v="3"/>
    <d v="2025-02-13T00:00:00"/>
    <d v="2025-02-17T00:00:00"/>
    <x v="2"/>
    <x v="2"/>
    <x v="1"/>
    <n v="57"/>
    <x v="1"/>
    <s v="Female"/>
    <x v="3"/>
    <n v="3.4"/>
    <n v="6345.75"/>
    <n v="0"/>
    <n v="4.0999999999999996"/>
    <n v="0.81"/>
  </r>
  <r>
    <s v="ENC101069"/>
    <s v="PT10965"/>
    <x v="2"/>
    <x v="0"/>
    <d v="2025-12-23T00:00:00"/>
    <d v="2025-12-28T00:00:00"/>
    <x v="1"/>
    <x v="1"/>
    <x v="1"/>
    <n v="73"/>
    <x v="6"/>
    <s v="Female"/>
    <x v="0"/>
    <n v="5"/>
    <n v="18305.39"/>
    <n v="0"/>
    <n v="3.3"/>
    <n v="0.76"/>
  </r>
  <r>
    <s v="ENC101070"/>
    <s v="PT70745"/>
    <x v="2"/>
    <x v="0"/>
    <d v="2025-04-27T00:00:00"/>
    <d v="2025-05-03T00:00:00"/>
    <x v="4"/>
    <x v="2"/>
    <x v="5"/>
    <n v="42"/>
    <x v="0"/>
    <s v="Female"/>
    <x v="0"/>
    <n v="6"/>
    <n v="26649.61"/>
    <n v="0"/>
    <n v="4.3"/>
    <n v="0.76"/>
  </r>
  <r>
    <s v="ENC101071"/>
    <s v="PT28814"/>
    <x v="1"/>
    <x v="1"/>
    <d v="2025-04-27T00:00:00"/>
    <d v="2025-05-18T00:00:00"/>
    <x v="4"/>
    <x v="2"/>
    <x v="8"/>
    <n v="87"/>
    <x v="3"/>
    <s v="Male"/>
    <x v="0"/>
    <n v="21"/>
    <n v="98025.76"/>
    <n v="0"/>
    <n v="4"/>
    <n v="0.88"/>
  </r>
  <r>
    <s v="ENC101072"/>
    <s v="PT78086"/>
    <x v="4"/>
    <x v="2"/>
    <d v="2025-04-19T00:00:00"/>
    <d v="2025-04-20T00:00:00"/>
    <x v="2"/>
    <x v="0"/>
    <x v="2"/>
    <n v="85"/>
    <x v="3"/>
    <s v="Female"/>
    <x v="0"/>
    <n v="0.9"/>
    <n v="2174.7199999999998"/>
    <n v="0"/>
    <n v="4.8"/>
    <n v="0.79"/>
  </r>
  <r>
    <s v="ENC101073"/>
    <s v="PT57257"/>
    <x v="0"/>
    <x v="3"/>
    <d v="2025-06-18T00:00:00"/>
    <d v="2025-06-21T00:00:00"/>
    <x v="1"/>
    <x v="2"/>
    <x v="1"/>
    <n v="19"/>
    <x v="4"/>
    <s v="Male"/>
    <x v="0"/>
    <n v="2.2999999999999998"/>
    <n v="9229.7199999999993"/>
    <n v="0"/>
    <n v="5"/>
    <n v="0.79"/>
  </r>
  <r>
    <s v="ENC101074"/>
    <s v="PT52004"/>
    <x v="3"/>
    <x v="1"/>
    <d v="2025-03-06T00:00:00"/>
    <d v="2025-03-08T00:00:00"/>
    <x v="1"/>
    <x v="0"/>
    <x v="1"/>
    <n v="78"/>
    <x v="3"/>
    <s v="Female"/>
    <x v="1"/>
    <n v="1.6"/>
    <n v="5509.57"/>
    <n v="0"/>
    <n v="4.0999999999999996"/>
    <n v="0.86"/>
  </r>
  <r>
    <s v="ENC101075"/>
    <s v="PT24737"/>
    <x v="0"/>
    <x v="0"/>
    <d v="2025-06-05T00:00:00"/>
    <d v="2025-06-06T00:00:00"/>
    <x v="3"/>
    <x v="2"/>
    <x v="3"/>
    <n v="1"/>
    <x v="5"/>
    <s v="Male"/>
    <x v="0"/>
    <n v="0.8"/>
    <n v="1586.9"/>
    <n v="0"/>
    <n v="3"/>
    <n v="0.84"/>
  </r>
  <r>
    <s v="ENC101076"/>
    <s v="PT74034"/>
    <x v="4"/>
    <x v="0"/>
    <d v="2025-03-18T00:00:00"/>
    <d v="2025-03-21T00:00:00"/>
    <x v="0"/>
    <x v="0"/>
    <x v="6"/>
    <n v="53"/>
    <x v="1"/>
    <s v="Male"/>
    <x v="0"/>
    <n v="2.4"/>
    <n v="5833.03"/>
    <n v="0"/>
    <n v="5"/>
    <n v="0.81"/>
  </r>
  <r>
    <s v="ENC101077"/>
    <s v="PT24931"/>
    <x v="3"/>
    <x v="3"/>
    <d v="2025-01-19T00:00:00"/>
    <d v="2025-01-23T00:00:00"/>
    <x v="8"/>
    <x v="1"/>
    <x v="1"/>
    <n v="39"/>
    <x v="0"/>
    <s v="Female"/>
    <x v="0"/>
    <n v="3.7"/>
    <n v="12707.53"/>
    <n v="0"/>
    <n v="3.3"/>
    <n v="0.87"/>
  </r>
  <r>
    <s v="ENC101078"/>
    <s v="PT47597"/>
    <x v="1"/>
    <x v="2"/>
    <d v="2025-05-15T00:00:00"/>
    <d v="2025-05-20T00:00:00"/>
    <x v="1"/>
    <x v="1"/>
    <x v="5"/>
    <n v="27"/>
    <x v="4"/>
    <s v="Male"/>
    <x v="0"/>
    <n v="4.9000000000000004"/>
    <n v="17500.98"/>
    <n v="0"/>
    <n v="4.0999999999999996"/>
    <n v="0.76"/>
  </r>
  <r>
    <s v="ENC101079"/>
    <s v="PT85266"/>
    <x v="3"/>
    <x v="0"/>
    <d v="2025-09-03T00:00:00"/>
    <d v="2025-09-09T00:00:00"/>
    <x v="4"/>
    <x v="0"/>
    <x v="8"/>
    <n v="84"/>
    <x v="3"/>
    <s v="Male"/>
    <x v="3"/>
    <n v="5.7"/>
    <n v="23127.91"/>
    <n v="1"/>
    <n v="3.6"/>
    <n v="0.74"/>
  </r>
  <r>
    <s v="ENC101080"/>
    <s v="PT92832"/>
    <x v="3"/>
    <x v="0"/>
    <d v="2025-10-06T00:00:00"/>
    <d v="2025-10-12T00:00:00"/>
    <x v="7"/>
    <x v="2"/>
    <x v="8"/>
    <n v="60"/>
    <x v="1"/>
    <s v="Female"/>
    <x v="2"/>
    <n v="5.0999999999999996"/>
    <n v="14531.41"/>
    <n v="0"/>
    <n v="3.6"/>
    <n v="0.89"/>
  </r>
  <r>
    <s v="ENC101081"/>
    <s v="PT99020"/>
    <x v="3"/>
    <x v="3"/>
    <d v="2025-05-09T00:00:00"/>
    <d v="2025-05-13T00:00:00"/>
    <x v="8"/>
    <x v="0"/>
    <x v="1"/>
    <n v="12"/>
    <x v="5"/>
    <s v="Female"/>
    <x v="0"/>
    <n v="3.3"/>
    <n v="9806.44"/>
    <n v="0"/>
    <n v="4.4000000000000004"/>
    <n v="0.86"/>
  </r>
  <r>
    <s v="ENC101082"/>
    <s v="PT96220"/>
    <x v="3"/>
    <x v="0"/>
    <d v="2025-04-29T00:00:00"/>
    <d v="2025-05-01T00:00:00"/>
    <x v="6"/>
    <x v="0"/>
    <x v="9"/>
    <n v="12"/>
    <x v="5"/>
    <s v="Female"/>
    <x v="3"/>
    <n v="1.7"/>
    <n v="3595.72"/>
    <n v="0"/>
    <n v="4"/>
    <n v="0.84"/>
  </r>
  <r>
    <s v="ENC101083"/>
    <s v="PT60036"/>
    <x v="1"/>
    <x v="0"/>
    <d v="2025-10-15T00:00:00"/>
    <d v="2025-10-17T00:00:00"/>
    <x v="2"/>
    <x v="0"/>
    <x v="7"/>
    <n v="10"/>
    <x v="5"/>
    <s v="Male"/>
    <x v="3"/>
    <n v="1.8"/>
    <n v="4088.41"/>
    <n v="1"/>
    <n v="4.2"/>
    <n v="0.85"/>
  </r>
  <r>
    <s v="ENC101084"/>
    <s v="PT28043"/>
    <x v="2"/>
    <x v="1"/>
    <d v="2025-09-06T00:00:00"/>
    <d v="2025-09-08T00:00:00"/>
    <x v="8"/>
    <x v="0"/>
    <x v="3"/>
    <n v="27"/>
    <x v="4"/>
    <s v="Male"/>
    <x v="2"/>
    <n v="1.5"/>
    <n v="3427.99"/>
    <n v="0"/>
    <n v="3.4"/>
    <n v="0.83"/>
  </r>
  <r>
    <s v="ENC101085"/>
    <s v="PT85515"/>
    <x v="2"/>
    <x v="1"/>
    <d v="2025-10-31T00:00:00"/>
    <d v="2025-11-02T00:00:00"/>
    <x v="3"/>
    <x v="0"/>
    <x v="2"/>
    <n v="6"/>
    <x v="5"/>
    <s v="Male"/>
    <x v="0"/>
    <n v="1.4"/>
    <n v="2890.47"/>
    <n v="0"/>
    <n v="3.6"/>
    <n v="0.81"/>
  </r>
  <r>
    <s v="ENC101086"/>
    <s v="PT82145"/>
    <x v="2"/>
    <x v="0"/>
    <d v="2025-11-27T00:00:00"/>
    <d v="2025-11-28T00:00:00"/>
    <x v="1"/>
    <x v="0"/>
    <x v="8"/>
    <n v="24"/>
    <x v="4"/>
    <s v="Male"/>
    <x v="0"/>
    <n v="0.4"/>
    <n v="1368.48"/>
    <n v="0"/>
    <n v="3.4"/>
    <n v="0.79"/>
  </r>
  <r>
    <s v="ENC101087"/>
    <s v="PT99127"/>
    <x v="4"/>
    <x v="2"/>
    <d v="2025-10-27T00:00:00"/>
    <d v="2025-10-30T00:00:00"/>
    <x v="2"/>
    <x v="0"/>
    <x v="1"/>
    <n v="69"/>
    <x v="6"/>
    <s v="Male"/>
    <x v="1"/>
    <n v="3"/>
    <n v="6060.38"/>
    <n v="0"/>
    <n v="3.8"/>
    <n v="0.74"/>
  </r>
  <r>
    <s v="ENC101088"/>
    <s v="PT68584"/>
    <x v="1"/>
    <x v="0"/>
    <d v="2025-12-08T00:00:00"/>
    <d v="2025-12-14T00:00:00"/>
    <x v="8"/>
    <x v="2"/>
    <x v="4"/>
    <n v="79"/>
    <x v="3"/>
    <s v="Female"/>
    <x v="3"/>
    <n v="5.7"/>
    <n v="12588.22"/>
    <n v="0"/>
    <n v="3.8"/>
    <n v="0.79"/>
  </r>
  <r>
    <s v="ENC101089"/>
    <s v="PT22743"/>
    <x v="4"/>
    <x v="1"/>
    <d v="2025-06-02T00:00:00"/>
    <d v="2025-06-08T00:00:00"/>
    <x v="6"/>
    <x v="2"/>
    <x v="2"/>
    <n v="71"/>
    <x v="6"/>
    <s v="Female"/>
    <x v="3"/>
    <n v="5.6"/>
    <n v="11875.35"/>
    <n v="0"/>
    <n v="5"/>
    <n v="0.68"/>
  </r>
  <r>
    <s v="ENC101090"/>
    <s v="PT55260"/>
    <x v="0"/>
    <x v="3"/>
    <d v="2025-05-25T00:00:00"/>
    <d v="2025-05-26T00:00:00"/>
    <x v="9"/>
    <x v="0"/>
    <x v="7"/>
    <n v="45"/>
    <x v="0"/>
    <s v="Male"/>
    <x v="1"/>
    <n v="0.2"/>
    <n v="447.57"/>
    <n v="0"/>
    <n v="3.7"/>
    <n v="0.83"/>
  </r>
  <r>
    <s v="ENC101091"/>
    <s v="PT50341"/>
    <x v="0"/>
    <x v="2"/>
    <d v="2025-04-28T00:00:00"/>
    <d v="2025-05-01T00:00:00"/>
    <x v="2"/>
    <x v="2"/>
    <x v="6"/>
    <n v="63"/>
    <x v="1"/>
    <s v="Female"/>
    <x v="0"/>
    <n v="2.1"/>
    <n v="4932.97"/>
    <n v="0"/>
    <n v="2.6"/>
    <n v="0.84"/>
  </r>
  <r>
    <s v="ENC101092"/>
    <s v="PT85864"/>
    <x v="3"/>
    <x v="0"/>
    <d v="2025-03-27T00:00:00"/>
    <d v="2025-03-30T00:00:00"/>
    <x v="4"/>
    <x v="1"/>
    <x v="3"/>
    <n v="85"/>
    <x v="3"/>
    <s v="Female"/>
    <x v="3"/>
    <n v="3"/>
    <n v="11199.56"/>
    <n v="0"/>
    <n v="4.5999999999999996"/>
    <n v="0.89"/>
  </r>
  <r>
    <s v="ENC101093"/>
    <s v="PT45331"/>
    <x v="2"/>
    <x v="1"/>
    <d v="2025-10-01T00:00:00"/>
    <d v="2025-10-03T00:00:00"/>
    <x v="6"/>
    <x v="0"/>
    <x v="4"/>
    <n v="4"/>
    <x v="5"/>
    <s v="Male"/>
    <x v="3"/>
    <n v="1.6"/>
    <n v="3701.33"/>
    <n v="0"/>
    <n v="4.2"/>
    <n v="0.78"/>
  </r>
  <r>
    <s v="ENC101094"/>
    <s v="PT39573"/>
    <x v="2"/>
    <x v="3"/>
    <d v="2025-09-18T00:00:00"/>
    <d v="2025-09-25T00:00:00"/>
    <x v="6"/>
    <x v="2"/>
    <x v="2"/>
    <n v="82"/>
    <x v="3"/>
    <s v="Male"/>
    <x v="0"/>
    <n v="6.4"/>
    <n v="17534.53"/>
    <n v="0"/>
    <n v="3.8"/>
    <n v="0.74"/>
  </r>
  <r>
    <s v="ENC101095"/>
    <s v="PT17204"/>
    <x v="4"/>
    <x v="0"/>
    <d v="2025-10-20T00:00:00"/>
    <d v="2025-10-21T00:00:00"/>
    <x v="3"/>
    <x v="0"/>
    <x v="9"/>
    <n v="65"/>
    <x v="6"/>
    <s v="Male"/>
    <x v="1"/>
    <n v="0.5"/>
    <n v="943.2"/>
    <n v="0"/>
    <n v="3.4"/>
    <n v="0.76"/>
  </r>
  <r>
    <s v="ENC101096"/>
    <s v="PT85190"/>
    <x v="0"/>
    <x v="3"/>
    <d v="2025-03-03T00:00:00"/>
    <d v="2025-03-08T00:00:00"/>
    <x v="2"/>
    <x v="0"/>
    <x v="2"/>
    <n v="35"/>
    <x v="0"/>
    <s v="Female"/>
    <x v="0"/>
    <n v="4.5999999999999996"/>
    <n v="10827.44"/>
    <n v="0"/>
    <n v="3.3"/>
    <n v="0.77"/>
  </r>
  <r>
    <s v="ENC101097"/>
    <s v="PT77978"/>
    <x v="4"/>
    <x v="1"/>
    <d v="2025-06-29T00:00:00"/>
    <d v="2025-07-01T00:00:00"/>
    <x v="3"/>
    <x v="0"/>
    <x v="4"/>
    <n v="40"/>
    <x v="0"/>
    <s v="Male"/>
    <x v="1"/>
    <n v="1.1000000000000001"/>
    <n v="1799.41"/>
    <n v="0"/>
    <n v="4.9000000000000004"/>
    <n v="0.77"/>
  </r>
  <r>
    <s v="ENC101098"/>
    <s v="PT13710"/>
    <x v="4"/>
    <x v="1"/>
    <d v="2025-03-23T00:00:00"/>
    <d v="2025-03-24T00:00:00"/>
    <x v="3"/>
    <x v="2"/>
    <x v="3"/>
    <n v="39"/>
    <x v="0"/>
    <s v="Female"/>
    <x v="1"/>
    <n v="0.7"/>
    <n v="1361.53"/>
    <n v="0"/>
    <n v="3.7"/>
    <n v="0.74"/>
  </r>
  <r>
    <s v="ENC101099"/>
    <s v="PT49039"/>
    <x v="1"/>
    <x v="0"/>
    <d v="2025-11-22T00:00:00"/>
    <d v="2025-11-24T00:00:00"/>
    <x v="2"/>
    <x v="1"/>
    <x v="2"/>
    <n v="14"/>
    <x v="2"/>
    <s v="Female"/>
    <x v="3"/>
    <n v="1.7"/>
    <n v="3296.11"/>
    <n v="0"/>
    <n v="2.9"/>
    <n v="0.89"/>
  </r>
  <r>
    <s v="ENC101100"/>
    <s v="PT53174"/>
    <x v="4"/>
    <x v="3"/>
    <d v="2025-04-08T00:00:00"/>
    <d v="2025-04-11T00:00:00"/>
    <x v="9"/>
    <x v="2"/>
    <x v="4"/>
    <n v="20"/>
    <x v="4"/>
    <s v="Male"/>
    <x v="2"/>
    <n v="2.7"/>
    <n v="5226.75"/>
    <n v="0"/>
    <n v="4.0999999999999996"/>
    <n v="0.73"/>
  </r>
  <r>
    <s v="ENC101101"/>
    <s v="PT52238"/>
    <x v="4"/>
    <x v="0"/>
    <d v="2025-02-22T00:00:00"/>
    <d v="2025-02-25T00:00:00"/>
    <x v="2"/>
    <x v="0"/>
    <x v="2"/>
    <n v="26"/>
    <x v="4"/>
    <s v="Male"/>
    <x v="1"/>
    <n v="2.5"/>
    <n v="5295.27"/>
    <n v="0"/>
    <n v="4.5999999999999996"/>
    <n v="0.77"/>
  </r>
  <r>
    <s v="ENC101102"/>
    <s v="PT92702"/>
    <x v="0"/>
    <x v="1"/>
    <d v="2025-07-28T00:00:00"/>
    <d v="2025-07-29T00:00:00"/>
    <x v="5"/>
    <x v="2"/>
    <x v="1"/>
    <n v="0"/>
    <x v="5"/>
    <s v="Male"/>
    <x v="0"/>
    <n v="0.7"/>
    <n v="1869.38"/>
    <n v="0"/>
    <n v="4"/>
    <n v="0.72"/>
  </r>
  <r>
    <s v="ENC101103"/>
    <s v="PT23560"/>
    <x v="1"/>
    <x v="0"/>
    <d v="2025-11-17T00:00:00"/>
    <d v="2025-11-19T00:00:00"/>
    <x v="5"/>
    <x v="0"/>
    <x v="9"/>
    <n v="45"/>
    <x v="0"/>
    <s v="Male"/>
    <x v="0"/>
    <n v="1.5"/>
    <n v="4091.3"/>
    <n v="0"/>
    <n v="3.4"/>
    <n v="0.83"/>
  </r>
  <r>
    <s v="ENC101104"/>
    <s v="PT37570"/>
    <x v="4"/>
    <x v="3"/>
    <d v="2025-12-01T00:00:00"/>
    <d v="2025-12-06T00:00:00"/>
    <x v="7"/>
    <x v="0"/>
    <x v="3"/>
    <n v="43"/>
    <x v="0"/>
    <s v="Male"/>
    <x v="0"/>
    <n v="5"/>
    <n v="15917.92"/>
    <n v="0"/>
    <n v="3.3"/>
    <n v="0.78"/>
  </r>
  <r>
    <s v="ENC101105"/>
    <s v="PT26283"/>
    <x v="1"/>
    <x v="1"/>
    <d v="2025-02-05T00:00:00"/>
    <d v="2025-02-06T00:00:00"/>
    <x v="6"/>
    <x v="0"/>
    <x v="7"/>
    <n v="29"/>
    <x v="4"/>
    <s v="Female"/>
    <x v="0"/>
    <n v="0.8"/>
    <n v="1882.74"/>
    <n v="0"/>
    <n v="3.3"/>
    <n v="0.81"/>
  </r>
  <r>
    <s v="ENC101106"/>
    <s v="PT31967"/>
    <x v="2"/>
    <x v="3"/>
    <d v="2025-04-29T00:00:00"/>
    <d v="2025-05-03T00:00:00"/>
    <x v="0"/>
    <x v="2"/>
    <x v="5"/>
    <n v="16"/>
    <x v="2"/>
    <s v="Female"/>
    <x v="0"/>
    <n v="4"/>
    <n v="8990.24"/>
    <n v="0"/>
    <n v="4.8"/>
    <n v="0.71"/>
  </r>
  <r>
    <s v="ENC101107"/>
    <s v="PT91638"/>
    <x v="0"/>
    <x v="3"/>
    <d v="2025-02-26T00:00:00"/>
    <d v="2025-02-27T00:00:00"/>
    <x v="7"/>
    <x v="0"/>
    <x v="6"/>
    <n v="88"/>
    <x v="3"/>
    <s v="Male"/>
    <x v="1"/>
    <n v="1"/>
    <n v="3258.47"/>
    <n v="0"/>
    <n v="3.9"/>
    <n v="0.8"/>
  </r>
  <r>
    <s v="ENC101108"/>
    <s v="PT94664"/>
    <x v="4"/>
    <x v="0"/>
    <d v="2025-04-23T00:00:00"/>
    <d v="2025-04-28T00:00:00"/>
    <x v="4"/>
    <x v="0"/>
    <x v="8"/>
    <n v="61"/>
    <x v="1"/>
    <s v="Male"/>
    <x v="0"/>
    <n v="4.3"/>
    <n v="18180.39"/>
    <n v="0"/>
    <n v="2.8"/>
    <n v="0.76"/>
  </r>
  <r>
    <s v="ENC101109"/>
    <s v="PT14018"/>
    <x v="1"/>
    <x v="2"/>
    <d v="2025-07-14T00:00:00"/>
    <d v="2025-07-20T00:00:00"/>
    <x v="1"/>
    <x v="2"/>
    <x v="1"/>
    <n v="43"/>
    <x v="0"/>
    <s v="Female"/>
    <x v="0"/>
    <n v="5.5"/>
    <n v="19181.259999999998"/>
    <n v="0"/>
    <n v="4.0999999999999996"/>
    <n v="0.81"/>
  </r>
  <r>
    <s v="ENC101110"/>
    <s v="PT66887"/>
    <x v="3"/>
    <x v="2"/>
    <d v="2025-04-13T00:00:00"/>
    <d v="2025-04-14T00:00:00"/>
    <x v="9"/>
    <x v="1"/>
    <x v="7"/>
    <n v="65"/>
    <x v="6"/>
    <s v="Female"/>
    <x v="3"/>
    <n v="0.9"/>
    <n v="1710.11"/>
    <n v="0"/>
    <n v="4"/>
    <n v="0.92"/>
  </r>
  <r>
    <s v="ENC101111"/>
    <s v="PT30956"/>
    <x v="0"/>
    <x v="0"/>
    <d v="2025-01-25T00:00:00"/>
    <d v="2025-01-26T00:00:00"/>
    <x v="3"/>
    <x v="0"/>
    <x v="2"/>
    <n v="33"/>
    <x v="4"/>
    <s v="Female"/>
    <x v="0"/>
    <n v="0.3"/>
    <n v="529.34"/>
    <n v="0"/>
    <n v="3.4"/>
    <n v="0.81"/>
  </r>
  <r>
    <s v="ENC101112"/>
    <s v="PT27330"/>
    <x v="2"/>
    <x v="1"/>
    <d v="2025-07-06T00:00:00"/>
    <d v="2025-07-12T00:00:00"/>
    <x v="7"/>
    <x v="1"/>
    <x v="3"/>
    <n v="19"/>
    <x v="4"/>
    <s v="Female"/>
    <x v="1"/>
    <n v="5.9"/>
    <n v="17245.830000000002"/>
    <n v="0"/>
    <n v="3.3"/>
    <n v="0.77"/>
  </r>
  <r>
    <s v="ENC101113"/>
    <s v="PT36285"/>
    <x v="0"/>
    <x v="0"/>
    <d v="2025-01-20T00:00:00"/>
    <d v="2025-01-26T00:00:00"/>
    <x v="8"/>
    <x v="1"/>
    <x v="8"/>
    <n v="61"/>
    <x v="1"/>
    <s v="Male"/>
    <x v="3"/>
    <n v="5.6"/>
    <n v="13620.35"/>
    <n v="1"/>
    <n v="3.3"/>
    <n v="0.78"/>
  </r>
  <r>
    <s v="ENC101114"/>
    <s v="PT27494"/>
    <x v="3"/>
    <x v="1"/>
    <d v="2025-03-24T00:00:00"/>
    <d v="2025-03-27T00:00:00"/>
    <x v="6"/>
    <x v="1"/>
    <x v="8"/>
    <n v="70"/>
    <x v="6"/>
    <s v="Female"/>
    <x v="1"/>
    <n v="2.2000000000000002"/>
    <n v="5551.79"/>
    <n v="0"/>
    <n v="4.5999999999999996"/>
    <n v="0.81"/>
  </r>
  <r>
    <s v="ENC101115"/>
    <s v="PT54117"/>
    <x v="3"/>
    <x v="3"/>
    <d v="2025-01-01T00:00:00"/>
    <d v="2025-01-03T00:00:00"/>
    <x v="6"/>
    <x v="0"/>
    <x v="6"/>
    <n v="59"/>
    <x v="1"/>
    <s v="Female"/>
    <x v="0"/>
    <n v="1.7"/>
    <n v="4435.67"/>
    <n v="0"/>
    <n v="4"/>
    <n v="0.84"/>
  </r>
  <r>
    <s v="ENC101116"/>
    <s v="PT99603"/>
    <x v="4"/>
    <x v="2"/>
    <d v="2025-02-01T00:00:00"/>
    <d v="2025-02-02T00:00:00"/>
    <x v="8"/>
    <x v="0"/>
    <x v="9"/>
    <n v="51"/>
    <x v="1"/>
    <s v="Male"/>
    <x v="0"/>
    <n v="0.7"/>
    <n v="1666.12"/>
    <n v="0"/>
    <n v="4.2"/>
    <n v="0.88"/>
  </r>
  <r>
    <s v="ENC101117"/>
    <s v="PT62779"/>
    <x v="2"/>
    <x v="2"/>
    <d v="2025-06-09T00:00:00"/>
    <d v="2025-06-13T00:00:00"/>
    <x v="2"/>
    <x v="2"/>
    <x v="9"/>
    <n v="0"/>
    <x v="5"/>
    <s v="Male"/>
    <x v="1"/>
    <n v="3.1"/>
    <n v="6999.27"/>
    <n v="1"/>
    <n v="4"/>
    <n v="0.74"/>
  </r>
  <r>
    <s v="ENC101118"/>
    <s v="PT75091"/>
    <x v="4"/>
    <x v="0"/>
    <d v="2025-11-07T00:00:00"/>
    <d v="2025-11-08T00:00:00"/>
    <x v="5"/>
    <x v="2"/>
    <x v="4"/>
    <n v="58"/>
    <x v="1"/>
    <s v="Female"/>
    <x v="1"/>
    <n v="0.6"/>
    <n v="1588.02"/>
    <n v="0"/>
    <n v="4.0999999999999996"/>
    <n v="0.79"/>
  </r>
  <r>
    <s v="ENC101119"/>
    <s v="PT54395"/>
    <x v="2"/>
    <x v="0"/>
    <d v="2025-10-10T00:00:00"/>
    <d v="2025-10-18T00:00:00"/>
    <x v="1"/>
    <x v="0"/>
    <x v="8"/>
    <n v="56"/>
    <x v="1"/>
    <s v="Female"/>
    <x v="0"/>
    <n v="7.5"/>
    <n v="24051.3"/>
    <n v="0"/>
    <n v="3.4"/>
    <n v="0.72"/>
  </r>
  <r>
    <s v="ENC101120"/>
    <s v="PT11251"/>
    <x v="4"/>
    <x v="1"/>
    <d v="2025-02-06T00:00:00"/>
    <d v="2025-02-07T00:00:00"/>
    <x v="3"/>
    <x v="2"/>
    <x v="3"/>
    <n v="37"/>
    <x v="0"/>
    <s v="Female"/>
    <x v="1"/>
    <n v="0.9"/>
    <n v="1819.55"/>
    <n v="0"/>
    <n v="3.6"/>
    <n v="0.67"/>
  </r>
  <r>
    <s v="ENC101121"/>
    <s v="PT17570"/>
    <x v="1"/>
    <x v="3"/>
    <d v="2025-01-13T00:00:00"/>
    <d v="2025-01-14T00:00:00"/>
    <x v="3"/>
    <x v="1"/>
    <x v="2"/>
    <n v="22"/>
    <x v="4"/>
    <s v="Female"/>
    <x v="1"/>
    <n v="0.4"/>
    <n v="721.47"/>
    <n v="0"/>
    <n v="4.4000000000000004"/>
    <n v="0.79"/>
  </r>
  <r>
    <s v="ENC101122"/>
    <s v="PT34198"/>
    <x v="3"/>
    <x v="1"/>
    <d v="2025-05-04T00:00:00"/>
    <d v="2025-05-07T00:00:00"/>
    <x v="7"/>
    <x v="2"/>
    <x v="9"/>
    <n v="89"/>
    <x v="3"/>
    <s v="Female"/>
    <x v="0"/>
    <n v="2.7"/>
    <n v="7998.62"/>
    <n v="0"/>
    <n v="4.7"/>
    <n v="0.94"/>
  </r>
  <r>
    <s v="ENC101123"/>
    <s v="PT31929"/>
    <x v="3"/>
    <x v="2"/>
    <d v="2025-08-27T00:00:00"/>
    <d v="2025-08-29T00:00:00"/>
    <x v="3"/>
    <x v="2"/>
    <x v="8"/>
    <n v="34"/>
    <x v="4"/>
    <s v="Female"/>
    <x v="1"/>
    <n v="1.1000000000000001"/>
    <n v="2045.68"/>
    <n v="1"/>
    <n v="3"/>
    <n v="0.86"/>
  </r>
  <r>
    <s v="ENC101124"/>
    <s v="PT85651"/>
    <x v="4"/>
    <x v="2"/>
    <d v="2025-09-30T00:00:00"/>
    <d v="2025-10-02T00:00:00"/>
    <x v="6"/>
    <x v="2"/>
    <x v="6"/>
    <n v="24"/>
    <x v="4"/>
    <s v="Female"/>
    <x v="0"/>
    <n v="1.8"/>
    <n v="4569.76"/>
    <n v="0"/>
    <n v="3.8"/>
    <n v="0.85"/>
  </r>
  <r>
    <s v="ENC101125"/>
    <s v="PT85922"/>
    <x v="3"/>
    <x v="1"/>
    <d v="2025-10-28T00:00:00"/>
    <d v="2025-10-31T00:00:00"/>
    <x v="9"/>
    <x v="2"/>
    <x v="1"/>
    <n v="64"/>
    <x v="1"/>
    <s v="Female"/>
    <x v="0"/>
    <n v="2.2000000000000002"/>
    <n v="5914.33"/>
    <n v="0"/>
    <n v="4.4000000000000004"/>
    <n v="0.83"/>
  </r>
  <r>
    <s v="ENC101126"/>
    <s v="PT86870"/>
    <x v="4"/>
    <x v="3"/>
    <d v="2025-05-05T00:00:00"/>
    <d v="2025-05-07T00:00:00"/>
    <x v="8"/>
    <x v="2"/>
    <x v="4"/>
    <n v="43"/>
    <x v="0"/>
    <s v="Female"/>
    <x v="3"/>
    <n v="1.3"/>
    <n v="2958.59"/>
    <n v="0"/>
    <n v="5"/>
    <n v="0.69"/>
  </r>
  <r>
    <s v="ENC101127"/>
    <s v="PT67382"/>
    <x v="0"/>
    <x v="3"/>
    <d v="2025-03-03T00:00:00"/>
    <d v="2025-03-10T00:00:00"/>
    <x v="8"/>
    <x v="2"/>
    <x v="4"/>
    <n v="50"/>
    <x v="1"/>
    <s v="Male"/>
    <x v="0"/>
    <n v="6.9"/>
    <n v="17106.61"/>
    <n v="1"/>
    <n v="5"/>
    <n v="0.76"/>
  </r>
  <r>
    <s v="ENC101128"/>
    <s v="PT60055"/>
    <x v="3"/>
    <x v="2"/>
    <d v="2025-01-10T00:00:00"/>
    <d v="2025-01-12T00:00:00"/>
    <x v="0"/>
    <x v="0"/>
    <x v="7"/>
    <n v="58"/>
    <x v="1"/>
    <s v="Female"/>
    <x v="1"/>
    <n v="1.1000000000000001"/>
    <n v="1800.13"/>
    <n v="0"/>
    <n v="3.4"/>
    <n v="0.86"/>
  </r>
  <r>
    <s v="ENC101129"/>
    <s v="PT68422"/>
    <x v="4"/>
    <x v="0"/>
    <d v="2025-02-23T00:00:00"/>
    <d v="2025-02-24T00:00:00"/>
    <x v="5"/>
    <x v="2"/>
    <x v="2"/>
    <n v="33"/>
    <x v="4"/>
    <s v="Female"/>
    <x v="0"/>
    <n v="0.4"/>
    <n v="1181.83"/>
    <n v="0"/>
    <n v="4.7"/>
    <n v="0.79"/>
  </r>
  <r>
    <s v="ENC101130"/>
    <s v="PT46612"/>
    <x v="0"/>
    <x v="1"/>
    <d v="2025-01-24T00:00:00"/>
    <d v="2025-01-26T00:00:00"/>
    <x v="0"/>
    <x v="2"/>
    <x v="7"/>
    <n v="13"/>
    <x v="2"/>
    <s v="Male"/>
    <x v="0"/>
    <n v="1.5"/>
    <n v="3055.84"/>
    <n v="1"/>
    <n v="3.9"/>
    <n v="0.8"/>
  </r>
  <r>
    <s v="ENC101131"/>
    <s v="PT70317"/>
    <x v="2"/>
    <x v="3"/>
    <d v="2025-11-11T00:00:00"/>
    <d v="2025-11-14T00:00:00"/>
    <x v="7"/>
    <x v="2"/>
    <x v="1"/>
    <n v="15"/>
    <x v="2"/>
    <s v="Female"/>
    <x v="3"/>
    <n v="2.4"/>
    <n v="7537.96"/>
    <n v="0"/>
    <n v="4.5"/>
    <n v="0.73"/>
  </r>
  <r>
    <s v="ENC101132"/>
    <s v="PT81499"/>
    <x v="1"/>
    <x v="1"/>
    <d v="2025-04-08T00:00:00"/>
    <d v="2025-04-15T00:00:00"/>
    <x v="1"/>
    <x v="2"/>
    <x v="8"/>
    <n v="85"/>
    <x v="3"/>
    <s v="Female"/>
    <x v="0"/>
    <n v="6.9"/>
    <n v="24765.3"/>
    <n v="0"/>
    <n v="4.4000000000000004"/>
    <n v="0.86"/>
  </r>
  <r>
    <s v="ENC101133"/>
    <s v="PT78660"/>
    <x v="0"/>
    <x v="3"/>
    <d v="2025-10-28T00:00:00"/>
    <d v="2025-10-29T00:00:00"/>
    <x v="3"/>
    <x v="2"/>
    <x v="1"/>
    <n v="45"/>
    <x v="0"/>
    <s v="Male"/>
    <x v="0"/>
    <n v="0.5"/>
    <n v="979.96"/>
    <n v="1"/>
    <n v="2.9"/>
    <n v="0.78"/>
  </r>
  <r>
    <s v="ENC101134"/>
    <s v="PT65244"/>
    <x v="4"/>
    <x v="1"/>
    <d v="2025-07-21T00:00:00"/>
    <d v="2025-07-24T00:00:00"/>
    <x v="7"/>
    <x v="0"/>
    <x v="8"/>
    <n v="37"/>
    <x v="0"/>
    <s v="Male"/>
    <x v="3"/>
    <n v="2.7"/>
    <n v="8328.26"/>
    <n v="0"/>
    <n v="4.2"/>
    <n v="0.79"/>
  </r>
  <r>
    <s v="ENC101135"/>
    <s v="PT15229"/>
    <x v="2"/>
    <x v="3"/>
    <d v="2025-07-16T00:00:00"/>
    <d v="2025-07-19T00:00:00"/>
    <x v="2"/>
    <x v="0"/>
    <x v="6"/>
    <n v="29"/>
    <x v="4"/>
    <s v="Female"/>
    <x v="3"/>
    <n v="3"/>
    <n v="6257.37"/>
    <n v="0"/>
    <n v="4.5"/>
    <n v="0.76"/>
  </r>
  <r>
    <s v="ENC101136"/>
    <s v="PT75244"/>
    <x v="1"/>
    <x v="2"/>
    <d v="2025-06-15T00:00:00"/>
    <d v="2025-06-21T00:00:00"/>
    <x v="1"/>
    <x v="2"/>
    <x v="1"/>
    <n v="65"/>
    <x v="6"/>
    <s v="Male"/>
    <x v="1"/>
    <n v="5.2"/>
    <n v="17559.13"/>
    <n v="0"/>
    <n v="3.9"/>
    <n v="0.81"/>
  </r>
  <r>
    <s v="ENC101137"/>
    <s v="PT42994"/>
    <x v="4"/>
    <x v="1"/>
    <d v="2025-10-27T00:00:00"/>
    <d v="2025-11-07T00:00:00"/>
    <x v="7"/>
    <x v="0"/>
    <x v="0"/>
    <n v="83"/>
    <x v="3"/>
    <s v="Male"/>
    <x v="0"/>
    <n v="10.199999999999999"/>
    <n v="35709.050000000003"/>
    <n v="0"/>
    <n v="3.6"/>
    <n v="0.74"/>
  </r>
  <r>
    <s v="ENC101138"/>
    <s v="PT76929"/>
    <x v="2"/>
    <x v="0"/>
    <d v="2025-01-16T00:00:00"/>
    <d v="2025-01-17T00:00:00"/>
    <x v="0"/>
    <x v="2"/>
    <x v="5"/>
    <n v="69"/>
    <x v="6"/>
    <s v="Female"/>
    <x v="0"/>
    <n v="1"/>
    <n v="2478.15"/>
    <n v="0"/>
    <n v="3"/>
    <n v="0.73"/>
  </r>
  <r>
    <s v="ENC101139"/>
    <s v="PT58556"/>
    <x v="1"/>
    <x v="3"/>
    <d v="2025-02-03T00:00:00"/>
    <d v="2025-02-06T00:00:00"/>
    <x v="3"/>
    <x v="2"/>
    <x v="4"/>
    <n v="48"/>
    <x v="0"/>
    <s v="Female"/>
    <x v="1"/>
    <n v="2.4"/>
    <n v="3712.58"/>
    <n v="0"/>
    <n v="4.0999999999999996"/>
    <n v="0.89"/>
  </r>
  <r>
    <s v="ENC101140"/>
    <s v="PT89305"/>
    <x v="0"/>
    <x v="1"/>
    <d v="2025-06-04T00:00:00"/>
    <d v="2025-06-11T00:00:00"/>
    <x v="8"/>
    <x v="1"/>
    <x v="5"/>
    <n v="43"/>
    <x v="0"/>
    <s v="Female"/>
    <x v="0"/>
    <n v="6.1"/>
    <n v="16068.61"/>
    <n v="0"/>
    <n v="4"/>
    <n v="0.84"/>
  </r>
  <r>
    <s v="ENC101141"/>
    <s v="PT40460"/>
    <x v="2"/>
    <x v="3"/>
    <d v="2025-05-24T00:00:00"/>
    <d v="2025-05-25T00:00:00"/>
    <x v="3"/>
    <x v="2"/>
    <x v="6"/>
    <n v="78"/>
    <x v="3"/>
    <s v="Male"/>
    <x v="0"/>
    <n v="0.5"/>
    <n v="859.57"/>
    <n v="0"/>
    <n v="3.1"/>
    <n v="0.79"/>
  </r>
  <r>
    <s v="ENC101142"/>
    <s v="PT93824"/>
    <x v="2"/>
    <x v="3"/>
    <d v="2025-07-19T00:00:00"/>
    <d v="2025-07-21T00:00:00"/>
    <x v="2"/>
    <x v="1"/>
    <x v="1"/>
    <n v="77"/>
    <x v="3"/>
    <s v="Female"/>
    <x v="3"/>
    <n v="1.3"/>
    <n v="2982.7"/>
    <n v="1"/>
    <n v="3.7"/>
    <n v="0.72"/>
  </r>
  <r>
    <s v="ENC101143"/>
    <s v="PT86002"/>
    <x v="1"/>
    <x v="0"/>
    <d v="2025-09-27T00:00:00"/>
    <d v="2025-10-01T00:00:00"/>
    <x v="6"/>
    <x v="2"/>
    <x v="4"/>
    <n v="35"/>
    <x v="0"/>
    <s v="Female"/>
    <x v="0"/>
    <n v="3.5"/>
    <n v="7848.62"/>
    <n v="0"/>
    <n v="4"/>
    <n v="0.76"/>
  </r>
  <r>
    <s v="ENC101144"/>
    <s v="PT39799"/>
    <x v="3"/>
    <x v="2"/>
    <d v="2025-08-03T00:00:00"/>
    <d v="2025-08-06T00:00:00"/>
    <x v="2"/>
    <x v="2"/>
    <x v="2"/>
    <n v="87"/>
    <x v="3"/>
    <s v="Female"/>
    <x v="0"/>
    <n v="2.8"/>
    <n v="6224.78"/>
    <n v="0"/>
    <n v="3.6"/>
    <n v="0.88"/>
  </r>
  <r>
    <s v="ENC101145"/>
    <s v="PT53431"/>
    <x v="2"/>
    <x v="0"/>
    <d v="2025-04-04T00:00:00"/>
    <d v="2025-04-06T00:00:00"/>
    <x v="3"/>
    <x v="2"/>
    <x v="8"/>
    <n v="75"/>
    <x v="3"/>
    <s v="Male"/>
    <x v="0"/>
    <n v="1.4"/>
    <n v="2609.0500000000002"/>
    <n v="1"/>
    <n v="3.7"/>
    <n v="0.79"/>
  </r>
  <r>
    <s v="ENC101146"/>
    <s v="PT57820"/>
    <x v="4"/>
    <x v="3"/>
    <d v="2025-04-30T00:00:00"/>
    <d v="2025-05-03T00:00:00"/>
    <x v="1"/>
    <x v="2"/>
    <x v="2"/>
    <n v="77"/>
    <x v="3"/>
    <s v="Female"/>
    <x v="1"/>
    <n v="2.6"/>
    <n v="8165.25"/>
    <n v="1"/>
    <n v="2.9"/>
    <n v="0.79"/>
  </r>
  <r>
    <s v="ENC101147"/>
    <s v="PT79175"/>
    <x v="2"/>
    <x v="1"/>
    <d v="2025-10-02T00:00:00"/>
    <d v="2025-10-06T00:00:00"/>
    <x v="1"/>
    <x v="1"/>
    <x v="5"/>
    <n v="5"/>
    <x v="5"/>
    <s v="Female"/>
    <x v="1"/>
    <n v="3.4"/>
    <n v="9470.18"/>
    <n v="0"/>
    <n v="4.7"/>
    <n v="0.74"/>
  </r>
  <r>
    <s v="ENC101148"/>
    <s v="PT72023"/>
    <x v="2"/>
    <x v="1"/>
    <d v="2025-03-15T00:00:00"/>
    <d v="2025-03-16T00:00:00"/>
    <x v="3"/>
    <x v="2"/>
    <x v="8"/>
    <n v="11"/>
    <x v="5"/>
    <s v="Female"/>
    <x v="3"/>
    <n v="0.9"/>
    <n v="1263.3399999999999"/>
    <n v="0"/>
    <n v="3.7"/>
    <n v="0.69"/>
  </r>
  <r>
    <s v="ENC101149"/>
    <s v="PT86680"/>
    <x v="2"/>
    <x v="1"/>
    <d v="2025-07-04T00:00:00"/>
    <d v="2025-07-06T00:00:00"/>
    <x v="3"/>
    <x v="1"/>
    <x v="5"/>
    <n v="27"/>
    <x v="4"/>
    <s v="Male"/>
    <x v="0"/>
    <n v="1.3"/>
    <n v="2522.71"/>
    <n v="1"/>
    <n v="3"/>
    <n v="0.78"/>
  </r>
  <r>
    <s v="ENC101150"/>
    <s v="PT43287"/>
    <x v="0"/>
    <x v="2"/>
    <d v="2025-07-16T00:00:00"/>
    <d v="2025-07-17T00:00:00"/>
    <x v="3"/>
    <x v="1"/>
    <x v="8"/>
    <n v="69"/>
    <x v="6"/>
    <s v="Female"/>
    <x v="0"/>
    <n v="0.5"/>
    <n v="807.65"/>
    <n v="0"/>
    <n v="2.2000000000000002"/>
    <n v="0.85"/>
  </r>
  <r>
    <s v="ENC101151"/>
    <s v="PT55430"/>
    <x v="2"/>
    <x v="2"/>
    <d v="2025-10-01T00:00:00"/>
    <d v="2025-10-05T00:00:00"/>
    <x v="1"/>
    <x v="0"/>
    <x v="3"/>
    <n v="7"/>
    <x v="5"/>
    <s v="Male"/>
    <x v="1"/>
    <n v="3.4"/>
    <n v="11890.78"/>
    <n v="0"/>
    <n v="4.5"/>
    <n v="0.72"/>
  </r>
  <r>
    <s v="ENC101152"/>
    <s v="PT48777"/>
    <x v="3"/>
    <x v="2"/>
    <d v="2025-09-18T00:00:00"/>
    <d v="2025-09-27T00:00:00"/>
    <x v="8"/>
    <x v="2"/>
    <x v="3"/>
    <n v="7"/>
    <x v="5"/>
    <s v="Female"/>
    <x v="0"/>
    <n v="8.1"/>
    <n v="26054.39"/>
    <n v="0"/>
    <n v="4"/>
    <n v="0.81"/>
  </r>
  <r>
    <s v="ENC101153"/>
    <s v="PT91858"/>
    <x v="0"/>
    <x v="1"/>
    <d v="2025-06-19T00:00:00"/>
    <d v="2025-06-24T00:00:00"/>
    <x v="0"/>
    <x v="2"/>
    <x v="2"/>
    <n v="2"/>
    <x v="5"/>
    <s v="Female"/>
    <x v="1"/>
    <n v="4.9000000000000004"/>
    <n v="9916.17"/>
    <n v="0"/>
    <n v="4"/>
    <n v="0.85"/>
  </r>
  <r>
    <s v="ENC101154"/>
    <s v="PT37447"/>
    <x v="3"/>
    <x v="3"/>
    <d v="2025-04-23T00:00:00"/>
    <d v="2025-04-29T00:00:00"/>
    <x v="7"/>
    <x v="2"/>
    <x v="0"/>
    <n v="17"/>
    <x v="2"/>
    <s v="Female"/>
    <x v="2"/>
    <n v="5.3"/>
    <n v="17605.61"/>
    <n v="0"/>
    <n v="4.4000000000000004"/>
    <n v="0.81"/>
  </r>
  <r>
    <s v="ENC101155"/>
    <s v="PT62840"/>
    <x v="2"/>
    <x v="2"/>
    <d v="2025-05-15T00:00:00"/>
    <d v="2025-05-17T00:00:00"/>
    <x v="2"/>
    <x v="0"/>
    <x v="5"/>
    <n v="83"/>
    <x v="3"/>
    <s v="Female"/>
    <x v="1"/>
    <n v="1.2"/>
    <n v="2548.4499999999998"/>
    <n v="0"/>
    <n v="4.4000000000000004"/>
    <n v="0.82"/>
  </r>
  <r>
    <s v="ENC101156"/>
    <s v="PT20814"/>
    <x v="3"/>
    <x v="3"/>
    <d v="2025-05-31T00:00:00"/>
    <d v="2025-06-13T00:00:00"/>
    <x v="5"/>
    <x v="2"/>
    <x v="6"/>
    <n v="65"/>
    <x v="6"/>
    <s v="Female"/>
    <x v="0"/>
    <n v="12.2"/>
    <n v="39383.58"/>
    <n v="0"/>
    <n v="3.8"/>
    <n v="0.84"/>
  </r>
  <r>
    <s v="ENC101157"/>
    <s v="PT86523"/>
    <x v="3"/>
    <x v="1"/>
    <d v="2025-03-22T00:00:00"/>
    <d v="2025-03-27T00:00:00"/>
    <x v="5"/>
    <x v="1"/>
    <x v="2"/>
    <n v="65"/>
    <x v="6"/>
    <s v="Male"/>
    <x v="2"/>
    <n v="4.5999999999999996"/>
    <n v="10680.28"/>
    <n v="0"/>
    <n v="3.7"/>
    <n v="0.82"/>
  </r>
  <r>
    <s v="ENC101158"/>
    <s v="PT44579"/>
    <x v="1"/>
    <x v="2"/>
    <d v="2025-08-17T00:00:00"/>
    <d v="2025-08-24T00:00:00"/>
    <x v="9"/>
    <x v="0"/>
    <x v="5"/>
    <n v="26"/>
    <x v="4"/>
    <s v="Female"/>
    <x v="0"/>
    <n v="6.2"/>
    <n v="12024.63"/>
    <n v="1"/>
    <n v="3.6"/>
    <n v="0.82"/>
  </r>
  <r>
    <s v="ENC101159"/>
    <s v="PT40652"/>
    <x v="1"/>
    <x v="1"/>
    <d v="2025-03-18T00:00:00"/>
    <d v="2025-03-20T00:00:00"/>
    <x v="3"/>
    <x v="2"/>
    <x v="8"/>
    <n v="56"/>
    <x v="1"/>
    <s v="Male"/>
    <x v="2"/>
    <n v="1.4"/>
    <n v="2298.5700000000002"/>
    <n v="0"/>
    <n v="4"/>
    <n v="0.8"/>
  </r>
  <r>
    <s v="ENC101160"/>
    <s v="PT62461"/>
    <x v="0"/>
    <x v="1"/>
    <d v="2025-08-25T00:00:00"/>
    <d v="2025-08-26T00:00:00"/>
    <x v="1"/>
    <x v="0"/>
    <x v="2"/>
    <n v="70"/>
    <x v="6"/>
    <s v="Female"/>
    <x v="1"/>
    <n v="0.2"/>
    <n v="710.35"/>
    <n v="0"/>
    <n v="4.7"/>
    <n v="0.85"/>
  </r>
  <r>
    <s v="ENC101161"/>
    <s v="PT54893"/>
    <x v="0"/>
    <x v="2"/>
    <d v="2025-10-02T00:00:00"/>
    <d v="2025-10-06T00:00:00"/>
    <x v="3"/>
    <x v="2"/>
    <x v="1"/>
    <n v="48"/>
    <x v="0"/>
    <s v="Male"/>
    <x v="1"/>
    <n v="3.4"/>
    <n v="6647.41"/>
    <n v="0"/>
    <n v="3.6"/>
    <n v="0.84"/>
  </r>
  <r>
    <s v="ENC101162"/>
    <s v="PT86317"/>
    <x v="0"/>
    <x v="0"/>
    <d v="2025-12-18T00:00:00"/>
    <d v="2025-12-25T00:00:00"/>
    <x v="5"/>
    <x v="1"/>
    <x v="3"/>
    <n v="77"/>
    <x v="3"/>
    <s v="Female"/>
    <x v="2"/>
    <n v="6.3"/>
    <n v="15248.68"/>
    <n v="0"/>
    <n v="4.8"/>
    <n v="0.84"/>
  </r>
  <r>
    <s v="ENC101163"/>
    <s v="PT57826"/>
    <x v="3"/>
    <x v="0"/>
    <d v="2025-02-13T00:00:00"/>
    <d v="2025-02-17T00:00:00"/>
    <x v="1"/>
    <x v="2"/>
    <x v="8"/>
    <n v="51"/>
    <x v="1"/>
    <s v="Female"/>
    <x v="1"/>
    <n v="3.5"/>
    <n v="11545.27"/>
    <n v="0"/>
    <n v="4.0999999999999996"/>
    <n v="0.85"/>
  </r>
  <r>
    <s v="ENC101164"/>
    <s v="PT56529"/>
    <x v="3"/>
    <x v="3"/>
    <d v="2025-10-05T00:00:00"/>
    <d v="2025-10-06T00:00:00"/>
    <x v="2"/>
    <x v="1"/>
    <x v="5"/>
    <n v="29"/>
    <x v="4"/>
    <s v="Female"/>
    <x v="1"/>
    <n v="0.5"/>
    <n v="1146.58"/>
    <n v="0"/>
    <n v="4.0999999999999996"/>
    <n v="0.82"/>
  </r>
  <r>
    <s v="ENC101165"/>
    <s v="PT19448"/>
    <x v="4"/>
    <x v="2"/>
    <d v="2025-02-01T00:00:00"/>
    <d v="2025-02-07T00:00:00"/>
    <x v="2"/>
    <x v="0"/>
    <x v="1"/>
    <n v="58"/>
    <x v="1"/>
    <s v="Male"/>
    <x v="0"/>
    <n v="5.0999999999999996"/>
    <n v="12480.33"/>
    <n v="0"/>
    <n v="5"/>
    <n v="0.78"/>
  </r>
  <r>
    <s v="ENC101166"/>
    <s v="PT11974"/>
    <x v="2"/>
    <x v="1"/>
    <d v="2025-05-04T00:00:00"/>
    <d v="2025-05-08T00:00:00"/>
    <x v="6"/>
    <x v="1"/>
    <x v="9"/>
    <n v="85"/>
    <x v="3"/>
    <s v="Male"/>
    <x v="1"/>
    <n v="3.4"/>
    <n v="9183.2900000000009"/>
    <n v="0"/>
    <n v="4.9000000000000004"/>
    <n v="0.73"/>
  </r>
  <r>
    <s v="ENC101167"/>
    <s v="PT45869"/>
    <x v="1"/>
    <x v="3"/>
    <d v="2025-03-06T00:00:00"/>
    <d v="2025-03-24T00:00:00"/>
    <x v="7"/>
    <x v="2"/>
    <x v="8"/>
    <n v="75"/>
    <x v="3"/>
    <s v="Male"/>
    <x v="1"/>
    <n v="17.5"/>
    <n v="50548.28"/>
    <n v="0"/>
    <n v="4.7"/>
    <n v="0.88"/>
  </r>
  <r>
    <s v="ENC101168"/>
    <s v="PT99837"/>
    <x v="0"/>
    <x v="0"/>
    <d v="2025-03-01T00:00:00"/>
    <d v="2025-03-13T00:00:00"/>
    <x v="7"/>
    <x v="0"/>
    <x v="6"/>
    <n v="45"/>
    <x v="0"/>
    <s v="Male"/>
    <x v="0"/>
    <n v="11.7"/>
    <n v="40189.949999999997"/>
    <n v="0"/>
    <n v="3.2"/>
    <n v="0.84"/>
  </r>
  <r>
    <s v="ENC101169"/>
    <s v="PT92559"/>
    <x v="1"/>
    <x v="1"/>
    <d v="2025-03-06T00:00:00"/>
    <d v="2025-03-13T00:00:00"/>
    <x v="0"/>
    <x v="2"/>
    <x v="9"/>
    <n v="54"/>
    <x v="1"/>
    <s v="Female"/>
    <x v="1"/>
    <n v="6.2"/>
    <n v="12846.68"/>
    <n v="0"/>
    <n v="5"/>
    <n v="0.82"/>
  </r>
  <r>
    <s v="ENC101170"/>
    <s v="PT66607"/>
    <x v="0"/>
    <x v="0"/>
    <d v="2025-01-17T00:00:00"/>
    <d v="2025-01-21T00:00:00"/>
    <x v="5"/>
    <x v="0"/>
    <x v="0"/>
    <n v="88"/>
    <x v="3"/>
    <s v="Female"/>
    <x v="1"/>
    <n v="3.9"/>
    <n v="10908.67"/>
    <n v="0"/>
    <n v="3.9"/>
    <n v="0.76"/>
  </r>
  <r>
    <s v="ENC101171"/>
    <s v="PT66774"/>
    <x v="0"/>
    <x v="3"/>
    <d v="2025-10-28T00:00:00"/>
    <d v="2025-10-31T00:00:00"/>
    <x v="6"/>
    <x v="2"/>
    <x v="2"/>
    <n v="68"/>
    <x v="6"/>
    <s v="Female"/>
    <x v="0"/>
    <n v="3"/>
    <n v="7303.3"/>
    <n v="0"/>
    <n v="3.8"/>
    <n v="0.86"/>
  </r>
  <r>
    <s v="ENC101172"/>
    <s v="PT45234"/>
    <x v="2"/>
    <x v="1"/>
    <d v="2025-01-23T00:00:00"/>
    <d v="2025-01-27T00:00:00"/>
    <x v="6"/>
    <x v="2"/>
    <x v="6"/>
    <n v="45"/>
    <x v="0"/>
    <s v="Male"/>
    <x v="0"/>
    <n v="3.6"/>
    <n v="9904.33"/>
    <n v="0"/>
    <n v="2.6"/>
    <n v="0.76"/>
  </r>
  <r>
    <s v="ENC101173"/>
    <s v="PT25975"/>
    <x v="2"/>
    <x v="0"/>
    <d v="2025-05-26T00:00:00"/>
    <d v="2025-05-28T00:00:00"/>
    <x v="8"/>
    <x v="2"/>
    <x v="7"/>
    <n v="25"/>
    <x v="4"/>
    <s v="Female"/>
    <x v="1"/>
    <n v="1.9"/>
    <n v="4647.41"/>
    <n v="0"/>
    <n v="4.0999999999999996"/>
    <n v="0.74"/>
  </r>
  <r>
    <s v="ENC101174"/>
    <s v="PT10769"/>
    <x v="4"/>
    <x v="3"/>
    <d v="2025-09-13T00:00:00"/>
    <d v="2025-09-18T00:00:00"/>
    <x v="7"/>
    <x v="2"/>
    <x v="7"/>
    <n v="82"/>
    <x v="3"/>
    <s v="Female"/>
    <x v="0"/>
    <n v="4.5999999999999996"/>
    <n v="14173.23"/>
    <n v="0"/>
    <n v="3.2"/>
    <n v="0.84"/>
  </r>
  <r>
    <s v="ENC101175"/>
    <s v="PT40496"/>
    <x v="1"/>
    <x v="3"/>
    <d v="2025-12-28T00:00:00"/>
    <d v="2025-12-29T00:00:00"/>
    <x v="3"/>
    <x v="2"/>
    <x v="1"/>
    <n v="88"/>
    <x v="3"/>
    <s v="Male"/>
    <x v="0"/>
    <n v="0.9"/>
    <n v="1576.94"/>
    <n v="0"/>
    <n v="3.9"/>
    <n v="0.8"/>
  </r>
  <r>
    <s v="ENC101176"/>
    <s v="PT38481"/>
    <x v="1"/>
    <x v="3"/>
    <d v="2025-11-08T00:00:00"/>
    <d v="2025-11-16T00:00:00"/>
    <x v="1"/>
    <x v="0"/>
    <x v="9"/>
    <n v="6"/>
    <x v="5"/>
    <s v="Female"/>
    <x v="1"/>
    <n v="7.1"/>
    <n v="22238.48"/>
    <n v="0"/>
    <n v="3"/>
    <n v="0.81"/>
  </r>
  <r>
    <s v="ENC101177"/>
    <s v="PT27244"/>
    <x v="3"/>
    <x v="2"/>
    <d v="2025-02-20T00:00:00"/>
    <d v="2025-03-08T00:00:00"/>
    <x v="4"/>
    <x v="2"/>
    <x v="8"/>
    <n v="2"/>
    <x v="5"/>
    <s v="Male"/>
    <x v="0"/>
    <n v="15.2"/>
    <n v="70531.87"/>
    <n v="0"/>
    <n v="4.7"/>
    <n v="0.83"/>
  </r>
  <r>
    <s v="ENC101178"/>
    <s v="PT33324"/>
    <x v="3"/>
    <x v="0"/>
    <d v="2025-12-27T00:00:00"/>
    <d v="2025-12-29T00:00:00"/>
    <x v="3"/>
    <x v="0"/>
    <x v="1"/>
    <n v="10"/>
    <x v="5"/>
    <s v="Female"/>
    <x v="0"/>
    <n v="1.5"/>
    <n v="3008.54"/>
    <n v="0"/>
    <n v="4"/>
    <n v="0.79"/>
  </r>
  <r>
    <s v="ENC101179"/>
    <s v="PT12234"/>
    <x v="4"/>
    <x v="0"/>
    <d v="2025-08-27T00:00:00"/>
    <d v="2025-08-29T00:00:00"/>
    <x v="2"/>
    <x v="2"/>
    <x v="5"/>
    <n v="35"/>
    <x v="0"/>
    <s v="Male"/>
    <x v="1"/>
    <n v="1.5"/>
    <n v="3283.91"/>
    <n v="0"/>
    <n v="5"/>
    <n v="0.79"/>
  </r>
  <r>
    <s v="ENC101180"/>
    <s v="PT64715"/>
    <x v="4"/>
    <x v="0"/>
    <d v="2025-03-07T00:00:00"/>
    <d v="2025-03-18T00:00:00"/>
    <x v="1"/>
    <x v="0"/>
    <x v="3"/>
    <n v="14"/>
    <x v="2"/>
    <s v="Male"/>
    <x v="0"/>
    <n v="10.6"/>
    <n v="36090.5"/>
    <n v="0"/>
    <n v="3.1"/>
    <n v="0.75"/>
  </r>
  <r>
    <s v="ENC101181"/>
    <s v="PT93470"/>
    <x v="0"/>
    <x v="3"/>
    <d v="2025-06-13T00:00:00"/>
    <d v="2025-06-19T00:00:00"/>
    <x v="8"/>
    <x v="0"/>
    <x v="6"/>
    <n v="80"/>
    <x v="3"/>
    <s v="Male"/>
    <x v="2"/>
    <n v="5.6"/>
    <n v="12497.37"/>
    <n v="0"/>
    <n v="4.8"/>
    <n v="0.78"/>
  </r>
  <r>
    <s v="ENC101182"/>
    <s v="PT72171"/>
    <x v="2"/>
    <x v="1"/>
    <d v="2025-12-02T00:00:00"/>
    <d v="2025-12-04T00:00:00"/>
    <x v="3"/>
    <x v="2"/>
    <x v="4"/>
    <n v="83"/>
    <x v="3"/>
    <s v="Female"/>
    <x v="3"/>
    <n v="1.3"/>
    <n v="1978.97"/>
    <n v="0"/>
    <n v="2.6"/>
    <n v="0.72"/>
  </r>
  <r>
    <s v="ENC101183"/>
    <s v="PT50338"/>
    <x v="4"/>
    <x v="0"/>
    <d v="2025-05-24T00:00:00"/>
    <d v="2025-05-26T00:00:00"/>
    <x v="3"/>
    <x v="0"/>
    <x v="8"/>
    <n v="16"/>
    <x v="2"/>
    <s v="Female"/>
    <x v="1"/>
    <n v="1.4"/>
    <n v="2437.09"/>
    <n v="0"/>
    <n v="3.8"/>
    <n v="0.76"/>
  </r>
  <r>
    <s v="ENC101184"/>
    <s v="PT47823"/>
    <x v="1"/>
    <x v="1"/>
    <d v="2025-03-09T00:00:00"/>
    <d v="2025-03-10T00:00:00"/>
    <x v="3"/>
    <x v="1"/>
    <x v="5"/>
    <n v="75"/>
    <x v="3"/>
    <s v="Female"/>
    <x v="2"/>
    <n v="0.3"/>
    <n v="560.63"/>
    <n v="1"/>
    <n v="3.3"/>
    <n v="0.79"/>
  </r>
  <r>
    <s v="ENC101185"/>
    <s v="PT37677"/>
    <x v="4"/>
    <x v="0"/>
    <d v="2025-11-16T00:00:00"/>
    <d v="2025-11-19T00:00:00"/>
    <x v="2"/>
    <x v="0"/>
    <x v="8"/>
    <n v="12"/>
    <x v="5"/>
    <s v="Female"/>
    <x v="3"/>
    <n v="2.2999999999999998"/>
    <n v="5159.84"/>
    <n v="0"/>
    <n v="3.6"/>
    <n v="0.79"/>
  </r>
  <r>
    <s v="ENC101186"/>
    <s v="PT22816"/>
    <x v="4"/>
    <x v="2"/>
    <d v="2025-12-14T00:00:00"/>
    <d v="2025-12-20T00:00:00"/>
    <x v="9"/>
    <x v="2"/>
    <x v="2"/>
    <n v="71"/>
    <x v="6"/>
    <s v="Male"/>
    <x v="0"/>
    <n v="5.4"/>
    <n v="12030.62"/>
    <n v="0"/>
    <n v="3.6"/>
    <n v="0.77"/>
  </r>
  <r>
    <s v="ENC101187"/>
    <s v="PT63862"/>
    <x v="4"/>
    <x v="3"/>
    <d v="2025-12-23T00:00:00"/>
    <d v="2025-12-24T00:00:00"/>
    <x v="3"/>
    <x v="2"/>
    <x v="0"/>
    <n v="33"/>
    <x v="4"/>
    <s v="Female"/>
    <x v="3"/>
    <n v="0.3"/>
    <n v="652.08000000000004"/>
    <n v="0"/>
    <n v="3.2"/>
    <n v="0.78"/>
  </r>
  <r>
    <s v="ENC101188"/>
    <s v="PT60986"/>
    <x v="1"/>
    <x v="0"/>
    <d v="2025-12-15T00:00:00"/>
    <d v="2025-12-16T00:00:00"/>
    <x v="2"/>
    <x v="0"/>
    <x v="7"/>
    <n v="3"/>
    <x v="5"/>
    <s v="Female"/>
    <x v="0"/>
    <n v="0.7"/>
    <n v="1486.67"/>
    <n v="0"/>
    <n v="3.1"/>
    <n v="0.91"/>
  </r>
  <r>
    <s v="ENC101189"/>
    <s v="PT10658"/>
    <x v="2"/>
    <x v="3"/>
    <d v="2025-11-15T00:00:00"/>
    <d v="2025-11-17T00:00:00"/>
    <x v="3"/>
    <x v="2"/>
    <x v="3"/>
    <n v="38"/>
    <x v="0"/>
    <s v="Female"/>
    <x v="1"/>
    <n v="2"/>
    <n v="3691.48"/>
    <n v="0"/>
    <n v="3.4"/>
    <n v="0.74"/>
  </r>
  <r>
    <s v="ENC101190"/>
    <s v="PT47396"/>
    <x v="0"/>
    <x v="3"/>
    <d v="2025-06-15T00:00:00"/>
    <d v="2025-06-23T00:00:00"/>
    <x v="4"/>
    <x v="0"/>
    <x v="2"/>
    <n v="74"/>
    <x v="6"/>
    <s v="Male"/>
    <x v="1"/>
    <n v="7.6"/>
    <n v="33407.67"/>
    <n v="0"/>
    <n v="3.7"/>
    <n v="0.82"/>
  </r>
  <r>
    <s v="ENC101191"/>
    <s v="PT35021"/>
    <x v="4"/>
    <x v="0"/>
    <d v="2025-03-12T00:00:00"/>
    <d v="2025-03-13T00:00:00"/>
    <x v="2"/>
    <x v="2"/>
    <x v="5"/>
    <n v="84"/>
    <x v="3"/>
    <s v="Female"/>
    <x v="0"/>
    <n v="0.8"/>
    <n v="1541.93"/>
    <n v="0"/>
    <n v="4.5999999999999996"/>
    <n v="0.81"/>
  </r>
  <r>
    <s v="ENC101192"/>
    <s v="PT25325"/>
    <x v="0"/>
    <x v="0"/>
    <d v="2025-08-14T00:00:00"/>
    <d v="2025-08-16T00:00:00"/>
    <x v="6"/>
    <x v="0"/>
    <x v="7"/>
    <n v="11"/>
    <x v="5"/>
    <s v="Female"/>
    <x v="0"/>
    <n v="2"/>
    <n v="4708.9799999999996"/>
    <n v="0"/>
    <n v="4.0999999999999996"/>
    <n v="0.8"/>
  </r>
  <r>
    <s v="ENC101193"/>
    <s v="PT73272"/>
    <x v="0"/>
    <x v="3"/>
    <d v="2025-03-22T00:00:00"/>
    <d v="2025-03-24T00:00:00"/>
    <x v="3"/>
    <x v="2"/>
    <x v="7"/>
    <n v="76"/>
    <x v="3"/>
    <s v="Female"/>
    <x v="2"/>
    <n v="1.3"/>
    <n v="1897.77"/>
    <n v="0"/>
    <n v="4.4000000000000004"/>
    <n v="0.81"/>
  </r>
  <r>
    <s v="ENC101194"/>
    <s v="PT57323"/>
    <x v="3"/>
    <x v="1"/>
    <d v="2025-06-22T00:00:00"/>
    <d v="2025-06-29T00:00:00"/>
    <x v="4"/>
    <x v="2"/>
    <x v="6"/>
    <n v="26"/>
    <x v="4"/>
    <s v="Female"/>
    <x v="0"/>
    <n v="6.8"/>
    <n v="30770.28"/>
    <n v="0"/>
    <n v="2.9"/>
    <n v="0.84"/>
  </r>
  <r>
    <s v="ENC101195"/>
    <s v="PT67038"/>
    <x v="3"/>
    <x v="3"/>
    <d v="2025-08-28T00:00:00"/>
    <d v="2025-08-31T00:00:00"/>
    <x v="9"/>
    <x v="1"/>
    <x v="0"/>
    <n v="42"/>
    <x v="0"/>
    <s v="Male"/>
    <x v="0"/>
    <n v="2.9"/>
    <n v="8103.6"/>
    <n v="0"/>
    <n v="3.6"/>
    <n v="0.85"/>
  </r>
  <r>
    <s v="ENC101196"/>
    <s v="PT74212"/>
    <x v="1"/>
    <x v="3"/>
    <d v="2025-12-12T00:00:00"/>
    <d v="2025-12-15T00:00:00"/>
    <x v="8"/>
    <x v="1"/>
    <x v="6"/>
    <n v="9"/>
    <x v="5"/>
    <s v="Female"/>
    <x v="0"/>
    <n v="2.4"/>
    <n v="6573.52"/>
    <n v="0"/>
    <n v="4.3"/>
    <n v="0.8"/>
  </r>
  <r>
    <s v="ENC101197"/>
    <s v="PT98361"/>
    <x v="3"/>
    <x v="3"/>
    <d v="2025-04-16T00:00:00"/>
    <d v="2025-04-20T00:00:00"/>
    <x v="8"/>
    <x v="1"/>
    <x v="4"/>
    <n v="88"/>
    <x v="3"/>
    <s v="Male"/>
    <x v="1"/>
    <n v="3.8"/>
    <n v="8915.56"/>
    <n v="0"/>
    <n v="4.0999999999999996"/>
    <n v="0.82"/>
  </r>
  <r>
    <s v="ENC101198"/>
    <s v="PT82247"/>
    <x v="2"/>
    <x v="2"/>
    <d v="2025-04-02T00:00:00"/>
    <d v="2025-04-04T00:00:00"/>
    <x v="3"/>
    <x v="1"/>
    <x v="4"/>
    <n v="71"/>
    <x v="6"/>
    <s v="Male"/>
    <x v="3"/>
    <n v="1.6"/>
    <n v="2695.35"/>
    <n v="1"/>
    <n v="3.2"/>
    <n v="0.75"/>
  </r>
  <r>
    <s v="ENC101199"/>
    <s v="PT65831"/>
    <x v="2"/>
    <x v="2"/>
    <d v="2025-09-26T00:00:00"/>
    <d v="2025-09-30T00:00:00"/>
    <x v="0"/>
    <x v="2"/>
    <x v="4"/>
    <n v="58"/>
    <x v="1"/>
    <s v="Male"/>
    <x v="3"/>
    <n v="3.2"/>
    <n v="5935.1"/>
    <n v="0"/>
    <n v="4.5"/>
    <n v="0.6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s v="ENC100000"/>
    <s v="PT18032"/>
    <s v="St. Catherine Hospital"/>
    <s v="Midwest"/>
    <d v="2025-11-17T00:00:00"/>
    <d v="2025-11-20T00:00:00"/>
    <x v="0"/>
    <s v="Elective"/>
    <s v="Cancer"/>
    <n v="39"/>
    <s v="35-49"/>
    <s v="Male"/>
    <s v="Commercial"/>
    <n v="2.8"/>
    <n v="6763.12"/>
    <n v="0"/>
    <n v="3.9"/>
    <n v="0.8"/>
    <x v="0"/>
  </r>
  <r>
    <s v="ENC100001"/>
    <s v="PT79655"/>
    <s v="Riverside Medical Center"/>
    <s v="Midwest"/>
    <d v="2025-06-24T00:00:00"/>
    <d v="2025-06-26T00:00:00"/>
    <x v="0"/>
    <s v="Elective"/>
    <s v="Cardiac"/>
    <n v="45"/>
    <s v="35-49"/>
    <s v="Female"/>
    <s v="Commercial"/>
    <n v="1.4"/>
    <n v="3005.26"/>
    <n v="1"/>
    <n v="4"/>
    <n v="0.89"/>
    <x v="1"/>
  </r>
  <r>
    <s v="ENC100002"/>
    <s v="PT68910"/>
    <s v="St. Catherine Hospital"/>
    <s v="Northeast"/>
    <d v="2025-12-26T00:00:00"/>
    <d v="2026-01-03T00:00:00"/>
    <x v="1"/>
    <s v="Elective"/>
    <s v="Respiratory"/>
    <n v="56"/>
    <s v="50-64"/>
    <s v="Female"/>
    <s v="Medicare"/>
    <n v="7.4"/>
    <n v="24500.94"/>
    <n v="0"/>
    <n v="4.8"/>
    <n v="0.78"/>
    <x v="2"/>
  </r>
  <r>
    <s v="ENC100003"/>
    <s v="PT49498"/>
    <s v="Riverside Medical Center"/>
    <s v="West"/>
    <d v="2025-10-05T00:00:00"/>
    <d v="2025-10-08T00:00:00"/>
    <x v="2"/>
    <s v="Urgent"/>
    <s v="Neurological"/>
    <n v="15"/>
    <s v="13-17"/>
    <s v="Female"/>
    <s v="Commercial"/>
    <n v="2.5"/>
    <n v="5369.92"/>
    <n v="0"/>
    <n v="4"/>
    <n v="0.84"/>
    <x v="3"/>
  </r>
  <r>
    <s v="ENC100004"/>
    <s v="PT48970"/>
    <s v="Riverside Medical Center"/>
    <s v="South"/>
    <d v="2025-08-26T00:00:00"/>
    <d v="2025-08-27T00:00:00"/>
    <x v="3"/>
    <s v="Elective"/>
    <s v="Pediatric"/>
    <n v="61"/>
    <s v="50-64"/>
    <s v="Female"/>
    <s v="Self-Pay"/>
    <n v="0.8"/>
    <n v="1110.4000000000001"/>
    <n v="0"/>
    <n v="3.4"/>
    <n v="0.86"/>
    <x v="4"/>
  </r>
  <r>
    <s v="ENC100005"/>
    <s v="PT87272"/>
    <s v="St. Catherine Hospital"/>
    <s v="Midwest"/>
    <d v="2025-11-26T00:00:00"/>
    <d v="2025-11-27T00:00:00"/>
    <x v="3"/>
    <s v="Emergency"/>
    <s v="GI"/>
    <n v="53"/>
    <s v="50-64"/>
    <s v="Male"/>
    <s v="Commercial"/>
    <n v="0.9"/>
    <n v="1756.82"/>
    <n v="0"/>
    <n v="2.6"/>
    <n v="0.85"/>
    <x v="0"/>
  </r>
  <r>
    <s v="ENC100006"/>
    <s v="PT17735"/>
    <s v="Lakeside Health"/>
    <s v="South"/>
    <d v="2025-07-08T00:00:00"/>
    <d v="2025-07-14T00:00:00"/>
    <x v="4"/>
    <s v="Elective"/>
    <s v="Cancer"/>
    <n v="47"/>
    <s v="35-49"/>
    <s v="Female"/>
    <s v="Commercial"/>
    <n v="5.3"/>
    <n v="24944.27"/>
    <n v="1"/>
    <n v="2.9"/>
    <n v="0.8"/>
    <x v="5"/>
  </r>
  <r>
    <s v="ENC100007"/>
    <s v="PT72762"/>
    <s v="Metro Regional"/>
    <s v="Northeast"/>
    <d v="2025-09-21T00:00:00"/>
    <d v="2025-09-23T00:00:00"/>
    <x v="5"/>
    <s v="Emergency"/>
    <s v="Infectious"/>
    <n v="75"/>
    <s v="75+"/>
    <s v="Male"/>
    <s v="Commercial"/>
    <n v="1.1000000000000001"/>
    <n v="2914.38"/>
    <n v="0"/>
    <n v="3.6"/>
    <n v="0.83"/>
    <x v="6"/>
  </r>
  <r>
    <s v="ENC100008"/>
    <s v="PT28132"/>
    <s v="Metro Regional"/>
    <s v="Northeast"/>
    <d v="2025-04-14T00:00:00"/>
    <d v="2025-04-16T00:00:00"/>
    <x v="6"/>
    <s v="Emergency"/>
    <s v="Cancer"/>
    <n v="62"/>
    <s v="50-64"/>
    <s v="Male"/>
    <s v="Commercial"/>
    <n v="1.1000000000000001"/>
    <n v="3341.17"/>
    <n v="0"/>
    <n v="3.8"/>
    <n v="0.84"/>
    <x v="7"/>
  </r>
  <r>
    <s v="ENC100009"/>
    <s v="PT18475"/>
    <s v="Metro Regional"/>
    <s v="South"/>
    <d v="2025-12-18T00:00:00"/>
    <d v="2025-12-27T00:00:00"/>
    <x v="7"/>
    <s v="Urgent"/>
    <s v="Infectious"/>
    <n v="84"/>
    <s v="75+"/>
    <s v="Female"/>
    <s v="Commercial"/>
    <n v="8.4"/>
    <n v="28737.22"/>
    <n v="0"/>
    <n v="3.4"/>
    <n v="0.74"/>
    <x v="2"/>
  </r>
  <r>
    <s v="ENC100010"/>
    <s v="PT57382"/>
    <s v="Lakeside Health"/>
    <s v="Midwest"/>
    <d v="2025-08-16T00:00:00"/>
    <d v="2025-08-21T00:00:00"/>
    <x v="2"/>
    <s v="Elective"/>
    <s v="Neurological"/>
    <n v="88"/>
    <s v="75+"/>
    <s v="Female"/>
    <s v="Medicare"/>
    <n v="4.7"/>
    <n v="11188.86"/>
    <n v="0"/>
    <n v="4.0999999999999996"/>
    <n v="0.74"/>
    <x v="4"/>
  </r>
  <r>
    <s v="ENC100011"/>
    <s v="PT97805"/>
    <s v="Lakeside Health"/>
    <s v="West"/>
    <d v="2025-10-13T00:00:00"/>
    <d v="2025-10-19T00:00:00"/>
    <x v="1"/>
    <s v="Urgent"/>
    <s v="GI"/>
    <n v="75"/>
    <s v="75+"/>
    <s v="Male"/>
    <s v="Commercial"/>
    <n v="5.6"/>
    <n v="19902.18"/>
    <n v="0"/>
    <n v="3.6"/>
    <n v="0.79"/>
    <x v="3"/>
  </r>
  <r>
    <s v="ENC100012"/>
    <s v="PT76216"/>
    <s v="Riverside Medical Center"/>
    <s v="South"/>
    <d v="2025-06-18T00:00:00"/>
    <d v="2025-06-21T00:00:00"/>
    <x v="0"/>
    <s v="Emergency"/>
    <s v="Neurological"/>
    <n v="27"/>
    <s v="18-34"/>
    <s v="Male"/>
    <s v="Medicare"/>
    <n v="2.9"/>
    <n v="6114.65"/>
    <n v="1"/>
    <n v="3.4"/>
    <n v="0.86"/>
    <x v="1"/>
  </r>
  <r>
    <s v="ENC100013"/>
    <s v="PT78501"/>
    <s v="Lakeside Health"/>
    <s v="South"/>
    <d v="2025-11-13T00:00:00"/>
    <d v="2025-11-16T00:00:00"/>
    <x v="7"/>
    <s v="Emergency"/>
    <s v="Other"/>
    <n v="17"/>
    <s v="13-17"/>
    <s v="Female"/>
    <s v="Medicaid"/>
    <n v="2.9"/>
    <n v="7530.69"/>
    <n v="0"/>
    <n v="4.3"/>
    <n v="0.75"/>
    <x v="0"/>
  </r>
  <r>
    <s v="ENC100014"/>
    <s v="PT74572"/>
    <s v="Riverside Medical Center"/>
    <s v="West"/>
    <d v="2025-01-28T00:00:00"/>
    <d v="2025-01-30T00:00:00"/>
    <x v="6"/>
    <s v="Emergency"/>
    <s v="Cancer"/>
    <n v="27"/>
    <s v="18-34"/>
    <s v="Male"/>
    <s v="Medicare"/>
    <n v="1.6"/>
    <n v="3995.53"/>
    <n v="0"/>
    <n v="4.7"/>
    <n v="0.89"/>
    <x v="8"/>
  </r>
  <r>
    <s v="ENC100015"/>
    <s v="PT80745"/>
    <s v="Riverside Medical Center"/>
    <s v="Northeast"/>
    <d v="2025-02-11T00:00:00"/>
    <d v="2025-02-13T00:00:00"/>
    <x v="0"/>
    <s v="Emergency"/>
    <s v="Respiratory"/>
    <n v="64"/>
    <s v="50-64"/>
    <s v="Male"/>
    <s v="Medicare"/>
    <n v="2"/>
    <n v="4156.33"/>
    <n v="0"/>
    <n v="3.2"/>
    <n v="0.8"/>
    <x v="9"/>
  </r>
  <r>
    <s v="ENC100016"/>
    <s v="PT56189"/>
    <s v="Riverside Medical Center"/>
    <s v="South"/>
    <d v="2025-07-05T00:00:00"/>
    <d v="2025-07-11T00:00:00"/>
    <x v="6"/>
    <s v="Emergency"/>
    <s v="Cardiac"/>
    <n v="78"/>
    <s v="75+"/>
    <s v="Male"/>
    <s v="Commercial"/>
    <n v="5.8"/>
    <n v="14931.99"/>
    <n v="0"/>
    <n v="4"/>
    <n v="0.79"/>
    <x v="5"/>
  </r>
  <r>
    <s v="ENC100017"/>
    <s v="PT21530"/>
    <s v="Metro Regional"/>
    <s v="South"/>
    <d v="2025-09-25T00:00:00"/>
    <d v="2025-09-28T00:00:00"/>
    <x v="0"/>
    <s v="Emergency"/>
    <s v="Neurological"/>
    <n v="80"/>
    <s v="75+"/>
    <s v="Female"/>
    <s v="Commercial"/>
    <n v="2.4"/>
    <n v="5351.93"/>
    <n v="0"/>
    <n v="2.8"/>
    <n v="0.82"/>
    <x v="6"/>
  </r>
  <r>
    <s v="ENC100018"/>
    <s v="PT85576"/>
    <s v="Lakeside Health"/>
    <s v="Northeast"/>
    <d v="2025-10-23T00:00:00"/>
    <d v="2025-10-25T00:00:00"/>
    <x v="2"/>
    <s v="Emergency"/>
    <s v="Infectious"/>
    <n v="62"/>
    <s v="50-64"/>
    <s v="Male"/>
    <s v="Commercial"/>
    <n v="1.2"/>
    <n v="2932.7"/>
    <n v="0"/>
    <n v="3"/>
    <n v="0.71"/>
    <x v="3"/>
  </r>
  <r>
    <s v="ENC100019"/>
    <s v="PT50534"/>
    <s v="Metro Regional"/>
    <s v="Northeast"/>
    <d v="2025-06-10T00:00:00"/>
    <d v="2025-06-11T00:00:00"/>
    <x v="3"/>
    <s v="Urgent"/>
    <s v="Infectious"/>
    <n v="61"/>
    <s v="50-64"/>
    <s v="Male"/>
    <s v="Self-Pay"/>
    <n v="0.2"/>
    <n v="355.1"/>
    <n v="0"/>
    <n v="3.3"/>
    <n v="0.86"/>
    <x v="1"/>
  </r>
  <r>
    <s v="ENC100020"/>
    <s v="PT55031"/>
    <s v="Metro Regional"/>
    <s v="Northeast"/>
    <d v="2025-08-26T00:00:00"/>
    <d v="2025-08-28T00:00:00"/>
    <x v="3"/>
    <s v="Emergency"/>
    <s v="GI"/>
    <n v="86"/>
    <s v="75+"/>
    <s v="Female"/>
    <s v="Medicare"/>
    <n v="1.9"/>
    <n v="3413.21"/>
    <n v="1"/>
    <n v="4.4000000000000004"/>
    <n v="0.85"/>
    <x v="4"/>
  </r>
  <r>
    <s v="ENC100021"/>
    <s v="PT43371"/>
    <s v="Metro Regional"/>
    <s v="Northeast"/>
    <d v="2025-07-21T00:00:00"/>
    <d v="2025-07-30T00:00:00"/>
    <x v="8"/>
    <s v="Emergency"/>
    <s v="Injury"/>
    <n v="62"/>
    <s v="50-64"/>
    <s v="Male"/>
    <s v="Commercial"/>
    <n v="8.6999999999999993"/>
    <n v="27936.35"/>
    <n v="0"/>
    <n v="3.2"/>
    <n v="0.86"/>
    <x v="5"/>
  </r>
  <r>
    <s v="ENC100022"/>
    <s v="PT26429"/>
    <s v="Riverside Medical Center"/>
    <s v="South"/>
    <d v="2025-12-17T00:00:00"/>
    <d v="2025-12-18T00:00:00"/>
    <x v="1"/>
    <s v="Elective"/>
    <s v="GI"/>
    <n v="12"/>
    <s v="0-12"/>
    <s v="Male"/>
    <s v="Medicare"/>
    <n v="0.6"/>
    <n v="1752.21"/>
    <n v="0"/>
    <n v="3.4"/>
    <n v="0.8"/>
    <x v="2"/>
  </r>
  <r>
    <s v="ENC100023"/>
    <s v="PT93407"/>
    <s v="Metro Regional"/>
    <s v="Northeast"/>
    <d v="2025-08-27T00:00:00"/>
    <d v="2025-09-07T00:00:00"/>
    <x v="4"/>
    <s v="Emergency"/>
    <s v="GI"/>
    <n v="45"/>
    <s v="35-49"/>
    <s v="Female"/>
    <s v="Medicaid"/>
    <n v="10.9"/>
    <n v="35737.279999999999"/>
    <n v="0"/>
    <n v="3.6"/>
    <n v="0.84"/>
    <x v="4"/>
  </r>
  <r>
    <s v="ENC100024"/>
    <s v="PT80340"/>
    <s v="Metro Regional"/>
    <s v="South"/>
    <d v="2025-06-02T00:00:00"/>
    <d v="2025-06-07T00:00:00"/>
    <x v="8"/>
    <s v="Urgent"/>
    <s v="Cancer"/>
    <n v="32"/>
    <s v="18-34"/>
    <s v="Male"/>
    <s v="Medicare"/>
    <n v="4.3"/>
    <n v="12970.35"/>
    <n v="0"/>
    <n v="3.9"/>
    <n v="0.75"/>
    <x v="1"/>
  </r>
  <r>
    <s v="ENC100025"/>
    <s v="PT67947"/>
    <s v="Metro Regional"/>
    <s v="Northeast"/>
    <d v="2025-12-20T00:00:00"/>
    <d v="2025-12-22T00:00:00"/>
    <x v="1"/>
    <s v="Elective"/>
    <s v="Cancer"/>
    <n v="57"/>
    <s v="50-64"/>
    <s v="Female"/>
    <s v="Medicare"/>
    <n v="1.6"/>
    <n v="5271.75"/>
    <n v="0"/>
    <n v="3.4"/>
    <n v="0.86"/>
    <x v="2"/>
  </r>
  <r>
    <s v="ENC100026"/>
    <s v="PT46216"/>
    <s v="Riverside Medical Center"/>
    <s v="Northeast"/>
    <d v="2025-02-09T00:00:00"/>
    <d v="2025-02-14T00:00:00"/>
    <x v="5"/>
    <s v="Emergency"/>
    <s v="Cardiac"/>
    <n v="57"/>
    <s v="50-64"/>
    <s v="Male"/>
    <s v="Medicaid"/>
    <n v="4.3"/>
    <n v="11192.27"/>
    <n v="0"/>
    <n v="5"/>
    <n v="0.82"/>
    <x v="9"/>
  </r>
  <r>
    <s v="ENC100027"/>
    <s v="PT84047"/>
    <s v="Riverside Medical Center"/>
    <s v="Midwest"/>
    <d v="2025-12-26T00:00:00"/>
    <d v="2025-12-28T00:00:00"/>
    <x v="5"/>
    <s v="Elective"/>
    <s v="Cancer"/>
    <n v="26"/>
    <s v="18-34"/>
    <s v="Male"/>
    <s v="Medicare"/>
    <n v="1.2"/>
    <n v="3052.16"/>
    <n v="0"/>
    <n v="3.7"/>
    <n v="0.78"/>
    <x v="2"/>
  </r>
  <r>
    <s v="ENC100028"/>
    <s v="PT59088"/>
    <s v="Metro Regional"/>
    <s v="Northeast"/>
    <d v="2025-02-26T00:00:00"/>
    <d v="2025-02-28T00:00:00"/>
    <x v="9"/>
    <s v="Elective"/>
    <s v="Maternal"/>
    <n v="27"/>
    <s v="18-34"/>
    <s v="Female"/>
    <s v="Medicare"/>
    <n v="1.7"/>
    <n v="3374.72"/>
    <n v="0"/>
    <n v="4"/>
    <n v="0.84"/>
    <x v="9"/>
  </r>
  <r>
    <s v="ENC100029"/>
    <s v="PT49906"/>
    <s v="Riverside Medical Center"/>
    <s v="West"/>
    <d v="2025-04-16T00:00:00"/>
    <d v="2025-04-17T00:00:00"/>
    <x v="3"/>
    <s v="Elective"/>
    <s v="Other"/>
    <n v="8"/>
    <s v="0-12"/>
    <s v="Female"/>
    <s v="Commercial"/>
    <n v="0.9"/>
    <n v="1425.31"/>
    <n v="0"/>
    <n v="3.5"/>
    <n v="0.81"/>
    <x v="7"/>
  </r>
  <r>
    <s v="ENC100030"/>
    <s v="PT50540"/>
    <s v="Northgate General"/>
    <s v="Midwest"/>
    <d v="2025-10-27T00:00:00"/>
    <d v="2025-11-03T00:00:00"/>
    <x v="8"/>
    <s v="Elective"/>
    <s v="Infectious"/>
    <n v="26"/>
    <s v="18-34"/>
    <s v="Female"/>
    <s v="Commercial"/>
    <n v="7"/>
    <n v="18621.71"/>
    <n v="1"/>
    <n v="4.2"/>
    <n v="0.85"/>
    <x v="3"/>
  </r>
  <r>
    <s v="ENC100031"/>
    <s v="PT30451"/>
    <s v="St. Catherine Hospital"/>
    <s v="Northeast"/>
    <d v="2025-09-25T00:00:00"/>
    <d v="2025-09-27T00:00:00"/>
    <x v="0"/>
    <s v="Elective"/>
    <s v="Injury"/>
    <n v="75"/>
    <s v="75+"/>
    <s v="Male"/>
    <s v="Self-Pay"/>
    <n v="1.5"/>
    <n v="2800.43"/>
    <n v="0"/>
    <n v="4.5999999999999996"/>
    <n v="0.76"/>
    <x v="6"/>
  </r>
  <r>
    <s v="ENC100032"/>
    <s v="PT18292"/>
    <s v="Riverside Medical Center"/>
    <s v="Northeast"/>
    <d v="2025-12-21T00:00:00"/>
    <d v="2025-12-23T00:00:00"/>
    <x v="8"/>
    <s v="Elective"/>
    <s v="GI"/>
    <n v="59"/>
    <s v="50-64"/>
    <s v="Female"/>
    <s v="Medicare"/>
    <n v="1.6"/>
    <n v="4052.51"/>
    <n v="0"/>
    <n v="4.9000000000000004"/>
    <n v="0.83"/>
    <x v="2"/>
  </r>
  <r>
    <s v="ENC100033"/>
    <s v="PT59912"/>
    <s v="Riverside Medical Center"/>
    <s v="Midwest"/>
    <d v="2025-10-01T00:00:00"/>
    <d v="2025-10-05T00:00:00"/>
    <x v="2"/>
    <s v="Emergency"/>
    <s v="Maternal"/>
    <n v="85"/>
    <s v="75+"/>
    <s v="Male"/>
    <s v="Commercial"/>
    <n v="3.8"/>
    <n v="9189.1299999999992"/>
    <n v="0"/>
    <n v="3.4"/>
    <n v="0.78"/>
    <x v="3"/>
  </r>
  <r>
    <s v="ENC100034"/>
    <s v="PT89909"/>
    <s v="Metro Regional"/>
    <s v="South"/>
    <d v="2025-08-21T00:00:00"/>
    <d v="2025-08-26T00:00:00"/>
    <x v="8"/>
    <s v="Elective"/>
    <s v="Injury"/>
    <n v="84"/>
    <s v="75+"/>
    <s v="Female"/>
    <s v="Medicare"/>
    <n v="4.5"/>
    <n v="12387.85"/>
    <n v="0"/>
    <n v="4.5999999999999996"/>
    <n v="0.82"/>
    <x v="4"/>
  </r>
  <r>
    <s v="ENC100035"/>
    <s v="PT15743"/>
    <s v="Metro Regional"/>
    <s v="West"/>
    <d v="2025-05-07T00:00:00"/>
    <d v="2025-05-08T00:00:00"/>
    <x v="3"/>
    <s v="Urgent"/>
    <s v="Pediatric"/>
    <n v="77"/>
    <s v="75+"/>
    <s v="Female"/>
    <s v="Commercial"/>
    <n v="0.5"/>
    <n v="767.54"/>
    <n v="0"/>
    <n v="4"/>
    <n v="0.85"/>
    <x v="10"/>
  </r>
  <r>
    <s v="ENC100036"/>
    <s v="PT87245"/>
    <s v="Metro Regional"/>
    <s v="Midwest"/>
    <d v="2025-01-02T00:00:00"/>
    <d v="2025-01-04T00:00:00"/>
    <x v="8"/>
    <s v="Elective"/>
    <s v="Respiratory"/>
    <n v="16"/>
    <s v="13-17"/>
    <s v="Male"/>
    <s v="Medicaid"/>
    <n v="1.2"/>
    <n v="3023.11"/>
    <n v="0"/>
    <n v="4.5"/>
    <n v="0.83"/>
    <x v="8"/>
  </r>
  <r>
    <s v="ENC100037"/>
    <s v="PT84485"/>
    <s v="Northgate General"/>
    <s v="South"/>
    <d v="2025-02-15T00:00:00"/>
    <d v="2025-02-17T00:00:00"/>
    <x v="7"/>
    <s v="Elective"/>
    <s v="Respiratory"/>
    <n v="30"/>
    <s v="18-34"/>
    <s v="Male"/>
    <s v="Commercial"/>
    <n v="1.7"/>
    <n v="5402.88"/>
    <n v="0"/>
    <n v="3.8"/>
    <n v="0.78"/>
    <x v="9"/>
  </r>
  <r>
    <s v="ENC100038"/>
    <s v="PT34908"/>
    <s v="Northgate General"/>
    <s v="Midwest"/>
    <d v="2025-04-19T00:00:00"/>
    <d v="2025-04-27T00:00:00"/>
    <x v="8"/>
    <s v="Emergency"/>
    <s v="Cardiac"/>
    <n v="5"/>
    <s v="0-12"/>
    <s v="Female"/>
    <s v="Medicaid"/>
    <n v="7.7"/>
    <n v="19577.29"/>
    <n v="1"/>
    <n v="3.6"/>
    <n v="0.79"/>
    <x v="7"/>
  </r>
  <r>
    <s v="ENC100039"/>
    <s v="PT66849"/>
    <s v="St. Catherine Hospital"/>
    <s v="West"/>
    <d v="2025-01-15T00:00:00"/>
    <d v="2025-01-17T00:00:00"/>
    <x v="3"/>
    <s v="Elective"/>
    <s v="Cardiac"/>
    <n v="8"/>
    <s v="0-12"/>
    <s v="Female"/>
    <s v="Medicare"/>
    <n v="1.4"/>
    <n v="2620.0700000000002"/>
    <n v="0"/>
    <n v="4.3"/>
    <n v="0.78"/>
    <x v="8"/>
  </r>
  <r>
    <s v="ENC100040"/>
    <s v="PT24870"/>
    <s v="St. Catherine Hospital"/>
    <s v="South"/>
    <d v="2025-07-05T00:00:00"/>
    <d v="2025-07-08T00:00:00"/>
    <x v="1"/>
    <s v="Urgent"/>
    <s v="Other"/>
    <n v="21"/>
    <s v="18-34"/>
    <s v="Female"/>
    <s v="Commercial"/>
    <n v="2.5"/>
    <n v="8130.91"/>
    <n v="0"/>
    <n v="4.5"/>
    <n v="0.84"/>
    <x v="5"/>
  </r>
  <r>
    <s v="ENC100041"/>
    <s v="PT78227"/>
    <s v="Riverside Medical Center"/>
    <s v="Northeast"/>
    <d v="2025-10-11T00:00:00"/>
    <d v="2025-10-17T00:00:00"/>
    <x v="6"/>
    <s v="Emergency"/>
    <s v="Cancer"/>
    <n v="25"/>
    <s v="18-34"/>
    <s v="Female"/>
    <s v="Commercial"/>
    <n v="5.6"/>
    <n v="14981.38"/>
    <n v="0"/>
    <n v="4.8"/>
    <n v="0.81"/>
    <x v="3"/>
  </r>
  <r>
    <s v="ENC100042"/>
    <s v="PT73046"/>
    <s v="Lakeside Health"/>
    <s v="South"/>
    <d v="2025-12-18T00:00:00"/>
    <d v="2025-12-21T00:00:00"/>
    <x v="7"/>
    <s v="Emergency"/>
    <s v="Injury"/>
    <n v="1"/>
    <s v="0-12"/>
    <s v="Female"/>
    <s v="Medicaid"/>
    <n v="2.4"/>
    <n v="6743.06"/>
    <n v="0"/>
    <n v="4"/>
    <n v="0.75"/>
    <x v="2"/>
  </r>
  <r>
    <s v="ENC100043"/>
    <s v="PT41906"/>
    <s v="Metro Regional"/>
    <s v="West"/>
    <d v="2025-06-28T00:00:00"/>
    <d v="2025-06-29T00:00:00"/>
    <x v="3"/>
    <s v="Emergency"/>
    <s v="Cancer"/>
    <n v="76"/>
    <s v="75+"/>
    <s v="Male"/>
    <s v="Commercial"/>
    <n v="1"/>
    <n v="2325.17"/>
    <n v="0"/>
    <n v="3.6"/>
    <n v="0.85"/>
    <x v="1"/>
  </r>
  <r>
    <s v="ENC100044"/>
    <s v="PT16112"/>
    <s v="St. Catherine Hospital"/>
    <s v="Midwest"/>
    <d v="2025-11-16T00:00:00"/>
    <d v="2025-11-17T00:00:00"/>
    <x v="6"/>
    <s v="Emergency"/>
    <s v="Cancer"/>
    <n v="47"/>
    <s v="35-49"/>
    <s v="Female"/>
    <s v="Commercial"/>
    <n v="0.9"/>
    <n v="2405.27"/>
    <n v="1"/>
    <n v="2.4"/>
    <n v="0.81"/>
    <x v="0"/>
  </r>
  <r>
    <s v="ENC100045"/>
    <s v="PT97361"/>
    <s v="Northgate General"/>
    <s v="West"/>
    <d v="2025-12-26T00:00:00"/>
    <d v="2025-12-31T00:00:00"/>
    <x v="6"/>
    <s v="Elective"/>
    <s v="Injury"/>
    <n v="59"/>
    <s v="50-64"/>
    <s v="Female"/>
    <s v="Medicaid"/>
    <n v="4.9000000000000004"/>
    <n v="10255.84"/>
    <n v="0"/>
    <n v="2.9"/>
    <n v="0.81"/>
    <x v="2"/>
  </r>
  <r>
    <s v="ENC100046"/>
    <s v="PT50111"/>
    <s v="Northgate General"/>
    <s v="West"/>
    <d v="2025-11-10T00:00:00"/>
    <d v="2025-11-13T00:00:00"/>
    <x v="4"/>
    <s v="Emergency"/>
    <s v="Cardiac"/>
    <n v="59"/>
    <s v="50-64"/>
    <s v="Female"/>
    <s v="Commercial"/>
    <n v="2.9"/>
    <n v="13574.26"/>
    <n v="0"/>
    <n v="3.6"/>
    <n v="0.79"/>
    <x v="0"/>
  </r>
  <r>
    <s v="ENC100047"/>
    <s v="PT90380"/>
    <s v="Riverside Medical Center"/>
    <s v="Northeast"/>
    <d v="2025-06-19T00:00:00"/>
    <d v="2025-06-21T00:00:00"/>
    <x v="8"/>
    <s v="Emergency"/>
    <s v="GI"/>
    <n v="87"/>
    <s v="75+"/>
    <s v="Female"/>
    <s v="Commercial"/>
    <n v="1.6"/>
    <n v="3935.1"/>
    <n v="1"/>
    <n v="3.2"/>
    <n v="0.84"/>
    <x v="1"/>
  </r>
  <r>
    <s v="ENC100048"/>
    <s v="PT71012"/>
    <s v="Northgate General"/>
    <s v="West"/>
    <d v="2025-04-29T00:00:00"/>
    <d v="2025-05-04T00:00:00"/>
    <x v="1"/>
    <s v="Elective"/>
    <s v="Cardiac"/>
    <n v="13"/>
    <s v="13-17"/>
    <s v="Male"/>
    <s v="Commercial"/>
    <n v="4.0999999999999996"/>
    <n v="12669.18"/>
    <n v="0"/>
    <n v="4.4000000000000004"/>
    <n v="0.77"/>
    <x v="7"/>
  </r>
  <r>
    <s v="ENC100049"/>
    <s v="PT80053"/>
    <s v="St. Catherine Hospital"/>
    <s v="South"/>
    <d v="2025-12-23T00:00:00"/>
    <d v="2025-12-24T00:00:00"/>
    <x v="9"/>
    <s v="Elective"/>
    <s v="Maternal"/>
    <n v="31"/>
    <s v="18-34"/>
    <s v="Female"/>
    <s v="Medicaid"/>
    <n v="0.2"/>
    <n v="393.64"/>
    <n v="0"/>
    <n v="3.1"/>
    <n v="0.76"/>
    <x v="2"/>
  </r>
  <r>
    <s v="ENC100050"/>
    <s v="PT78390"/>
    <s v="St. Catherine Hospital"/>
    <s v="South"/>
    <d v="2025-03-30T00:00:00"/>
    <d v="2025-03-31T00:00:00"/>
    <x v="3"/>
    <s v="Elective"/>
    <s v="Cardiac"/>
    <n v="28"/>
    <s v="18-34"/>
    <s v="Female"/>
    <s v="Commercial"/>
    <n v="0.3"/>
    <n v="674.89"/>
    <n v="0"/>
    <n v="3.4"/>
    <n v="0.74"/>
    <x v="11"/>
  </r>
  <r>
    <s v="ENC100051"/>
    <s v="PT27517"/>
    <s v="St. Catherine Hospital"/>
    <s v="Midwest"/>
    <d v="2025-05-31T00:00:00"/>
    <d v="2025-06-02T00:00:00"/>
    <x v="3"/>
    <s v="Elective"/>
    <s v="Maternal"/>
    <n v="50"/>
    <s v="50-64"/>
    <s v="Male"/>
    <s v="Commercial"/>
    <n v="1.6"/>
    <n v="2871.11"/>
    <n v="0"/>
    <n v="3.4"/>
    <n v="0.73"/>
    <x v="10"/>
  </r>
  <r>
    <s v="ENC100052"/>
    <s v="PT42751"/>
    <s v="Metro Regional"/>
    <s v="West"/>
    <d v="2025-01-28T00:00:00"/>
    <d v="2025-01-29T00:00:00"/>
    <x v="3"/>
    <s v="Elective"/>
    <s v="Pediatric"/>
    <n v="47"/>
    <s v="35-49"/>
    <s v="Male"/>
    <s v="Commercial"/>
    <n v="0.4"/>
    <n v="715.68"/>
    <n v="0"/>
    <n v="4.4000000000000004"/>
    <n v="0.91"/>
    <x v="8"/>
  </r>
  <r>
    <s v="ENC100053"/>
    <s v="PT52004"/>
    <s v="Northgate General"/>
    <s v="South"/>
    <d v="2025-10-17T00:00:00"/>
    <d v="2025-11-07T00:00:00"/>
    <x v="4"/>
    <s v="Elective"/>
    <s v="Cardiac"/>
    <n v="71"/>
    <s v="65-74"/>
    <s v="Male"/>
    <s v="Commercial"/>
    <n v="21"/>
    <n v="81950.03"/>
    <n v="0"/>
    <n v="3.2"/>
    <n v="0.69"/>
    <x v="3"/>
  </r>
  <r>
    <s v="ENC100054"/>
    <s v="PT54800"/>
    <s v="Riverside Medical Center"/>
    <s v="South"/>
    <d v="2025-08-26T00:00:00"/>
    <d v="2025-08-28T00:00:00"/>
    <x v="3"/>
    <s v="Elective"/>
    <s v="Respiratory"/>
    <n v="51"/>
    <s v="50-64"/>
    <s v="Male"/>
    <s v="Commercial"/>
    <n v="1.1000000000000001"/>
    <n v="2151.87"/>
    <n v="0"/>
    <n v="4"/>
    <n v="0.87"/>
    <x v="4"/>
  </r>
  <r>
    <s v="ENC100055"/>
    <s v="PT13942"/>
    <s v="Riverside Medical Center"/>
    <s v="Northeast"/>
    <d v="2025-01-31T00:00:00"/>
    <d v="2025-02-01T00:00:00"/>
    <x v="1"/>
    <s v="Emergency"/>
    <s v="Other"/>
    <n v="21"/>
    <s v="18-34"/>
    <s v="Male"/>
    <s v="Commercial"/>
    <n v="0.6"/>
    <n v="1934.34"/>
    <n v="0"/>
    <n v="4"/>
    <n v="0.79"/>
    <x v="8"/>
  </r>
  <r>
    <s v="ENC100056"/>
    <s v="PT59190"/>
    <s v="Riverside Medical Center"/>
    <s v="Midwest"/>
    <d v="2025-03-23T00:00:00"/>
    <d v="2025-03-31T00:00:00"/>
    <x v="2"/>
    <s v="Elective"/>
    <s v="Neurological"/>
    <n v="51"/>
    <s v="50-64"/>
    <s v="Male"/>
    <s v="Commercial"/>
    <n v="7.3"/>
    <n v="16726.29"/>
    <n v="1"/>
    <n v="4.2"/>
    <n v="0.87"/>
    <x v="11"/>
  </r>
  <r>
    <s v="ENC100057"/>
    <s v="PT23885"/>
    <s v="St. Catherine Hospital"/>
    <s v="West"/>
    <d v="2025-07-22T00:00:00"/>
    <d v="2025-07-26T00:00:00"/>
    <x v="1"/>
    <s v="Emergency"/>
    <s v="GI"/>
    <n v="87"/>
    <s v="75+"/>
    <s v="Male"/>
    <s v="Commercial"/>
    <n v="3.9"/>
    <n v="13166.15"/>
    <n v="0"/>
    <n v="4.4000000000000004"/>
    <n v="0.71"/>
    <x v="5"/>
  </r>
  <r>
    <s v="ENC100058"/>
    <s v="PT76903"/>
    <s v="Metro Regional"/>
    <s v="South"/>
    <d v="2025-07-17T00:00:00"/>
    <d v="2025-07-19T00:00:00"/>
    <x v="0"/>
    <s v="Emergency"/>
    <s v="Respiratory"/>
    <n v="52"/>
    <s v="50-64"/>
    <s v="Female"/>
    <s v="Medicaid"/>
    <n v="1.8"/>
    <n v="3540.25"/>
    <n v="0"/>
    <n v="3.9"/>
    <n v="0.83"/>
    <x v="5"/>
  </r>
  <r>
    <s v="ENC100059"/>
    <s v="PT71473"/>
    <s v="Metro Regional"/>
    <s v="Northeast"/>
    <d v="2025-10-20T00:00:00"/>
    <d v="2025-10-23T00:00:00"/>
    <x v="9"/>
    <s v="Emergency"/>
    <s v="Injury"/>
    <n v="53"/>
    <s v="50-64"/>
    <s v="Male"/>
    <s v="Commercial"/>
    <n v="2.5"/>
    <n v="5683.65"/>
    <n v="0"/>
    <n v="2.9"/>
    <n v="0.9"/>
    <x v="3"/>
  </r>
  <r>
    <s v="ENC100060"/>
    <s v="PT93026"/>
    <s v="Lakeside Health"/>
    <s v="West"/>
    <d v="2025-04-08T00:00:00"/>
    <d v="2025-04-09T00:00:00"/>
    <x v="3"/>
    <s v="Urgent"/>
    <s v="Neurological"/>
    <n v="16"/>
    <s v="13-17"/>
    <s v="Male"/>
    <s v="Commercial"/>
    <n v="0.2"/>
    <n v="406.51"/>
    <n v="1"/>
    <n v="3.6"/>
    <n v="0.78"/>
    <x v="7"/>
  </r>
  <r>
    <s v="ENC100061"/>
    <s v="PT77027"/>
    <s v="Northgate General"/>
    <s v="West"/>
    <d v="2025-12-04T00:00:00"/>
    <d v="2025-12-08T00:00:00"/>
    <x v="7"/>
    <s v="Elective"/>
    <s v="Other"/>
    <n v="0"/>
    <s v="0-12"/>
    <s v="Male"/>
    <s v="Medicaid"/>
    <n v="3.9"/>
    <n v="11282.06"/>
    <n v="0"/>
    <n v="3.9"/>
    <n v="0.77"/>
    <x v="2"/>
  </r>
  <r>
    <s v="ENC100062"/>
    <s v="PT42997"/>
    <s v="Riverside Medical Center"/>
    <s v="South"/>
    <d v="2025-06-12T00:00:00"/>
    <d v="2025-06-14T00:00:00"/>
    <x v="6"/>
    <s v="Emergency"/>
    <s v="Injury"/>
    <n v="19"/>
    <s v="18-34"/>
    <s v="Female"/>
    <s v="Medicaid"/>
    <n v="1.2"/>
    <n v="2687.24"/>
    <n v="0"/>
    <n v="4.0999999999999996"/>
    <n v="0.74"/>
    <x v="1"/>
  </r>
  <r>
    <s v="ENC100063"/>
    <s v="PT97074"/>
    <s v="Northgate General"/>
    <s v="Northeast"/>
    <d v="2025-10-28T00:00:00"/>
    <d v="2025-10-30T00:00:00"/>
    <x v="9"/>
    <s v="Elective"/>
    <s v="Maternal"/>
    <n v="2"/>
    <s v="0-12"/>
    <s v="Male"/>
    <s v="Medicare"/>
    <n v="1.9"/>
    <n v="3782.02"/>
    <n v="0"/>
    <n v="3.5"/>
    <n v="0.73"/>
    <x v="3"/>
  </r>
  <r>
    <s v="ENC100064"/>
    <s v="PT46976"/>
    <s v="Northgate General"/>
    <s v="South"/>
    <d v="2025-03-29T00:00:00"/>
    <d v="2025-03-31T00:00:00"/>
    <x v="0"/>
    <s v="Emergency"/>
    <s v="GI"/>
    <n v="41"/>
    <s v="35-49"/>
    <s v="Female"/>
    <s v="Commercial"/>
    <n v="1.4"/>
    <n v="3014.16"/>
    <n v="0"/>
    <n v="4.5999999999999996"/>
    <n v="0.84"/>
    <x v="11"/>
  </r>
  <r>
    <s v="ENC100065"/>
    <s v="PT39323"/>
    <s v="Metro Regional"/>
    <s v="Northeast"/>
    <d v="2025-01-14T00:00:00"/>
    <d v="2025-01-18T00:00:00"/>
    <x v="1"/>
    <s v="Elective"/>
    <s v="Respiratory"/>
    <n v="80"/>
    <s v="75+"/>
    <s v="Male"/>
    <s v="Commercial"/>
    <n v="3.4"/>
    <n v="12205.05"/>
    <n v="0"/>
    <n v="3.9"/>
    <n v="0.83"/>
    <x v="8"/>
  </r>
  <r>
    <s v="ENC100066"/>
    <s v="PT91497"/>
    <s v="St. Catherine Hospital"/>
    <s v="Midwest"/>
    <d v="2025-01-21T00:00:00"/>
    <d v="2025-01-24T00:00:00"/>
    <x v="8"/>
    <s v="Elective"/>
    <s v="Injury"/>
    <n v="40"/>
    <s v="35-49"/>
    <s v="Female"/>
    <s v="Commercial"/>
    <n v="2.2999999999999998"/>
    <n v="5824.8"/>
    <n v="0"/>
    <n v="3.3"/>
    <n v="0.8"/>
    <x v="8"/>
  </r>
  <r>
    <s v="ENC100067"/>
    <s v="PT43341"/>
    <s v="Northgate General"/>
    <s v="South"/>
    <d v="2025-05-17T00:00:00"/>
    <d v="2025-05-19T00:00:00"/>
    <x v="9"/>
    <s v="Elective"/>
    <s v="Cardiac"/>
    <n v="58"/>
    <s v="50-64"/>
    <s v="Male"/>
    <s v="Commercial"/>
    <n v="1.3"/>
    <n v="3503.8"/>
    <n v="1"/>
    <n v="3.6"/>
    <n v="0.79"/>
    <x v="10"/>
  </r>
  <r>
    <s v="ENC100068"/>
    <s v="PT16870"/>
    <s v="Northgate General"/>
    <s v="West"/>
    <d v="2025-12-14T00:00:00"/>
    <d v="2025-12-16T00:00:00"/>
    <x v="5"/>
    <s v="Elective"/>
    <s v="Cancer"/>
    <n v="77"/>
    <s v="75+"/>
    <s v="Male"/>
    <s v="Commercial"/>
    <n v="1.4"/>
    <n v="4218.46"/>
    <n v="1"/>
    <n v="5"/>
    <n v="0.73"/>
    <x v="2"/>
  </r>
  <r>
    <s v="ENC100069"/>
    <s v="PT52259"/>
    <s v="Riverside Medical Center"/>
    <s v="Midwest"/>
    <d v="2025-01-18T00:00:00"/>
    <d v="2025-01-19T00:00:00"/>
    <x v="5"/>
    <s v="Emergency"/>
    <s v="GI"/>
    <n v="69"/>
    <s v="65-74"/>
    <s v="Female"/>
    <s v="Medicare"/>
    <n v="0.6"/>
    <n v="1597.21"/>
    <n v="0"/>
    <n v="4.3"/>
    <n v="0.84"/>
    <x v="8"/>
  </r>
  <r>
    <s v="ENC100070"/>
    <s v="PT81610"/>
    <s v="Metro Regional"/>
    <s v="West"/>
    <d v="2025-05-15T00:00:00"/>
    <d v="2025-05-16T00:00:00"/>
    <x v="9"/>
    <s v="Emergency"/>
    <s v="Cancer"/>
    <n v="59"/>
    <s v="50-64"/>
    <s v="Female"/>
    <s v="Commercial"/>
    <n v="0.3"/>
    <n v="777.44"/>
    <n v="0"/>
    <n v="4.5"/>
    <n v="0.82"/>
    <x v="10"/>
  </r>
  <r>
    <s v="ENC100071"/>
    <s v="PT27052"/>
    <s v="Riverside Medical Center"/>
    <s v="West"/>
    <d v="2025-02-09T00:00:00"/>
    <d v="2025-02-11T00:00:00"/>
    <x v="7"/>
    <s v="Urgent"/>
    <s v="Cardiac"/>
    <n v="71"/>
    <s v="65-74"/>
    <s v="Female"/>
    <s v="Medicare"/>
    <n v="1.2"/>
    <n v="3579.67"/>
    <n v="0"/>
    <n v="3.3"/>
    <n v="0.83"/>
    <x v="9"/>
  </r>
  <r>
    <s v="ENC100072"/>
    <s v="PT51664"/>
    <s v="Riverside Medical Center"/>
    <s v="Northeast"/>
    <d v="2025-12-07T00:00:00"/>
    <d v="2025-12-14T00:00:00"/>
    <x v="7"/>
    <s v="Elective"/>
    <s v="GI"/>
    <n v="25"/>
    <s v="18-34"/>
    <s v="Male"/>
    <s v="Commercial"/>
    <n v="6.4"/>
    <n v="22401.05"/>
    <n v="0"/>
    <n v="3.5"/>
    <n v="0.8"/>
    <x v="2"/>
  </r>
  <r>
    <s v="ENC100073"/>
    <s v="PT21692"/>
    <s v="Riverside Medical Center"/>
    <s v="Northeast"/>
    <d v="2025-09-04T00:00:00"/>
    <d v="2025-09-05T00:00:00"/>
    <x v="0"/>
    <s v="Emergency"/>
    <s v="Infectious"/>
    <n v="38"/>
    <s v="35-49"/>
    <s v="Male"/>
    <s v="Commercial"/>
    <n v="0.8"/>
    <n v="1580.06"/>
    <n v="0"/>
    <n v="3.5"/>
    <n v="0.76"/>
    <x v="6"/>
  </r>
  <r>
    <s v="ENC100074"/>
    <s v="PT71782"/>
    <s v="Metro Regional"/>
    <s v="South"/>
    <d v="2025-10-06T00:00:00"/>
    <d v="2025-10-07T00:00:00"/>
    <x v="3"/>
    <s v="Emergency"/>
    <s v="Neurological"/>
    <n v="36"/>
    <s v="35-49"/>
    <s v="Male"/>
    <s v="Medicaid"/>
    <n v="0.6"/>
    <n v="1086.03"/>
    <n v="0"/>
    <n v="3.8"/>
    <n v="0.82"/>
    <x v="3"/>
  </r>
  <r>
    <s v="ENC100075"/>
    <s v="PT52812"/>
    <s v="St. Catherine Hospital"/>
    <s v="South"/>
    <d v="2025-09-18T00:00:00"/>
    <d v="2025-09-20T00:00:00"/>
    <x v="6"/>
    <s v="Emergency"/>
    <s v="Infectious"/>
    <n v="72"/>
    <s v="65-74"/>
    <s v="Female"/>
    <s v="Medicaid"/>
    <n v="1.5"/>
    <n v="3823.19"/>
    <n v="0"/>
    <n v="3.8"/>
    <n v="0.83"/>
    <x v="6"/>
  </r>
  <r>
    <s v="ENC100076"/>
    <s v="PT39717"/>
    <s v="Lakeside Health"/>
    <s v="Midwest"/>
    <d v="2025-08-28T00:00:00"/>
    <d v="2025-08-31T00:00:00"/>
    <x v="8"/>
    <s v="Emergency"/>
    <s v="Cardiac"/>
    <n v="37"/>
    <s v="35-49"/>
    <s v="Male"/>
    <s v="Commercial"/>
    <n v="2.2000000000000002"/>
    <n v="6757.74"/>
    <n v="0"/>
    <n v="3.6"/>
    <n v="0.77"/>
    <x v="4"/>
  </r>
  <r>
    <s v="ENC100077"/>
    <s v="PT30421"/>
    <s v="Northgate General"/>
    <s v="South"/>
    <d v="2025-10-10T00:00:00"/>
    <d v="2025-10-12T00:00:00"/>
    <x v="3"/>
    <s v="Emergency"/>
    <s v="GI"/>
    <n v="85"/>
    <s v="75+"/>
    <s v="Male"/>
    <s v="Medicare"/>
    <n v="1.4"/>
    <n v="2177.8000000000002"/>
    <n v="0"/>
    <n v="3.5"/>
    <n v="0.78"/>
    <x v="3"/>
  </r>
  <r>
    <s v="ENC100078"/>
    <s v="PT60804"/>
    <s v="Riverside Medical Center"/>
    <s v="South"/>
    <d v="2025-01-03T00:00:00"/>
    <d v="2025-01-06T00:00:00"/>
    <x v="1"/>
    <s v="Emergency"/>
    <s v="Cancer"/>
    <n v="16"/>
    <s v="13-17"/>
    <s v="Female"/>
    <s v="Commercial"/>
    <n v="2.6"/>
    <n v="8811.0400000000009"/>
    <n v="0"/>
    <n v="3.4"/>
    <n v="0.86"/>
    <x v="8"/>
  </r>
  <r>
    <s v="ENC100079"/>
    <s v="PT70282"/>
    <s v="Metro Regional"/>
    <s v="South"/>
    <d v="2025-11-12T00:00:00"/>
    <d v="2025-11-16T00:00:00"/>
    <x v="0"/>
    <s v="Urgent"/>
    <s v="Injury"/>
    <n v="15"/>
    <s v="13-17"/>
    <s v="Female"/>
    <s v="Commercial"/>
    <n v="3.5"/>
    <n v="7460.69"/>
    <n v="0"/>
    <n v="3.8"/>
    <n v="0.83"/>
    <x v="0"/>
  </r>
  <r>
    <s v="ENC100080"/>
    <s v="PT94626"/>
    <s v="Riverside Medical Center"/>
    <s v="South"/>
    <d v="2025-09-28T00:00:00"/>
    <d v="2025-09-29T00:00:00"/>
    <x v="6"/>
    <s v="Emergency"/>
    <s v="Cardiac"/>
    <n v="65"/>
    <s v="65-74"/>
    <s v="Female"/>
    <s v="Medicaid"/>
    <n v="0.8"/>
    <n v="1916.26"/>
    <n v="0"/>
    <n v="4.5999999999999996"/>
    <n v="0.82"/>
    <x v="6"/>
  </r>
  <r>
    <s v="ENC100081"/>
    <s v="PT49343"/>
    <s v="Riverside Medical Center"/>
    <s v="Northeast"/>
    <d v="2025-09-27T00:00:00"/>
    <d v="2025-10-05T00:00:00"/>
    <x v="7"/>
    <s v="Emergency"/>
    <s v="Infectious"/>
    <n v="69"/>
    <s v="65-74"/>
    <s v="Female"/>
    <s v="Commercial"/>
    <n v="7.4"/>
    <n v="23957.35"/>
    <n v="0"/>
    <n v="2.8"/>
    <n v="0.8"/>
    <x v="6"/>
  </r>
  <r>
    <s v="ENC100082"/>
    <s v="PT24461"/>
    <s v="St. Catherine Hospital"/>
    <s v="Northeast"/>
    <d v="2025-05-24T00:00:00"/>
    <d v="2025-06-05T00:00:00"/>
    <x v="7"/>
    <s v="Emergency"/>
    <s v="Infectious"/>
    <n v="61"/>
    <s v="50-64"/>
    <s v="Female"/>
    <s v="Medicare"/>
    <n v="11.4"/>
    <n v="30284.41"/>
    <n v="0"/>
    <n v="3.9"/>
    <n v="0.84"/>
    <x v="10"/>
  </r>
  <r>
    <s v="ENC100083"/>
    <s v="PT84940"/>
    <s v="Riverside Medical Center"/>
    <s v="Northeast"/>
    <d v="2025-10-20T00:00:00"/>
    <d v="2025-10-26T00:00:00"/>
    <x v="4"/>
    <s v="Emergency"/>
    <s v="Injury"/>
    <n v="28"/>
    <s v="18-34"/>
    <s v="Female"/>
    <s v="Medicare"/>
    <n v="5.6"/>
    <n v="21974.080000000002"/>
    <n v="0"/>
    <n v="4.5999999999999996"/>
    <n v="0.83"/>
    <x v="3"/>
  </r>
  <r>
    <s v="ENC100084"/>
    <s v="PT66678"/>
    <s v="Riverside Medical Center"/>
    <s v="West"/>
    <d v="2025-05-20T00:00:00"/>
    <d v="2025-05-21T00:00:00"/>
    <x v="9"/>
    <s v="Elective"/>
    <s v="Pediatric"/>
    <n v="0"/>
    <s v="0-12"/>
    <s v="Female"/>
    <s v="Commercial"/>
    <n v="0.7"/>
    <n v="1475.37"/>
    <n v="0"/>
    <n v="3.8"/>
    <n v="0.8"/>
    <x v="10"/>
  </r>
  <r>
    <s v="ENC100085"/>
    <s v="PT73023"/>
    <s v="Metro Regional"/>
    <s v="West"/>
    <d v="2025-01-18T00:00:00"/>
    <d v="2025-01-22T00:00:00"/>
    <x v="9"/>
    <s v="Emergency"/>
    <s v="Pediatric"/>
    <n v="29"/>
    <s v="18-34"/>
    <s v="Female"/>
    <s v="Commercial"/>
    <n v="3.1"/>
    <n v="6886.36"/>
    <n v="0"/>
    <n v="3.6"/>
    <n v="0.78"/>
    <x v="8"/>
  </r>
  <r>
    <s v="ENC100086"/>
    <s v="PT18750"/>
    <s v="St. Catherine Hospital"/>
    <s v="West"/>
    <d v="2025-11-28T00:00:00"/>
    <d v="2025-12-02T00:00:00"/>
    <x v="7"/>
    <s v="Elective"/>
    <s v="Respiratory"/>
    <n v="42"/>
    <s v="35-49"/>
    <s v="Female"/>
    <s v="Commercial"/>
    <n v="3.9"/>
    <n v="14235.56"/>
    <n v="0"/>
    <n v="4.5"/>
    <n v="0.84"/>
    <x v="0"/>
  </r>
  <r>
    <s v="ENC100087"/>
    <s v="PT38112"/>
    <s v="Northgate General"/>
    <s v="Northeast"/>
    <d v="2025-03-27T00:00:00"/>
    <d v="2025-03-30T00:00:00"/>
    <x v="6"/>
    <s v="Elective"/>
    <s v="GI"/>
    <n v="37"/>
    <s v="35-49"/>
    <s v="Male"/>
    <s v="Self-Pay"/>
    <n v="3"/>
    <n v="5889.64"/>
    <n v="0"/>
    <n v="3.3"/>
    <n v="0.75"/>
    <x v="11"/>
  </r>
  <r>
    <s v="ENC100088"/>
    <s v="PT79105"/>
    <s v="Northgate General"/>
    <s v="South"/>
    <d v="2025-02-07T00:00:00"/>
    <d v="2025-02-14T00:00:00"/>
    <x v="5"/>
    <s v="Emergency"/>
    <s v="Cancer"/>
    <n v="83"/>
    <s v="75+"/>
    <s v="Female"/>
    <s v="Medicare"/>
    <n v="6.7"/>
    <n v="18300.400000000001"/>
    <n v="1"/>
    <n v="3.9"/>
    <n v="0.78"/>
    <x v="9"/>
  </r>
  <r>
    <s v="ENC100089"/>
    <s v="PT84902"/>
    <s v="Lakeside Health"/>
    <s v="Northeast"/>
    <d v="2025-08-15T00:00:00"/>
    <d v="2025-08-17T00:00:00"/>
    <x v="0"/>
    <s v="Elective"/>
    <s v="Other"/>
    <n v="78"/>
    <s v="75+"/>
    <s v="Female"/>
    <s v="Commercial"/>
    <n v="1.3"/>
    <n v="2482.52"/>
    <n v="0"/>
    <n v="3.3"/>
    <n v="0.84"/>
    <x v="4"/>
  </r>
  <r>
    <s v="ENC100090"/>
    <s v="PT49169"/>
    <s v="Riverside Medical Center"/>
    <s v="Midwest"/>
    <d v="2025-03-27T00:00:00"/>
    <d v="2025-03-30T00:00:00"/>
    <x v="5"/>
    <s v="Urgent"/>
    <s v="Cardiac"/>
    <n v="70"/>
    <s v="65-74"/>
    <s v="Male"/>
    <s v="Commercial"/>
    <n v="2.2000000000000002"/>
    <n v="6991.05"/>
    <n v="1"/>
    <n v="2.8"/>
    <n v="0.85"/>
    <x v="11"/>
  </r>
  <r>
    <s v="ENC100091"/>
    <s v="PT82427"/>
    <s v="Riverside Medical Center"/>
    <s v="Northeast"/>
    <d v="2025-11-10T00:00:00"/>
    <d v="2025-12-01T00:00:00"/>
    <x v="4"/>
    <s v="Emergency"/>
    <s v="Injury"/>
    <n v="2"/>
    <s v="0-12"/>
    <s v="Male"/>
    <s v="Medicare"/>
    <n v="21"/>
    <n v="88295.09"/>
    <n v="0"/>
    <n v="3.5"/>
    <n v="0.88"/>
    <x v="0"/>
  </r>
  <r>
    <s v="ENC100092"/>
    <s v="PT85751"/>
    <s v="Lakeside Health"/>
    <s v="West"/>
    <d v="2025-06-11T00:00:00"/>
    <d v="2025-06-14T00:00:00"/>
    <x v="0"/>
    <s v="Emergency"/>
    <s v="Cancer"/>
    <n v="11"/>
    <s v="0-12"/>
    <s v="Female"/>
    <s v="Commercial"/>
    <n v="2.9"/>
    <n v="6670.96"/>
    <n v="0"/>
    <n v="3.1"/>
    <n v="0.73"/>
    <x v="1"/>
  </r>
  <r>
    <s v="ENC100093"/>
    <s v="PT44872"/>
    <s v="Lakeside Health"/>
    <s v="Northeast"/>
    <d v="2025-01-02T00:00:00"/>
    <d v="2025-01-08T00:00:00"/>
    <x v="6"/>
    <s v="Urgent"/>
    <s v="Injury"/>
    <n v="39"/>
    <s v="35-49"/>
    <s v="Female"/>
    <s v="Medicare"/>
    <n v="5.2"/>
    <n v="12171.1"/>
    <n v="0"/>
    <n v="3.9"/>
    <n v="0.79"/>
    <x v="8"/>
  </r>
  <r>
    <s v="ENC100094"/>
    <s v="PT90826"/>
    <s v="Metro Regional"/>
    <s v="South"/>
    <d v="2025-12-14T00:00:00"/>
    <d v="2025-12-19T00:00:00"/>
    <x v="6"/>
    <s v="Urgent"/>
    <s v="GI"/>
    <n v="56"/>
    <s v="50-64"/>
    <s v="Female"/>
    <s v="Medicaid"/>
    <n v="4.4000000000000004"/>
    <n v="9052.5499999999993"/>
    <n v="0"/>
    <n v="4.5999999999999996"/>
    <n v="0.84"/>
    <x v="2"/>
  </r>
  <r>
    <s v="ENC100095"/>
    <s v="PT35949"/>
    <s v="Northgate General"/>
    <s v="West"/>
    <d v="2025-07-07T00:00:00"/>
    <d v="2025-07-17T00:00:00"/>
    <x v="7"/>
    <s v="Emergency"/>
    <s v="Neurological"/>
    <n v="61"/>
    <s v="50-64"/>
    <s v="Male"/>
    <s v="Medicare"/>
    <n v="9.3000000000000007"/>
    <n v="29217.32"/>
    <n v="0"/>
    <n v="4.8"/>
    <n v="0.79"/>
    <x v="5"/>
  </r>
  <r>
    <s v="ENC100096"/>
    <s v="PT31559"/>
    <s v="Riverside Medical Center"/>
    <s v="South"/>
    <d v="2025-04-06T00:00:00"/>
    <d v="2025-04-08T00:00:00"/>
    <x v="3"/>
    <s v="Elective"/>
    <s v="Cardiac"/>
    <n v="26"/>
    <s v="18-34"/>
    <s v="Female"/>
    <s v="Commercial"/>
    <n v="1.2"/>
    <n v="2938.72"/>
    <n v="0"/>
    <n v="3.8"/>
    <n v="0.9"/>
    <x v="7"/>
  </r>
  <r>
    <s v="ENC100097"/>
    <s v="PT71423"/>
    <s v="St. Catherine Hospital"/>
    <s v="Northeast"/>
    <d v="2025-09-05T00:00:00"/>
    <d v="2025-09-12T00:00:00"/>
    <x v="8"/>
    <s v="Emergency"/>
    <s v="Neurological"/>
    <n v="10"/>
    <s v="0-12"/>
    <s v="Female"/>
    <s v="Commercial"/>
    <n v="6.2"/>
    <n v="18513.43"/>
    <n v="0"/>
    <n v="4.5"/>
    <n v="0.79"/>
    <x v="6"/>
  </r>
  <r>
    <s v="ENC100098"/>
    <s v="PT67307"/>
    <s v="Lakeside Health"/>
    <s v="West"/>
    <d v="2025-07-13T00:00:00"/>
    <d v="2025-07-15T00:00:00"/>
    <x v="2"/>
    <s v="Elective"/>
    <s v="Other"/>
    <n v="29"/>
    <s v="18-34"/>
    <s v="Male"/>
    <s v="Commercial"/>
    <n v="1.5"/>
    <n v="3275.45"/>
    <n v="0"/>
    <n v="4.0999999999999996"/>
    <n v="0.75"/>
    <x v="5"/>
  </r>
  <r>
    <s v="ENC100099"/>
    <s v="PT22577"/>
    <s v="Riverside Medical Center"/>
    <s v="South"/>
    <d v="2025-01-11T00:00:00"/>
    <d v="2025-01-12T00:00:00"/>
    <x v="7"/>
    <s v="Emergency"/>
    <s v="Maternal"/>
    <n v="72"/>
    <s v="65-74"/>
    <s v="Male"/>
    <s v="Medicare"/>
    <n v="0.8"/>
    <n v="2113.2600000000002"/>
    <n v="0"/>
    <n v="3.7"/>
    <n v="0.78"/>
    <x v="8"/>
  </r>
  <r>
    <s v="ENC100100"/>
    <s v="PT84945"/>
    <s v="St. Catherine Hospital"/>
    <s v="Midwest"/>
    <d v="2025-10-05T00:00:00"/>
    <d v="2025-10-07T00:00:00"/>
    <x v="8"/>
    <s v="Emergency"/>
    <s v="Neurological"/>
    <n v="89"/>
    <s v="75+"/>
    <s v="Female"/>
    <s v="Medicaid"/>
    <n v="1.4"/>
    <n v="3144.84"/>
    <n v="0"/>
    <n v="2.7"/>
    <n v="0.84"/>
    <x v="3"/>
  </r>
  <r>
    <s v="ENC100101"/>
    <s v="PT27991"/>
    <s v="Riverside Medical Center"/>
    <s v="South"/>
    <d v="2025-05-27T00:00:00"/>
    <d v="2025-05-29T00:00:00"/>
    <x v="0"/>
    <s v="Elective"/>
    <s v="Injury"/>
    <n v="85"/>
    <s v="75+"/>
    <s v="Female"/>
    <s v="Commercial"/>
    <n v="1.6"/>
    <n v="3841.79"/>
    <n v="0"/>
    <n v="4.9000000000000004"/>
    <n v="0.8"/>
    <x v="10"/>
  </r>
  <r>
    <s v="ENC100102"/>
    <s v="PT82440"/>
    <s v="Metro Regional"/>
    <s v="West"/>
    <d v="2025-09-13T00:00:00"/>
    <d v="2025-09-16T00:00:00"/>
    <x v="2"/>
    <s v="Urgent"/>
    <s v="Cardiac"/>
    <n v="53"/>
    <s v="50-64"/>
    <s v="Female"/>
    <s v="Medicare"/>
    <n v="2.1"/>
    <n v="5073.7299999999996"/>
    <n v="0"/>
    <n v="3.3"/>
    <n v="0.88"/>
    <x v="6"/>
  </r>
  <r>
    <s v="ENC100103"/>
    <s v="PT10662"/>
    <s v="Metro Regional"/>
    <s v="Midwest"/>
    <d v="2025-11-23T00:00:00"/>
    <d v="2025-11-26T00:00:00"/>
    <x v="8"/>
    <s v="Elective"/>
    <s v="Other"/>
    <n v="8"/>
    <s v="0-12"/>
    <s v="Male"/>
    <s v="Medicare"/>
    <n v="2.9"/>
    <n v="6750.73"/>
    <n v="0"/>
    <n v="4.7"/>
    <n v="0.77"/>
    <x v="0"/>
  </r>
  <r>
    <s v="ENC100104"/>
    <s v="PT81715"/>
    <s v="St. Catherine Hospital"/>
    <s v="South"/>
    <d v="2025-08-11T00:00:00"/>
    <d v="2025-08-13T00:00:00"/>
    <x v="1"/>
    <s v="Emergency"/>
    <s v="GI"/>
    <n v="88"/>
    <s v="75+"/>
    <s v="Male"/>
    <s v="Commercial"/>
    <n v="1.8"/>
    <n v="6571.87"/>
    <n v="1"/>
    <n v="4.2"/>
    <n v="0.82"/>
    <x v="4"/>
  </r>
  <r>
    <s v="ENC100105"/>
    <s v="PT80822"/>
    <s v="Metro Regional"/>
    <s v="Midwest"/>
    <d v="2025-09-03T00:00:00"/>
    <d v="2025-09-04T00:00:00"/>
    <x v="9"/>
    <s v="Emergency"/>
    <s v="Infectious"/>
    <n v="13"/>
    <s v="13-17"/>
    <s v="Male"/>
    <s v="Commercial"/>
    <n v="0.2"/>
    <n v="488.42"/>
    <n v="0"/>
    <n v="3.3"/>
    <n v="0.81"/>
    <x v="6"/>
  </r>
  <r>
    <s v="ENC100106"/>
    <s v="PT80232"/>
    <s v="Metro Regional"/>
    <s v="Northeast"/>
    <d v="2025-04-03T00:00:00"/>
    <d v="2025-04-07T00:00:00"/>
    <x v="4"/>
    <s v="Urgent"/>
    <s v="Other"/>
    <n v="24"/>
    <s v="18-34"/>
    <s v="Female"/>
    <s v="Commercial"/>
    <n v="3.8"/>
    <n v="16949.21"/>
    <n v="0"/>
    <n v="4"/>
    <n v="0.87"/>
    <x v="7"/>
  </r>
  <r>
    <s v="ENC100107"/>
    <s v="PT69835"/>
    <s v="Riverside Medical Center"/>
    <s v="West"/>
    <d v="2025-03-28T00:00:00"/>
    <d v="2025-03-29T00:00:00"/>
    <x v="2"/>
    <s v="Urgent"/>
    <s v="Cardiac"/>
    <n v="88"/>
    <s v="75+"/>
    <s v="Female"/>
    <s v="Medicare"/>
    <n v="0.7"/>
    <n v="1642.07"/>
    <n v="0"/>
    <n v="5"/>
    <n v="0.82"/>
    <x v="11"/>
  </r>
  <r>
    <s v="ENC100108"/>
    <s v="PT52440"/>
    <s v="Northgate General"/>
    <s v="Northeast"/>
    <d v="2025-06-01T00:00:00"/>
    <d v="2025-06-02T00:00:00"/>
    <x v="3"/>
    <s v="Emergency"/>
    <s v="GI"/>
    <n v="45"/>
    <s v="35-49"/>
    <s v="Male"/>
    <s v="Medicare"/>
    <n v="1"/>
    <n v="1716.29"/>
    <n v="0"/>
    <n v="4.5999999999999996"/>
    <n v="0.76"/>
    <x v="1"/>
  </r>
  <r>
    <s v="ENC100109"/>
    <s v="PT73464"/>
    <s v="Lakeside Health"/>
    <s v="Midwest"/>
    <d v="2025-11-08T00:00:00"/>
    <d v="2025-11-11T00:00:00"/>
    <x v="9"/>
    <s v="Elective"/>
    <s v="Cardiac"/>
    <n v="18"/>
    <s v="18-34"/>
    <s v="Female"/>
    <s v="Medicaid"/>
    <n v="2.6"/>
    <n v="5443.65"/>
    <n v="0"/>
    <n v="3.6"/>
    <n v="0.73"/>
    <x v="0"/>
  </r>
  <r>
    <s v="ENC100110"/>
    <s v="PT34940"/>
    <s v="Riverside Medical Center"/>
    <s v="Midwest"/>
    <d v="2025-07-11T00:00:00"/>
    <d v="2025-07-14T00:00:00"/>
    <x v="7"/>
    <s v="Emergency"/>
    <s v="Cardiac"/>
    <n v="45"/>
    <s v="35-49"/>
    <s v="Male"/>
    <s v="Medicaid"/>
    <n v="3"/>
    <n v="8767.1200000000008"/>
    <n v="0"/>
    <n v="3.5"/>
    <n v="0.79"/>
    <x v="5"/>
  </r>
  <r>
    <s v="ENC100111"/>
    <s v="PT80264"/>
    <s v="Northgate General"/>
    <s v="Northeast"/>
    <d v="2025-05-08T00:00:00"/>
    <d v="2025-05-09T00:00:00"/>
    <x v="9"/>
    <s v="Emergency"/>
    <s v="Neurological"/>
    <n v="7"/>
    <s v="0-12"/>
    <s v="Female"/>
    <s v="Medicaid"/>
    <n v="0.7"/>
    <n v="1663.47"/>
    <n v="0"/>
    <n v="4"/>
    <n v="0.81"/>
    <x v="10"/>
  </r>
  <r>
    <s v="ENC100112"/>
    <s v="PT60007"/>
    <s v="Northgate General"/>
    <s v="Midwest"/>
    <d v="2025-10-12T00:00:00"/>
    <d v="2025-10-15T00:00:00"/>
    <x v="0"/>
    <s v="Emergency"/>
    <s v="Cancer"/>
    <n v="28"/>
    <s v="18-34"/>
    <s v="Female"/>
    <s v="Self-Pay"/>
    <n v="2.1"/>
    <n v="4243.42"/>
    <n v="0"/>
    <n v="3.8"/>
    <n v="0.74"/>
    <x v="3"/>
  </r>
  <r>
    <s v="ENC100113"/>
    <s v="PT51301"/>
    <s v="Metro Regional"/>
    <s v="South"/>
    <d v="2025-11-08T00:00:00"/>
    <d v="2025-11-14T00:00:00"/>
    <x v="3"/>
    <s v="Emergency"/>
    <s v="Other"/>
    <n v="86"/>
    <s v="75+"/>
    <s v="Female"/>
    <s v="Medicaid"/>
    <n v="5.0999999999999996"/>
    <n v="8362.59"/>
    <n v="0"/>
    <n v="4.4000000000000004"/>
    <n v="0.83"/>
    <x v="0"/>
  </r>
  <r>
    <s v="ENC100114"/>
    <s v="PT55504"/>
    <s v="Northgate General"/>
    <s v="Midwest"/>
    <d v="2025-11-26T00:00:00"/>
    <d v="2025-11-28T00:00:00"/>
    <x v="3"/>
    <s v="Emergency"/>
    <s v="Injury"/>
    <n v="27"/>
    <s v="18-34"/>
    <s v="Female"/>
    <s v="Medicaid"/>
    <n v="1.5"/>
    <n v="2343.81"/>
    <n v="0"/>
    <n v="4.0999999999999996"/>
    <n v="0.79"/>
    <x v="0"/>
  </r>
  <r>
    <s v="ENC100115"/>
    <s v="PT61186"/>
    <s v="Lakeside Health"/>
    <s v="Northeast"/>
    <d v="2025-04-20T00:00:00"/>
    <d v="2025-04-24T00:00:00"/>
    <x v="2"/>
    <s v="Elective"/>
    <s v="Pediatric"/>
    <n v="81"/>
    <s v="75+"/>
    <s v="Male"/>
    <s v="Medicaid"/>
    <n v="3.9"/>
    <n v="7861.15"/>
    <n v="0"/>
    <n v="2.9"/>
    <n v="0.81"/>
    <x v="7"/>
  </r>
  <r>
    <s v="ENC100116"/>
    <s v="PT13353"/>
    <s v="Northgate General"/>
    <s v="West"/>
    <d v="2025-09-17T00:00:00"/>
    <d v="2025-09-19T00:00:00"/>
    <x v="0"/>
    <s v="Emergency"/>
    <s v="Maternal"/>
    <n v="49"/>
    <s v="35-49"/>
    <s v="Female"/>
    <s v="Medicaid"/>
    <n v="1.3"/>
    <n v="2462.54"/>
    <n v="0"/>
    <n v="4.2"/>
    <n v="0.78"/>
    <x v="6"/>
  </r>
  <r>
    <s v="ENC100117"/>
    <s v="PT22581"/>
    <s v="Riverside Medical Center"/>
    <s v="West"/>
    <d v="2025-08-04T00:00:00"/>
    <d v="2025-08-05T00:00:00"/>
    <x v="3"/>
    <s v="Emergency"/>
    <s v="GI"/>
    <n v="59"/>
    <s v="50-64"/>
    <s v="Male"/>
    <s v="Medicaid"/>
    <n v="0.5"/>
    <n v="744.47"/>
    <n v="0"/>
    <n v="3.6"/>
    <n v="0.81"/>
    <x v="4"/>
  </r>
  <r>
    <s v="ENC100118"/>
    <s v="PT32093"/>
    <s v="Metro Regional"/>
    <s v="Midwest"/>
    <d v="2025-06-13T00:00:00"/>
    <d v="2025-06-20T00:00:00"/>
    <x v="2"/>
    <s v="Emergency"/>
    <s v="Other"/>
    <n v="63"/>
    <s v="50-64"/>
    <s v="Male"/>
    <s v="Self-Pay"/>
    <n v="6.1"/>
    <n v="11202.57"/>
    <n v="0"/>
    <n v="3.9"/>
    <n v="0.85"/>
    <x v="1"/>
  </r>
  <r>
    <s v="ENC100119"/>
    <s v="PT20307"/>
    <s v="Riverside Medical Center"/>
    <s v="Midwest"/>
    <d v="2025-05-25T00:00:00"/>
    <d v="2025-05-26T00:00:00"/>
    <x v="1"/>
    <s v="Emergency"/>
    <s v="Cancer"/>
    <n v="50"/>
    <s v="50-64"/>
    <s v="Male"/>
    <s v="Medicare"/>
    <n v="0.2"/>
    <n v="754.67"/>
    <n v="0"/>
    <n v="4"/>
    <n v="0.74"/>
    <x v="10"/>
  </r>
  <r>
    <s v="ENC100120"/>
    <s v="PT49564"/>
    <s v="Riverside Medical Center"/>
    <s v="Northeast"/>
    <d v="2025-02-11T00:00:00"/>
    <d v="2025-02-13T00:00:00"/>
    <x v="5"/>
    <s v="Emergency"/>
    <s v="Cancer"/>
    <n v="3"/>
    <s v="0-12"/>
    <s v="Male"/>
    <s v="Medicare"/>
    <n v="1.9"/>
    <n v="5062.63"/>
    <n v="0"/>
    <n v="4.5999999999999996"/>
    <n v="0.77"/>
    <x v="9"/>
  </r>
  <r>
    <s v="ENC100121"/>
    <s v="PT70155"/>
    <s v="Northgate General"/>
    <s v="Northeast"/>
    <d v="2025-04-11T00:00:00"/>
    <d v="2025-04-21T00:00:00"/>
    <x v="5"/>
    <s v="Elective"/>
    <s v="Cardiac"/>
    <n v="83"/>
    <s v="75+"/>
    <s v="Male"/>
    <s v="Medicare"/>
    <n v="9.8000000000000007"/>
    <n v="25199.439999999999"/>
    <n v="1"/>
    <n v="4.3"/>
    <n v="0.76"/>
    <x v="7"/>
  </r>
  <r>
    <s v="ENC100122"/>
    <s v="PT68897"/>
    <s v="Lakeside Health"/>
    <s v="Midwest"/>
    <d v="2025-07-20T00:00:00"/>
    <d v="2025-07-21T00:00:00"/>
    <x v="3"/>
    <s v="Emergency"/>
    <s v="Injury"/>
    <n v="43"/>
    <s v="35-49"/>
    <s v="Male"/>
    <s v="Medicaid"/>
    <n v="0.9"/>
    <n v="1531.09"/>
    <n v="0"/>
    <n v="3.3"/>
    <n v="0.72"/>
    <x v="5"/>
  </r>
  <r>
    <s v="ENC100123"/>
    <s v="PT52398"/>
    <s v="Northgate General"/>
    <s v="West"/>
    <d v="2025-11-20T00:00:00"/>
    <d v="2025-11-21T00:00:00"/>
    <x v="2"/>
    <s v="Elective"/>
    <s v="Other"/>
    <n v="59"/>
    <s v="50-64"/>
    <s v="Female"/>
    <s v="Medicare"/>
    <n v="0.5"/>
    <n v="1197.5899999999999"/>
    <n v="0"/>
    <n v="3.9"/>
    <n v="0.72"/>
    <x v="0"/>
  </r>
  <r>
    <s v="ENC100124"/>
    <s v="PT86956"/>
    <s v="Riverside Medical Center"/>
    <s v="South"/>
    <d v="2025-11-13T00:00:00"/>
    <d v="2025-11-17T00:00:00"/>
    <x v="6"/>
    <s v="Urgent"/>
    <s v="Neurological"/>
    <n v="50"/>
    <s v="50-64"/>
    <s v="Male"/>
    <s v="Medicaid"/>
    <n v="3.4"/>
    <n v="7473.87"/>
    <n v="0"/>
    <n v="3.6"/>
    <n v="0.85"/>
    <x v="0"/>
  </r>
  <r>
    <s v="ENC100125"/>
    <s v="PT60870"/>
    <s v="Northgate General"/>
    <s v="Midwest"/>
    <d v="2025-03-10T00:00:00"/>
    <d v="2025-03-13T00:00:00"/>
    <x v="1"/>
    <s v="Emergency"/>
    <s v="Injury"/>
    <n v="59"/>
    <s v="50-64"/>
    <s v="Male"/>
    <s v="Medicaid"/>
    <n v="2.4"/>
    <n v="7588.28"/>
    <n v="1"/>
    <n v="2.9"/>
    <n v="0.79"/>
    <x v="11"/>
  </r>
  <r>
    <s v="ENC100126"/>
    <s v="PT17127"/>
    <s v="Northgate General"/>
    <s v="West"/>
    <d v="2025-09-05T00:00:00"/>
    <d v="2025-09-06T00:00:00"/>
    <x v="7"/>
    <s v="Urgent"/>
    <s v="Cardiac"/>
    <n v="32"/>
    <s v="18-34"/>
    <s v="Female"/>
    <s v="Self-Pay"/>
    <n v="0.6"/>
    <n v="1749.26"/>
    <n v="0"/>
    <n v="3.8"/>
    <n v="0.79"/>
    <x v="6"/>
  </r>
  <r>
    <s v="ENC100127"/>
    <s v="PT78849"/>
    <s v="Riverside Medical Center"/>
    <s v="Midwest"/>
    <d v="2025-01-31T00:00:00"/>
    <d v="2025-02-03T00:00:00"/>
    <x v="0"/>
    <s v="Urgent"/>
    <s v="Neurological"/>
    <n v="76"/>
    <s v="75+"/>
    <s v="Male"/>
    <s v="Commercial"/>
    <n v="2.2999999999999998"/>
    <n v="5062.43"/>
    <n v="0"/>
    <n v="5"/>
    <n v="0.79"/>
    <x v="8"/>
  </r>
  <r>
    <s v="ENC100128"/>
    <s v="PT61713"/>
    <s v="St. Catherine Hospital"/>
    <s v="Northeast"/>
    <d v="2025-09-04T00:00:00"/>
    <d v="2025-09-07T00:00:00"/>
    <x v="6"/>
    <s v="Elective"/>
    <s v="GI"/>
    <n v="20"/>
    <s v="18-34"/>
    <s v="Female"/>
    <s v="Medicare"/>
    <n v="2.5"/>
    <n v="5878.01"/>
    <n v="0"/>
    <n v="2.9"/>
    <n v="0.8"/>
    <x v="6"/>
  </r>
  <r>
    <s v="ENC100129"/>
    <s v="PT67124"/>
    <s v="Riverside Medical Center"/>
    <s v="Midwest"/>
    <d v="2025-05-05T00:00:00"/>
    <d v="2025-05-08T00:00:00"/>
    <x v="8"/>
    <s v="Elective"/>
    <s v="Injury"/>
    <n v="59"/>
    <s v="50-64"/>
    <s v="Male"/>
    <s v="Medicaid"/>
    <n v="2.9"/>
    <n v="6909.28"/>
    <n v="0"/>
    <n v="3.9"/>
    <n v="0.84"/>
    <x v="10"/>
  </r>
  <r>
    <s v="ENC100130"/>
    <s v="PT60883"/>
    <s v="Northgate General"/>
    <s v="Northeast"/>
    <d v="2025-06-14T00:00:00"/>
    <d v="2025-06-18T00:00:00"/>
    <x v="2"/>
    <s v="Elective"/>
    <s v="Maternal"/>
    <n v="52"/>
    <s v="50-64"/>
    <s v="Female"/>
    <s v="Self-Pay"/>
    <n v="3.7"/>
    <n v="6720.95"/>
    <n v="0"/>
    <n v="3.9"/>
    <n v="0.77"/>
    <x v="1"/>
  </r>
  <r>
    <s v="ENC100131"/>
    <s v="PT59821"/>
    <s v="Lakeside Health"/>
    <s v="West"/>
    <d v="2025-09-19T00:00:00"/>
    <d v="2025-09-20T00:00:00"/>
    <x v="5"/>
    <s v="Elective"/>
    <s v="Infectious"/>
    <n v="45"/>
    <s v="35-49"/>
    <s v="Male"/>
    <s v="Medicaid"/>
    <n v="1"/>
    <n v="2183.84"/>
    <n v="0"/>
    <n v="4.0999999999999996"/>
    <n v="0.77"/>
    <x v="6"/>
  </r>
  <r>
    <s v="ENC100132"/>
    <s v="PT18150"/>
    <s v="Lakeside Health"/>
    <s v="Midwest"/>
    <d v="2025-06-05T00:00:00"/>
    <d v="2025-06-08T00:00:00"/>
    <x v="0"/>
    <s v="Elective"/>
    <s v="Maternal"/>
    <n v="1"/>
    <s v="0-12"/>
    <s v="Female"/>
    <s v="Medicare"/>
    <n v="2.2999999999999998"/>
    <n v="4483.12"/>
    <n v="0"/>
    <n v="3.3"/>
    <n v="0.72"/>
    <x v="1"/>
  </r>
  <r>
    <s v="ENC100133"/>
    <s v="PT60328"/>
    <s v="Northgate General"/>
    <s v="South"/>
    <d v="2025-10-22T00:00:00"/>
    <d v="2025-10-25T00:00:00"/>
    <x v="9"/>
    <s v="Emergency"/>
    <s v="Injury"/>
    <n v="35"/>
    <s v="35-49"/>
    <s v="Male"/>
    <s v="Medicare"/>
    <n v="2.4"/>
    <n v="5943.07"/>
    <n v="0"/>
    <n v="3"/>
    <n v="0.78"/>
    <x v="3"/>
  </r>
  <r>
    <s v="ENC100134"/>
    <s v="PT81541"/>
    <s v="Northgate General"/>
    <s v="Midwest"/>
    <d v="2025-07-14T00:00:00"/>
    <d v="2025-07-19T00:00:00"/>
    <x v="9"/>
    <s v="Urgent"/>
    <s v="GI"/>
    <n v="4"/>
    <s v="0-12"/>
    <s v="Female"/>
    <s v="Commercial"/>
    <n v="4.3"/>
    <n v="10332.85"/>
    <n v="0"/>
    <n v="3.1"/>
    <n v="0.83"/>
    <x v="5"/>
  </r>
  <r>
    <s v="ENC100135"/>
    <s v="PT37355"/>
    <s v="Northgate General"/>
    <s v="West"/>
    <d v="2025-12-31T00:00:00"/>
    <d v="2026-01-02T00:00:00"/>
    <x v="1"/>
    <s v="Elective"/>
    <s v="Cardiac"/>
    <n v="45"/>
    <s v="35-49"/>
    <s v="Male"/>
    <s v="Self-Pay"/>
    <n v="1.6"/>
    <n v="5299.47"/>
    <n v="1"/>
    <n v="4.7"/>
    <n v="0.83"/>
    <x v="2"/>
  </r>
  <r>
    <s v="ENC100136"/>
    <s v="PT64254"/>
    <s v="Metro Regional"/>
    <s v="South"/>
    <d v="2025-08-21T00:00:00"/>
    <d v="2025-08-28T00:00:00"/>
    <x v="8"/>
    <s v="Elective"/>
    <s v="Injury"/>
    <n v="62"/>
    <s v="50-64"/>
    <s v="Female"/>
    <s v="Commercial"/>
    <n v="6.8"/>
    <n v="19980.88"/>
    <n v="0"/>
    <n v="3.3"/>
    <n v="0.89"/>
    <x v="4"/>
  </r>
  <r>
    <s v="ENC100137"/>
    <s v="PT12773"/>
    <s v="Riverside Medical Center"/>
    <s v="Midwest"/>
    <d v="2025-04-19T00:00:00"/>
    <d v="2025-04-30T00:00:00"/>
    <x v="4"/>
    <s v="Emergency"/>
    <s v="GI"/>
    <n v="47"/>
    <s v="35-49"/>
    <s v="Male"/>
    <s v="Medicaid"/>
    <n v="10.1"/>
    <n v="38637.86"/>
    <n v="0"/>
    <n v="3.3"/>
    <n v="0.83"/>
    <x v="7"/>
  </r>
  <r>
    <s v="ENC100138"/>
    <s v="PT41274"/>
    <s v="Riverside Medical Center"/>
    <s v="Northeast"/>
    <d v="2025-10-10T00:00:00"/>
    <d v="2025-10-13T00:00:00"/>
    <x v="1"/>
    <s v="Emergency"/>
    <s v="GI"/>
    <n v="68"/>
    <s v="65-74"/>
    <s v="Female"/>
    <s v="Medicaid"/>
    <n v="3"/>
    <n v="8344.57"/>
    <n v="1"/>
    <n v="5"/>
    <n v="0.82"/>
    <x v="3"/>
  </r>
  <r>
    <s v="ENC100139"/>
    <s v="PT49304"/>
    <s v="St. Catherine Hospital"/>
    <s v="West"/>
    <d v="2025-05-29T00:00:00"/>
    <d v="2025-06-03T00:00:00"/>
    <x v="7"/>
    <s v="Emergency"/>
    <s v="Cardiac"/>
    <n v="32"/>
    <s v="18-34"/>
    <s v="Female"/>
    <s v="Medicare"/>
    <n v="4.4000000000000004"/>
    <n v="13214.26"/>
    <n v="1"/>
    <n v="3.5"/>
    <n v="0.78"/>
    <x v="10"/>
  </r>
  <r>
    <s v="ENC100140"/>
    <s v="PT98445"/>
    <s v="Riverside Medical Center"/>
    <s v="South"/>
    <d v="2025-07-14T00:00:00"/>
    <d v="2025-07-15T00:00:00"/>
    <x v="3"/>
    <s v="Emergency"/>
    <s v="Pediatric"/>
    <n v="27"/>
    <s v="18-34"/>
    <s v="Female"/>
    <s v="Commercial"/>
    <n v="0.2"/>
    <n v="311.3"/>
    <n v="0"/>
    <n v="3.9"/>
    <n v="0.75"/>
    <x v="5"/>
  </r>
  <r>
    <s v="ENC100141"/>
    <s v="PT29312"/>
    <s v="Riverside Medical Center"/>
    <s v="Northeast"/>
    <d v="2025-02-19T00:00:00"/>
    <d v="2025-02-23T00:00:00"/>
    <x v="1"/>
    <s v="Emergency"/>
    <s v="Respiratory"/>
    <n v="40"/>
    <s v="35-49"/>
    <s v="Male"/>
    <s v="Commercial"/>
    <n v="3.3"/>
    <n v="10851.09"/>
    <n v="0"/>
    <n v="4.5"/>
    <n v="0.77"/>
    <x v="9"/>
  </r>
  <r>
    <s v="ENC100142"/>
    <s v="PT34889"/>
    <s v="Riverside Medical Center"/>
    <s v="West"/>
    <d v="2025-02-13T00:00:00"/>
    <d v="2025-02-20T00:00:00"/>
    <x v="5"/>
    <s v="Emergency"/>
    <s v="Infectious"/>
    <n v="20"/>
    <s v="18-34"/>
    <s v="Female"/>
    <s v="Medicaid"/>
    <n v="6.1"/>
    <n v="15542.66"/>
    <n v="1"/>
    <n v="4.5"/>
    <n v="0.81"/>
    <x v="9"/>
  </r>
  <r>
    <s v="ENC100143"/>
    <s v="PT46767"/>
    <s v="Lakeside Health"/>
    <s v="Northeast"/>
    <d v="2025-07-29T00:00:00"/>
    <d v="2025-07-31T00:00:00"/>
    <x v="0"/>
    <s v="Emergency"/>
    <s v="Other"/>
    <n v="72"/>
    <s v="65-74"/>
    <s v="Male"/>
    <s v="Medicare"/>
    <n v="1.6"/>
    <n v="3553.63"/>
    <n v="0"/>
    <n v="3.1"/>
    <n v="0.75"/>
    <x v="5"/>
  </r>
  <r>
    <s v="ENC100144"/>
    <s v="PT99338"/>
    <s v="Lakeside Health"/>
    <s v="Midwest"/>
    <d v="2025-03-10T00:00:00"/>
    <d v="2025-03-15T00:00:00"/>
    <x v="9"/>
    <s v="Emergency"/>
    <s v="Infectious"/>
    <n v="73"/>
    <s v="65-74"/>
    <s v="Female"/>
    <s v="Commercial"/>
    <n v="4.5999999999999996"/>
    <n v="11688.8"/>
    <n v="0"/>
    <n v="3.5"/>
    <n v="0.81"/>
    <x v="11"/>
  </r>
  <r>
    <s v="ENC100145"/>
    <s v="PT86805"/>
    <s v="Lakeside Health"/>
    <s v="South"/>
    <d v="2025-12-31T00:00:00"/>
    <d v="2026-01-08T00:00:00"/>
    <x v="4"/>
    <s v="Emergency"/>
    <s v="Pediatric"/>
    <n v="37"/>
    <s v="35-49"/>
    <s v="Male"/>
    <s v="Medicare"/>
    <n v="7.9"/>
    <n v="28147.98"/>
    <n v="0"/>
    <n v="3.8"/>
    <n v="0.8"/>
    <x v="2"/>
  </r>
  <r>
    <s v="ENC100146"/>
    <s v="PT13122"/>
    <s v="Lakeside Health"/>
    <s v="Midwest"/>
    <d v="2025-11-09T00:00:00"/>
    <d v="2025-11-25T00:00:00"/>
    <x v="7"/>
    <s v="Urgent"/>
    <s v="Infectious"/>
    <n v="72"/>
    <s v="65-74"/>
    <s v="Female"/>
    <s v="Commercial"/>
    <n v="15.1"/>
    <n v="42488.75"/>
    <n v="0"/>
    <n v="4.9000000000000004"/>
    <n v="0.72"/>
    <x v="0"/>
  </r>
  <r>
    <s v="ENC100147"/>
    <s v="PT31054"/>
    <s v="Northgate General"/>
    <s v="Midwest"/>
    <d v="2025-09-13T00:00:00"/>
    <d v="2025-09-16T00:00:00"/>
    <x v="7"/>
    <s v="Emergency"/>
    <s v="Maternal"/>
    <n v="2"/>
    <s v="0-12"/>
    <s v="Female"/>
    <s v="Medicaid"/>
    <n v="2.4"/>
    <n v="6231.3"/>
    <n v="0"/>
    <n v="3.4"/>
    <n v="0.81"/>
    <x v="6"/>
  </r>
  <r>
    <s v="ENC100148"/>
    <s v="PT83949"/>
    <s v="Metro Regional"/>
    <s v="Northeast"/>
    <d v="2025-09-26T00:00:00"/>
    <d v="2025-10-03T00:00:00"/>
    <x v="7"/>
    <s v="Emergency"/>
    <s v="GI"/>
    <n v="14"/>
    <s v="13-17"/>
    <s v="Female"/>
    <s v="Commercial"/>
    <n v="6.9"/>
    <n v="22926.05"/>
    <n v="0"/>
    <n v="3.6"/>
    <n v="0.82"/>
    <x v="6"/>
  </r>
  <r>
    <s v="ENC100149"/>
    <s v="PT15247"/>
    <s v="Lakeside Health"/>
    <s v="Northeast"/>
    <d v="2025-08-06T00:00:00"/>
    <d v="2025-08-07T00:00:00"/>
    <x v="3"/>
    <s v="Emergency"/>
    <s v="GI"/>
    <n v="25"/>
    <s v="18-34"/>
    <s v="Female"/>
    <s v="Commercial"/>
    <n v="0.3"/>
    <n v="551.69000000000005"/>
    <n v="0"/>
    <n v="4"/>
    <n v="0.78"/>
    <x v="4"/>
  </r>
  <r>
    <s v="ENC100150"/>
    <s v="PT87009"/>
    <s v="Metro Regional"/>
    <s v="Northeast"/>
    <d v="2025-01-23T00:00:00"/>
    <d v="2025-01-26T00:00:00"/>
    <x v="2"/>
    <s v="Emergency"/>
    <s v="Cardiac"/>
    <n v="35"/>
    <s v="35-49"/>
    <s v="Female"/>
    <s v="Commercial"/>
    <n v="2.4"/>
    <n v="6170.01"/>
    <n v="0"/>
    <n v="4.3"/>
    <n v="0.87"/>
    <x v="8"/>
  </r>
  <r>
    <s v="ENC100151"/>
    <s v="PT35324"/>
    <s v="Lakeside Health"/>
    <s v="Northeast"/>
    <d v="2025-05-24T00:00:00"/>
    <d v="2025-05-29T00:00:00"/>
    <x v="1"/>
    <s v="Emergency"/>
    <s v="Maternal"/>
    <n v="21"/>
    <s v="18-34"/>
    <s v="Female"/>
    <s v="Medicare"/>
    <n v="4.8"/>
    <n v="14077.81"/>
    <n v="0"/>
    <n v="4.3"/>
    <n v="0.8"/>
    <x v="10"/>
  </r>
  <r>
    <s v="ENC100152"/>
    <s v="PT92587"/>
    <s v="Northgate General"/>
    <s v="West"/>
    <d v="2025-06-30T00:00:00"/>
    <d v="2025-07-04T00:00:00"/>
    <x v="6"/>
    <s v="Elective"/>
    <s v="Cardiac"/>
    <n v="46"/>
    <s v="35-49"/>
    <s v="Female"/>
    <s v="Medicare"/>
    <n v="3.9"/>
    <n v="10308.6"/>
    <n v="0"/>
    <n v="3.4"/>
    <n v="0.76"/>
    <x v="1"/>
  </r>
  <r>
    <s v="ENC100153"/>
    <s v="PT36423"/>
    <s v="Northgate General"/>
    <s v="South"/>
    <d v="2025-12-01T00:00:00"/>
    <d v="2025-12-03T00:00:00"/>
    <x v="6"/>
    <s v="Urgent"/>
    <s v="Other"/>
    <n v="72"/>
    <s v="65-74"/>
    <s v="Male"/>
    <s v="Medicaid"/>
    <n v="1.8"/>
    <n v="3315.83"/>
    <n v="0"/>
    <n v="3.6"/>
    <n v="0.82"/>
    <x v="2"/>
  </r>
  <r>
    <s v="ENC100154"/>
    <s v="PT49088"/>
    <s v="St. Catherine Hospital"/>
    <s v="Midwest"/>
    <d v="2025-03-22T00:00:00"/>
    <d v="2025-03-30T00:00:00"/>
    <x v="1"/>
    <s v="Emergency"/>
    <s v="Cardiac"/>
    <n v="41"/>
    <s v="35-49"/>
    <s v="Female"/>
    <s v="Medicare"/>
    <n v="7.5"/>
    <n v="28206.560000000001"/>
    <n v="0"/>
    <n v="3.8"/>
    <n v="0.73"/>
    <x v="11"/>
  </r>
  <r>
    <s v="ENC100155"/>
    <s v="PT69571"/>
    <s v="Riverside Medical Center"/>
    <s v="Midwest"/>
    <d v="2025-07-01T00:00:00"/>
    <d v="2025-07-04T00:00:00"/>
    <x v="3"/>
    <s v="Elective"/>
    <s v="Cardiac"/>
    <n v="40"/>
    <s v="35-49"/>
    <s v="Male"/>
    <s v="Commercial"/>
    <n v="2.4"/>
    <n v="4407.79"/>
    <n v="0"/>
    <n v="4.5"/>
    <n v="0.87"/>
    <x v="5"/>
  </r>
  <r>
    <s v="ENC100156"/>
    <s v="PT21365"/>
    <s v="St. Catherine Hospital"/>
    <s v="South"/>
    <d v="2025-05-06T00:00:00"/>
    <d v="2025-05-08T00:00:00"/>
    <x v="0"/>
    <s v="Emergency"/>
    <s v="Pediatric"/>
    <n v="5"/>
    <s v="0-12"/>
    <s v="Female"/>
    <s v="Commercial"/>
    <n v="1.1000000000000001"/>
    <n v="2407.5500000000002"/>
    <n v="0"/>
    <n v="3.8"/>
    <n v="0.8"/>
    <x v="10"/>
  </r>
  <r>
    <s v="ENC100157"/>
    <s v="PT60132"/>
    <s v="Riverside Medical Center"/>
    <s v="Northeast"/>
    <d v="2025-02-19T00:00:00"/>
    <d v="2025-02-23T00:00:00"/>
    <x v="5"/>
    <s v="Emergency"/>
    <s v="Cardiac"/>
    <n v="25"/>
    <s v="18-34"/>
    <s v="Female"/>
    <s v="Commercial"/>
    <n v="3.1"/>
    <n v="9170.2800000000007"/>
    <n v="0"/>
    <n v="3.9"/>
    <n v="0.82"/>
    <x v="9"/>
  </r>
  <r>
    <s v="ENC100158"/>
    <s v="PT55450"/>
    <s v="Riverside Medical Center"/>
    <s v="Northeast"/>
    <d v="2025-02-07T00:00:00"/>
    <d v="2025-02-10T00:00:00"/>
    <x v="2"/>
    <s v="Emergency"/>
    <s v="Injury"/>
    <n v="73"/>
    <s v="65-74"/>
    <s v="Female"/>
    <s v="Self-Pay"/>
    <n v="2.2999999999999998"/>
    <n v="4602.04"/>
    <n v="0"/>
    <n v="3.3"/>
    <n v="0.74"/>
    <x v="9"/>
  </r>
  <r>
    <s v="ENC100159"/>
    <s v="PT80550"/>
    <s v="Metro Regional"/>
    <s v="South"/>
    <d v="2025-05-14T00:00:00"/>
    <d v="2025-05-16T00:00:00"/>
    <x v="8"/>
    <s v="Emergency"/>
    <s v="GI"/>
    <n v="73"/>
    <s v="65-74"/>
    <s v="Female"/>
    <s v="Commercial"/>
    <n v="2"/>
    <n v="5303.69"/>
    <n v="0"/>
    <n v="5"/>
    <n v="0.82"/>
    <x v="10"/>
  </r>
  <r>
    <s v="ENC100160"/>
    <s v="PT99648"/>
    <s v="Lakeside Health"/>
    <s v="Midwest"/>
    <d v="2025-01-31T00:00:00"/>
    <d v="2025-02-07T00:00:00"/>
    <x v="2"/>
    <s v="Elective"/>
    <s v="Cardiac"/>
    <n v="9"/>
    <s v="0-12"/>
    <s v="Female"/>
    <s v="Self-Pay"/>
    <n v="6.4"/>
    <n v="13678.25"/>
    <n v="0"/>
    <n v="4"/>
    <n v="0.8"/>
    <x v="8"/>
  </r>
  <r>
    <s v="ENC100161"/>
    <s v="PT69787"/>
    <s v="St. Catherine Hospital"/>
    <s v="South"/>
    <d v="2025-01-25T00:00:00"/>
    <d v="2025-02-04T00:00:00"/>
    <x v="7"/>
    <s v="Elective"/>
    <s v="Cardiac"/>
    <n v="1"/>
    <s v="0-12"/>
    <s v="Male"/>
    <s v="Commercial"/>
    <n v="9.6999999999999993"/>
    <n v="33784.93"/>
    <n v="1"/>
    <n v="4.3"/>
    <n v="0.78"/>
    <x v="8"/>
  </r>
  <r>
    <s v="ENC100162"/>
    <s v="PT46826"/>
    <s v="Northgate General"/>
    <s v="West"/>
    <d v="2025-05-09T00:00:00"/>
    <d v="2025-05-14T00:00:00"/>
    <x v="4"/>
    <s v="Elective"/>
    <s v="Neurological"/>
    <n v="75"/>
    <s v="75+"/>
    <s v="Male"/>
    <s v="Commercial"/>
    <n v="4.2"/>
    <n v="21046.92"/>
    <n v="0"/>
    <n v="3.8"/>
    <n v="0.81"/>
    <x v="10"/>
  </r>
  <r>
    <s v="ENC100163"/>
    <s v="PT46574"/>
    <s v="St. Catherine Hospital"/>
    <s v="West"/>
    <d v="2025-03-15T00:00:00"/>
    <d v="2025-03-17T00:00:00"/>
    <x v="3"/>
    <s v="Emergency"/>
    <s v="Cardiac"/>
    <n v="15"/>
    <s v="13-17"/>
    <s v="Male"/>
    <s v="Commercial"/>
    <n v="1.6"/>
    <n v="3588.92"/>
    <n v="0"/>
    <n v="3.8"/>
    <n v="0.8"/>
    <x v="11"/>
  </r>
  <r>
    <s v="ENC100164"/>
    <s v="PT47615"/>
    <s v="Metro Regional"/>
    <s v="Northeast"/>
    <d v="2025-07-22T00:00:00"/>
    <d v="2025-07-29T00:00:00"/>
    <x v="5"/>
    <s v="Elective"/>
    <s v="Cardiac"/>
    <n v="52"/>
    <s v="50-64"/>
    <s v="Female"/>
    <s v="Commercial"/>
    <n v="6.8"/>
    <n v="21109.07"/>
    <n v="0"/>
    <n v="3"/>
    <n v="0.88"/>
    <x v="5"/>
  </r>
  <r>
    <s v="ENC100165"/>
    <s v="PT83261"/>
    <s v="Lakeside Health"/>
    <s v="Northeast"/>
    <d v="2025-01-07T00:00:00"/>
    <d v="2025-01-10T00:00:00"/>
    <x v="0"/>
    <s v="Emergency"/>
    <s v="Respiratory"/>
    <n v="75"/>
    <s v="75+"/>
    <s v="Female"/>
    <s v="Medicaid"/>
    <n v="2.4"/>
    <n v="5295.4"/>
    <n v="0"/>
    <n v="2.6"/>
    <n v="0.76"/>
    <x v="8"/>
  </r>
  <r>
    <s v="ENC100166"/>
    <s v="PT38909"/>
    <s v="Lakeside Health"/>
    <s v="Northeast"/>
    <d v="2025-04-21T00:00:00"/>
    <d v="2025-04-24T00:00:00"/>
    <x v="8"/>
    <s v="Emergency"/>
    <s v="Cancer"/>
    <n v="71"/>
    <s v="65-74"/>
    <s v="Male"/>
    <s v="Medicare"/>
    <n v="2.4"/>
    <n v="6898.71"/>
    <n v="1"/>
    <n v="4.7"/>
    <n v="0.71"/>
    <x v="7"/>
  </r>
  <r>
    <s v="ENC100167"/>
    <s v="PT25027"/>
    <s v="St. Catherine Hospital"/>
    <s v="West"/>
    <d v="2025-06-15T00:00:00"/>
    <d v="2025-06-16T00:00:00"/>
    <x v="3"/>
    <s v="Emergency"/>
    <s v="Injury"/>
    <n v="50"/>
    <s v="50-64"/>
    <s v="Female"/>
    <s v="Commercial"/>
    <n v="0.5"/>
    <n v="1055.78"/>
    <n v="0"/>
    <n v="3.7"/>
    <n v="0.8"/>
    <x v="1"/>
  </r>
  <r>
    <s v="ENC100168"/>
    <s v="PT40085"/>
    <s v="Northgate General"/>
    <s v="West"/>
    <d v="2025-12-18T00:00:00"/>
    <d v="2025-12-23T00:00:00"/>
    <x v="8"/>
    <s v="Elective"/>
    <s v="Respiratory"/>
    <n v="34"/>
    <s v="18-34"/>
    <s v="Female"/>
    <s v="Medicare"/>
    <n v="4.8"/>
    <n v="12604.69"/>
    <n v="1"/>
    <n v="4"/>
    <n v="0.84"/>
    <x v="2"/>
  </r>
  <r>
    <s v="ENC100169"/>
    <s v="PT12044"/>
    <s v="Lakeside Health"/>
    <s v="West"/>
    <d v="2025-08-20T00:00:00"/>
    <d v="2025-08-21T00:00:00"/>
    <x v="6"/>
    <s v="Urgent"/>
    <s v="Infectious"/>
    <n v="70"/>
    <s v="65-74"/>
    <s v="Female"/>
    <s v="Medicare"/>
    <n v="0.7"/>
    <n v="1583.38"/>
    <n v="0"/>
    <n v="3.2"/>
    <n v="0.77"/>
    <x v="4"/>
  </r>
  <r>
    <s v="ENC100170"/>
    <s v="PT19552"/>
    <s v="Metro Regional"/>
    <s v="Northeast"/>
    <d v="2025-11-18T00:00:00"/>
    <d v="2025-11-19T00:00:00"/>
    <x v="3"/>
    <s v="Emergency"/>
    <s v="Infectious"/>
    <n v="63"/>
    <s v="50-64"/>
    <s v="Female"/>
    <s v="Self-Pay"/>
    <n v="0.8"/>
    <n v="1316.25"/>
    <n v="0"/>
    <n v="3.2"/>
    <n v="0.84"/>
    <x v="0"/>
  </r>
  <r>
    <s v="ENC100171"/>
    <s v="PT18104"/>
    <s v="St. Catherine Hospital"/>
    <s v="West"/>
    <d v="2025-05-06T00:00:00"/>
    <d v="2025-05-08T00:00:00"/>
    <x v="9"/>
    <s v="Elective"/>
    <s v="Respiratory"/>
    <n v="76"/>
    <s v="75+"/>
    <s v="Male"/>
    <s v="Self-Pay"/>
    <n v="1.3"/>
    <n v="2776"/>
    <n v="0"/>
    <n v="4.5"/>
    <n v="0.89"/>
    <x v="10"/>
  </r>
  <r>
    <s v="ENC100172"/>
    <s v="PT79438"/>
    <s v="Northgate General"/>
    <s v="South"/>
    <d v="2025-06-14T00:00:00"/>
    <d v="2025-06-16T00:00:00"/>
    <x v="7"/>
    <s v="Elective"/>
    <s v="Injury"/>
    <n v="46"/>
    <s v="35-49"/>
    <s v="Female"/>
    <s v="Medicare"/>
    <n v="1.1000000000000001"/>
    <n v="3305.98"/>
    <n v="0"/>
    <n v="4.9000000000000004"/>
    <n v="0.83"/>
    <x v="1"/>
  </r>
  <r>
    <s v="ENC100173"/>
    <s v="PT75011"/>
    <s v="St. Catherine Hospital"/>
    <s v="West"/>
    <d v="2025-06-03T00:00:00"/>
    <d v="2025-06-06T00:00:00"/>
    <x v="1"/>
    <s v="Elective"/>
    <s v="Other"/>
    <n v="85"/>
    <s v="75+"/>
    <s v="Female"/>
    <s v="Medicaid"/>
    <n v="2.8"/>
    <n v="8145.22"/>
    <n v="0"/>
    <n v="3.5"/>
    <n v="0.83"/>
    <x v="1"/>
  </r>
  <r>
    <s v="ENC100174"/>
    <s v="PT72708"/>
    <s v="St. Catherine Hospital"/>
    <s v="South"/>
    <d v="2025-11-20T00:00:00"/>
    <d v="2025-11-22T00:00:00"/>
    <x v="9"/>
    <s v="Emergency"/>
    <s v="Infectious"/>
    <n v="70"/>
    <s v="65-74"/>
    <s v="Male"/>
    <s v="Medicaid"/>
    <n v="1.8"/>
    <n v="4129.1400000000003"/>
    <n v="0"/>
    <n v="4.3"/>
    <n v="0.81"/>
    <x v="0"/>
  </r>
  <r>
    <s v="ENC100175"/>
    <s v="PT51568"/>
    <s v="Metro Regional"/>
    <s v="Northeast"/>
    <d v="2025-12-17T00:00:00"/>
    <d v="2025-12-18T00:00:00"/>
    <x v="3"/>
    <s v="Elective"/>
    <s v="Cancer"/>
    <n v="5"/>
    <s v="0-12"/>
    <s v="Male"/>
    <s v="Medicare"/>
    <n v="0.4"/>
    <n v="788.65"/>
    <n v="0"/>
    <n v="3.8"/>
    <n v="0.87"/>
    <x v="2"/>
  </r>
  <r>
    <s v="ENC100176"/>
    <s v="PT74534"/>
    <s v="Lakeside Health"/>
    <s v="Northeast"/>
    <d v="2025-12-18T00:00:00"/>
    <d v="2025-12-31T00:00:00"/>
    <x v="4"/>
    <s v="Elective"/>
    <s v="Neurological"/>
    <n v="26"/>
    <s v="18-34"/>
    <s v="Female"/>
    <s v="Medicare"/>
    <n v="12.5"/>
    <n v="41058.79"/>
    <n v="0"/>
    <n v="3.5"/>
    <n v="0.78"/>
    <x v="2"/>
  </r>
  <r>
    <s v="ENC100177"/>
    <s v="PT24514"/>
    <s v="Northgate General"/>
    <s v="West"/>
    <d v="2025-10-02T00:00:00"/>
    <d v="2025-10-08T00:00:00"/>
    <x v="1"/>
    <s v="Urgent"/>
    <s v="Cardiac"/>
    <n v="72"/>
    <s v="65-74"/>
    <s v="Female"/>
    <s v="Commercial"/>
    <n v="5.4"/>
    <n v="21952.05"/>
    <n v="0"/>
    <n v="5"/>
    <n v="0.69"/>
    <x v="3"/>
  </r>
  <r>
    <s v="ENC100178"/>
    <s v="PT91055"/>
    <s v="Northgate General"/>
    <s v="Midwest"/>
    <d v="2025-07-03T00:00:00"/>
    <d v="2025-07-09T00:00:00"/>
    <x v="4"/>
    <s v="Emergency"/>
    <s v="Pediatric"/>
    <n v="10"/>
    <s v="0-12"/>
    <s v="Male"/>
    <s v="Medicaid"/>
    <n v="5.8"/>
    <n v="20507.919999999998"/>
    <n v="0"/>
    <n v="3.5"/>
    <n v="0.8"/>
    <x v="5"/>
  </r>
  <r>
    <s v="ENC100179"/>
    <s v="PT55093"/>
    <s v="St. Catherine Hospital"/>
    <s v="Midwest"/>
    <d v="2025-07-17T00:00:00"/>
    <d v="2025-07-25T00:00:00"/>
    <x v="7"/>
    <s v="Urgent"/>
    <s v="Other"/>
    <n v="64"/>
    <s v="50-64"/>
    <s v="Female"/>
    <s v="Self-Pay"/>
    <n v="7.8"/>
    <n v="18580"/>
    <n v="0"/>
    <n v="4.4000000000000004"/>
    <n v="0.79"/>
    <x v="5"/>
  </r>
  <r>
    <s v="ENC100180"/>
    <s v="PT94423"/>
    <s v="Riverside Medical Center"/>
    <s v="Midwest"/>
    <d v="2025-12-24T00:00:00"/>
    <d v="2026-01-03T00:00:00"/>
    <x v="7"/>
    <s v="Emergency"/>
    <s v="Other"/>
    <n v="30"/>
    <s v="18-34"/>
    <s v="Female"/>
    <s v="Commercial"/>
    <n v="9.5"/>
    <n v="25937.03"/>
    <n v="0"/>
    <n v="3.9"/>
    <n v="0.8"/>
    <x v="2"/>
  </r>
  <r>
    <s v="ENC100181"/>
    <s v="PT23707"/>
    <s v="St. Catherine Hospital"/>
    <s v="Midwest"/>
    <d v="2025-04-14T00:00:00"/>
    <d v="2025-04-17T00:00:00"/>
    <x v="3"/>
    <s v="Elective"/>
    <s v="Cardiac"/>
    <n v="18"/>
    <s v="18-34"/>
    <s v="Female"/>
    <s v="Medicaid"/>
    <n v="2.2999999999999998"/>
    <n v="3970.56"/>
    <n v="0"/>
    <n v="3.7"/>
    <n v="0.79"/>
    <x v="7"/>
  </r>
  <r>
    <s v="ENC100182"/>
    <s v="PT54759"/>
    <s v="Metro Regional"/>
    <s v="West"/>
    <d v="2025-05-07T00:00:00"/>
    <d v="2025-05-09T00:00:00"/>
    <x v="0"/>
    <s v="Emergency"/>
    <s v="Injury"/>
    <n v="49"/>
    <s v="35-49"/>
    <s v="Female"/>
    <s v="Self-Pay"/>
    <n v="1.1000000000000001"/>
    <n v="2025.11"/>
    <n v="0"/>
    <n v="4.7"/>
    <n v="0.78"/>
    <x v="10"/>
  </r>
  <r>
    <s v="ENC100183"/>
    <s v="PT72668"/>
    <s v="Lakeside Health"/>
    <s v="Northeast"/>
    <d v="2025-11-24T00:00:00"/>
    <d v="2025-11-29T00:00:00"/>
    <x v="9"/>
    <s v="Emergency"/>
    <s v="Cardiac"/>
    <n v="84"/>
    <s v="75+"/>
    <s v="Male"/>
    <s v="Commercial"/>
    <n v="4.0999999999999996"/>
    <n v="9938.8799999999992"/>
    <n v="0"/>
    <n v="4.0999999999999996"/>
    <n v="0.68"/>
    <x v="0"/>
  </r>
  <r>
    <s v="ENC100184"/>
    <s v="PT54605"/>
    <s v="Riverside Medical Center"/>
    <s v="Northeast"/>
    <d v="2025-05-22T00:00:00"/>
    <d v="2025-05-24T00:00:00"/>
    <x v="9"/>
    <s v="Emergency"/>
    <s v="Injury"/>
    <n v="81"/>
    <s v="75+"/>
    <s v="Male"/>
    <s v="Medicare"/>
    <n v="1.9"/>
    <n v="4149.71"/>
    <n v="0"/>
    <n v="3.8"/>
    <n v="0.87"/>
    <x v="10"/>
  </r>
  <r>
    <s v="ENC100185"/>
    <s v="PT50153"/>
    <s v="Lakeside Health"/>
    <s v="West"/>
    <d v="2025-03-27T00:00:00"/>
    <d v="2025-03-29T00:00:00"/>
    <x v="3"/>
    <s v="Emergency"/>
    <s v="Injury"/>
    <n v="36"/>
    <s v="35-49"/>
    <s v="Male"/>
    <s v="Self-Pay"/>
    <n v="1.2"/>
    <n v="2066.91"/>
    <n v="0"/>
    <n v="4.5"/>
    <n v="0.77"/>
    <x v="11"/>
  </r>
  <r>
    <s v="ENC100186"/>
    <s v="PT24959"/>
    <s v="Lakeside Health"/>
    <s v="South"/>
    <d v="2025-07-24T00:00:00"/>
    <d v="2025-07-26T00:00:00"/>
    <x v="2"/>
    <s v="Emergency"/>
    <s v="GI"/>
    <n v="0"/>
    <s v="0-12"/>
    <s v="Male"/>
    <s v="Self-Pay"/>
    <n v="1.6"/>
    <n v="3617.11"/>
    <n v="0"/>
    <n v="4.5999999999999996"/>
    <n v="0.65"/>
    <x v="5"/>
  </r>
  <r>
    <s v="ENC100187"/>
    <s v="PT44291"/>
    <s v="Northgate General"/>
    <s v="Northeast"/>
    <d v="2025-04-29T00:00:00"/>
    <d v="2025-05-02T00:00:00"/>
    <x v="6"/>
    <s v="Emergency"/>
    <s v="Cardiac"/>
    <n v="80"/>
    <s v="75+"/>
    <s v="Male"/>
    <s v="Commercial"/>
    <n v="2.5"/>
    <n v="7161.14"/>
    <n v="1"/>
    <n v="4.5999999999999996"/>
    <n v="0.76"/>
    <x v="7"/>
  </r>
  <r>
    <s v="ENC100188"/>
    <s v="PT31488"/>
    <s v="Lakeside Health"/>
    <s v="Northeast"/>
    <d v="2025-11-22T00:00:00"/>
    <d v="2025-11-29T00:00:00"/>
    <x v="1"/>
    <s v="Emergency"/>
    <s v="Other"/>
    <n v="81"/>
    <s v="75+"/>
    <s v="Male"/>
    <s v="Commercial"/>
    <n v="6.3"/>
    <n v="21970.53"/>
    <n v="0"/>
    <n v="1.6"/>
    <n v="0.79"/>
    <x v="0"/>
  </r>
  <r>
    <s v="ENC100189"/>
    <s v="PT37135"/>
    <s v="Lakeside Health"/>
    <s v="Northeast"/>
    <d v="2025-11-28T00:00:00"/>
    <d v="2025-12-01T00:00:00"/>
    <x v="3"/>
    <s v="Emergency"/>
    <s v="Respiratory"/>
    <n v="55"/>
    <s v="50-64"/>
    <s v="Male"/>
    <s v="Medicare"/>
    <n v="3"/>
    <n v="5113.8900000000003"/>
    <n v="0"/>
    <n v="4"/>
    <n v="0.74"/>
    <x v="0"/>
  </r>
  <r>
    <s v="ENC100190"/>
    <s v="PT71532"/>
    <s v="Metro Regional"/>
    <s v="Northeast"/>
    <d v="2025-04-22T00:00:00"/>
    <d v="2025-04-24T00:00:00"/>
    <x v="9"/>
    <s v="Elective"/>
    <s v="Respiratory"/>
    <n v="57"/>
    <s v="50-64"/>
    <s v="Female"/>
    <s v="Commercial"/>
    <n v="1.8"/>
    <n v="4383.3999999999996"/>
    <n v="0"/>
    <n v="4"/>
    <n v="0.89"/>
    <x v="7"/>
  </r>
  <r>
    <s v="ENC100191"/>
    <s v="PT66724"/>
    <s v="Riverside Medical Center"/>
    <s v="Northeast"/>
    <d v="2025-07-13T00:00:00"/>
    <d v="2025-07-15T00:00:00"/>
    <x v="1"/>
    <s v="Urgent"/>
    <s v="Pediatric"/>
    <n v="47"/>
    <s v="35-49"/>
    <s v="Female"/>
    <s v="Commercial"/>
    <n v="1.4"/>
    <n v="4540.1899999999996"/>
    <n v="0"/>
    <n v="3.9"/>
    <n v="0.86"/>
    <x v="5"/>
  </r>
  <r>
    <s v="ENC100192"/>
    <s v="PT64647"/>
    <s v="Riverside Medical Center"/>
    <s v="Northeast"/>
    <d v="2025-12-26T00:00:00"/>
    <d v="2025-12-29T00:00:00"/>
    <x v="3"/>
    <s v="Elective"/>
    <s v="GI"/>
    <n v="1"/>
    <s v="0-12"/>
    <s v="Female"/>
    <s v="Commercial"/>
    <n v="2.9"/>
    <n v="5142.3500000000004"/>
    <n v="0"/>
    <n v="4.0999999999999996"/>
    <n v="0.77"/>
    <x v="2"/>
  </r>
  <r>
    <s v="ENC100193"/>
    <s v="PT42562"/>
    <s v="St. Catherine Hospital"/>
    <s v="South"/>
    <d v="2025-09-28T00:00:00"/>
    <d v="2025-09-29T00:00:00"/>
    <x v="3"/>
    <s v="Emergency"/>
    <s v="Injury"/>
    <n v="14"/>
    <s v="13-17"/>
    <s v="Female"/>
    <s v="Commercial"/>
    <n v="0.5"/>
    <n v="938.9"/>
    <n v="1"/>
    <n v="3.9"/>
    <n v="0.79"/>
    <x v="6"/>
  </r>
  <r>
    <s v="ENC100194"/>
    <s v="PT96371"/>
    <s v="Riverside Medical Center"/>
    <s v="West"/>
    <d v="2025-03-20T00:00:00"/>
    <d v="2025-03-21T00:00:00"/>
    <x v="1"/>
    <s v="Emergency"/>
    <s v="Infectious"/>
    <n v="13"/>
    <s v="13-17"/>
    <s v="Female"/>
    <s v="Medicare"/>
    <n v="0.6"/>
    <n v="2022.13"/>
    <n v="0"/>
    <n v="4.3"/>
    <n v="0.8"/>
    <x v="11"/>
  </r>
  <r>
    <s v="ENC100195"/>
    <s v="PT17888"/>
    <s v="Northgate General"/>
    <s v="West"/>
    <d v="2025-08-04T00:00:00"/>
    <d v="2025-08-05T00:00:00"/>
    <x v="3"/>
    <s v="Urgent"/>
    <s v="Cardiac"/>
    <n v="83"/>
    <s v="75+"/>
    <s v="Female"/>
    <s v="Medicare"/>
    <n v="0.6"/>
    <n v="1223.05"/>
    <n v="0"/>
    <n v="3.5"/>
    <n v="0.72"/>
    <x v="4"/>
  </r>
  <r>
    <s v="ENC100196"/>
    <s v="PT40832"/>
    <s v="Metro Regional"/>
    <s v="Midwest"/>
    <d v="2025-08-15T00:00:00"/>
    <d v="2025-08-20T00:00:00"/>
    <x v="0"/>
    <s v="Emergency"/>
    <s v="Cardiac"/>
    <n v="4"/>
    <s v="0-12"/>
    <s v="Male"/>
    <s v="Medicare"/>
    <n v="4.3"/>
    <n v="9456.3700000000008"/>
    <n v="0"/>
    <n v="4.8"/>
    <n v="0.78"/>
    <x v="4"/>
  </r>
  <r>
    <s v="ENC100197"/>
    <s v="PT20620"/>
    <s v="Riverside Medical Center"/>
    <s v="Midwest"/>
    <d v="2025-08-27T00:00:00"/>
    <d v="2025-08-29T00:00:00"/>
    <x v="1"/>
    <s v="Emergency"/>
    <s v="Neurological"/>
    <n v="50"/>
    <s v="50-64"/>
    <s v="Female"/>
    <s v="Medicaid"/>
    <n v="1.7"/>
    <n v="4762.43"/>
    <n v="1"/>
    <n v="4.4000000000000004"/>
    <n v="0.79"/>
    <x v="4"/>
  </r>
  <r>
    <s v="ENC100198"/>
    <s v="PT40504"/>
    <s v="St. Catherine Hospital"/>
    <s v="West"/>
    <d v="2025-01-10T00:00:00"/>
    <d v="2025-01-11T00:00:00"/>
    <x v="0"/>
    <s v="Urgent"/>
    <s v="Injury"/>
    <n v="33"/>
    <s v="18-34"/>
    <s v="Female"/>
    <s v="Commercial"/>
    <n v="0.6"/>
    <n v="1328.62"/>
    <n v="0"/>
    <n v="4.2"/>
    <n v="0.77"/>
    <x v="8"/>
  </r>
  <r>
    <s v="ENC100199"/>
    <s v="PT96569"/>
    <s v="Metro Regional"/>
    <s v="South"/>
    <d v="2025-04-20T00:00:00"/>
    <d v="2025-04-25T00:00:00"/>
    <x v="7"/>
    <s v="Urgent"/>
    <s v="Infectious"/>
    <n v="0"/>
    <s v="0-12"/>
    <s v="Female"/>
    <s v="Commercial"/>
    <n v="4.5"/>
    <n v="12659.96"/>
    <n v="0"/>
    <n v="4.2"/>
    <n v="0.85"/>
    <x v="7"/>
  </r>
  <r>
    <s v="ENC100200"/>
    <s v="PT42963"/>
    <s v="St. Catherine Hospital"/>
    <s v="South"/>
    <d v="2025-11-08T00:00:00"/>
    <d v="2025-11-19T00:00:00"/>
    <x v="5"/>
    <s v="Emergency"/>
    <s v="Cardiac"/>
    <n v="83"/>
    <s v="75+"/>
    <s v="Female"/>
    <s v="Commercial"/>
    <n v="10.6"/>
    <n v="32247.25"/>
    <n v="0"/>
    <n v="4.4000000000000004"/>
    <n v="0.84"/>
    <x v="0"/>
  </r>
  <r>
    <s v="ENC100201"/>
    <s v="PT91771"/>
    <s v="St. Catherine Hospital"/>
    <s v="Northeast"/>
    <d v="2025-03-30T00:00:00"/>
    <d v="2025-04-01T00:00:00"/>
    <x v="3"/>
    <s v="Elective"/>
    <s v="GI"/>
    <n v="1"/>
    <s v="0-12"/>
    <s v="Male"/>
    <s v="Commercial"/>
    <n v="1.3"/>
    <n v="2483.3200000000002"/>
    <n v="0"/>
    <n v="4.3"/>
    <n v="0.82"/>
    <x v="11"/>
  </r>
  <r>
    <s v="ENC100202"/>
    <s v="PT54555"/>
    <s v="St. Catherine Hospital"/>
    <s v="Midwest"/>
    <d v="2025-04-20T00:00:00"/>
    <d v="2025-04-21T00:00:00"/>
    <x v="9"/>
    <s v="Emergency"/>
    <s v="Maternal"/>
    <n v="77"/>
    <s v="75+"/>
    <s v="Female"/>
    <s v="Commercial"/>
    <n v="0.6"/>
    <n v="1350.11"/>
    <n v="1"/>
    <n v="3.8"/>
    <n v="0.83"/>
    <x v="7"/>
  </r>
  <r>
    <s v="ENC100203"/>
    <s v="PT72972"/>
    <s v="Riverside Medical Center"/>
    <s v="Midwest"/>
    <d v="2025-04-28T00:00:00"/>
    <d v="2025-05-08T00:00:00"/>
    <x v="6"/>
    <s v="Elective"/>
    <s v="Cardiac"/>
    <n v="70"/>
    <s v="65-74"/>
    <s v="Female"/>
    <s v="Commercial"/>
    <n v="9.4"/>
    <n v="25755.79"/>
    <n v="0"/>
    <n v="4.3"/>
    <n v="0.81"/>
    <x v="7"/>
  </r>
  <r>
    <s v="ENC100204"/>
    <s v="PT51167"/>
    <s v="Riverside Medical Center"/>
    <s v="South"/>
    <d v="2025-03-06T00:00:00"/>
    <d v="2025-03-11T00:00:00"/>
    <x v="8"/>
    <s v="Emergency"/>
    <s v="Respiratory"/>
    <n v="72"/>
    <s v="65-74"/>
    <s v="Female"/>
    <s v="Commercial"/>
    <n v="4.0999999999999996"/>
    <n v="11566.31"/>
    <n v="0"/>
    <n v="4"/>
    <n v="0.84"/>
    <x v="11"/>
  </r>
  <r>
    <s v="ENC100205"/>
    <s v="PT33928"/>
    <s v="Lakeside Health"/>
    <s v="Northeast"/>
    <d v="2025-02-26T00:00:00"/>
    <d v="2025-03-04T00:00:00"/>
    <x v="6"/>
    <s v="Emergency"/>
    <s v="Cancer"/>
    <n v="14"/>
    <s v="13-17"/>
    <s v="Male"/>
    <s v="Commercial"/>
    <n v="5.0999999999999996"/>
    <n v="14739.99"/>
    <n v="1"/>
    <n v="5"/>
    <n v="0.74"/>
    <x v="9"/>
  </r>
  <r>
    <s v="ENC100206"/>
    <s v="PT78779"/>
    <s v="Northgate General"/>
    <s v="West"/>
    <d v="2025-05-07T00:00:00"/>
    <d v="2025-05-08T00:00:00"/>
    <x v="9"/>
    <s v="Elective"/>
    <s v="Maternal"/>
    <n v="80"/>
    <s v="75+"/>
    <s v="Male"/>
    <s v="Medicare"/>
    <n v="0.4"/>
    <n v="773.36"/>
    <n v="0"/>
    <n v="4.5999999999999996"/>
    <n v="0.76"/>
    <x v="10"/>
  </r>
  <r>
    <s v="ENC100207"/>
    <s v="PT97224"/>
    <s v="Northgate General"/>
    <s v="South"/>
    <d v="2025-11-16T00:00:00"/>
    <d v="2025-11-20T00:00:00"/>
    <x v="3"/>
    <s v="Emergency"/>
    <s v="GI"/>
    <n v="54"/>
    <s v="50-64"/>
    <s v="Female"/>
    <s v="Medicare"/>
    <n v="3.6"/>
    <n v="6140.47"/>
    <n v="0"/>
    <n v="3.3"/>
    <n v="0.86"/>
    <x v="0"/>
  </r>
  <r>
    <s v="ENC100208"/>
    <s v="PT33716"/>
    <s v="Riverside Medical Center"/>
    <s v="South"/>
    <d v="2025-01-01T00:00:00"/>
    <d v="2025-01-04T00:00:00"/>
    <x v="1"/>
    <s v="Elective"/>
    <s v="GI"/>
    <n v="36"/>
    <s v="35-49"/>
    <s v="Female"/>
    <s v="Self-Pay"/>
    <n v="2.2000000000000002"/>
    <n v="6427.41"/>
    <n v="0"/>
    <n v="5"/>
    <n v="0.73"/>
    <x v="8"/>
  </r>
  <r>
    <s v="ENC100209"/>
    <s v="PT80086"/>
    <s v="Metro Regional"/>
    <s v="Northeast"/>
    <d v="2025-04-14T00:00:00"/>
    <d v="2025-04-15T00:00:00"/>
    <x v="2"/>
    <s v="Emergency"/>
    <s v="Cancer"/>
    <n v="61"/>
    <s v="50-64"/>
    <s v="Male"/>
    <s v="Medicaid"/>
    <n v="0.6"/>
    <n v="1543.8"/>
    <n v="0"/>
    <n v="2.6"/>
    <n v="0.77"/>
    <x v="7"/>
  </r>
  <r>
    <s v="ENC100210"/>
    <s v="PT33502"/>
    <s v="Riverside Medical Center"/>
    <s v="South"/>
    <d v="2025-01-23T00:00:00"/>
    <d v="2025-01-27T00:00:00"/>
    <x v="1"/>
    <s v="Urgent"/>
    <s v="Cardiac"/>
    <n v="31"/>
    <s v="18-34"/>
    <s v="Male"/>
    <s v="Medicare"/>
    <n v="3.8"/>
    <n v="12390.32"/>
    <n v="0"/>
    <n v="4.3"/>
    <n v="0.84"/>
    <x v="8"/>
  </r>
  <r>
    <s v="ENC100211"/>
    <s v="PT74519"/>
    <s v="Lakeside Health"/>
    <s v="South"/>
    <d v="2025-07-24T00:00:00"/>
    <d v="2025-07-28T00:00:00"/>
    <x v="9"/>
    <s v="Elective"/>
    <s v="Infectious"/>
    <n v="25"/>
    <s v="18-34"/>
    <s v="Female"/>
    <s v="Commercial"/>
    <n v="3.9"/>
    <n v="9927.2000000000007"/>
    <n v="0"/>
    <n v="3.5"/>
    <n v="0.74"/>
    <x v="5"/>
  </r>
  <r>
    <s v="ENC100212"/>
    <s v="PT81009"/>
    <s v="Northgate General"/>
    <s v="Northeast"/>
    <d v="2025-04-02T00:00:00"/>
    <d v="2025-04-08T00:00:00"/>
    <x v="1"/>
    <s v="Emergency"/>
    <s v="Cardiac"/>
    <n v="26"/>
    <s v="18-34"/>
    <s v="Female"/>
    <s v="Medicare"/>
    <n v="5.2"/>
    <n v="18549.849999999999"/>
    <n v="0"/>
    <n v="5"/>
    <n v="0.72"/>
    <x v="7"/>
  </r>
  <r>
    <s v="ENC100213"/>
    <s v="PT50442"/>
    <s v="St. Catherine Hospital"/>
    <s v="South"/>
    <d v="2025-10-17T00:00:00"/>
    <d v="2025-10-20T00:00:00"/>
    <x v="9"/>
    <s v="Elective"/>
    <s v="GI"/>
    <n v="51"/>
    <s v="50-64"/>
    <s v="Female"/>
    <s v="Commercial"/>
    <n v="3"/>
    <n v="7063.12"/>
    <n v="0"/>
    <n v="4.0999999999999996"/>
    <n v="0.76"/>
    <x v="3"/>
  </r>
  <r>
    <s v="ENC100214"/>
    <s v="PT76322"/>
    <s v="Northgate General"/>
    <s v="South"/>
    <d v="2025-08-02T00:00:00"/>
    <d v="2025-08-04T00:00:00"/>
    <x v="3"/>
    <s v="Emergency"/>
    <s v="Cardiac"/>
    <n v="54"/>
    <s v="50-64"/>
    <s v="Female"/>
    <s v="Medicare"/>
    <n v="1.5"/>
    <n v="3070.7"/>
    <n v="0"/>
    <n v="3.2"/>
    <n v="0.74"/>
    <x v="4"/>
  </r>
  <r>
    <s v="ENC100215"/>
    <s v="PT34501"/>
    <s v="Riverside Medical Center"/>
    <s v="West"/>
    <d v="2025-10-14T00:00:00"/>
    <d v="2025-10-18T00:00:00"/>
    <x v="2"/>
    <s v="Emergency"/>
    <s v="Injury"/>
    <n v="21"/>
    <s v="18-34"/>
    <s v="Male"/>
    <s v="Commercial"/>
    <n v="3.1"/>
    <n v="8073.98"/>
    <n v="0"/>
    <n v="3.7"/>
    <n v="0.86"/>
    <x v="3"/>
  </r>
  <r>
    <s v="ENC100216"/>
    <s v="PT17132"/>
    <s v="St. Catherine Hospital"/>
    <s v="Northeast"/>
    <d v="2025-08-20T00:00:00"/>
    <d v="2025-08-21T00:00:00"/>
    <x v="0"/>
    <s v="Emergency"/>
    <s v="Neurological"/>
    <n v="22"/>
    <s v="18-34"/>
    <s v="Male"/>
    <s v="Medicare"/>
    <n v="0.4"/>
    <n v="954.22"/>
    <n v="0"/>
    <n v="3.5"/>
    <n v="0.85"/>
    <x v="4"/>
  </r>
  <r>
    <s v="ENC100217"/>
    <s v="PT18675"/>
    <s v="Lakeside Health"/>
    <s v="West"/>
    <d v="2025-06-10T00:00:00"/>
    <d v="2025-06-12T00:00:00"/>
    <x v="0"/>
    <s v="Urgent"/>
    <s v="Neurological"/>
    <n v="86"/>
    <s v="75+"/>
    <s v="Male"/>
    <s v="Commercial"/>
    <n v="1.6"/>
    <n v="3831.55"/>
    <n v="0"/>
    <n v="3.7"/>
    <n v="0.82"/>
    <x v="1"/>
  </r>
  <r>
    <s v="ENC100218"/>
    <s v="PT50231"/>
    <s v="Riverside Medical Center"/>
    <s v="Midwest"/>
    <d v="2025-11-11T00:00:00"/>
    <d v="2025-11-14T00:00:00"/>
    <x v="1"/>
    <s v="Elective"/>
    <s v="Infectious"/>
    <n v="46"/>
    <s v="35-49"/>
    <s v="Male"/>
    <s v="Medicare"/>
    <n v="2.2999999999999998"/>
    <n v="8625.4"/>
    <n v="0"/>
    <n v="3.7"/>
    <n v="0.76"/>
    <x v="0"/>
  </r>
  <r>
    <s v="ENC100219"/>
    <s v="PT91233"/>
    <s v="St. Catherine Hospital"/>
    <s v="Northeast"/>
    <d v="2025-06-23T00:00:00"/>
    <d v="2025-06-29T00:00:00"/>
    <x v="9"/>
    <s v="Urgent"/>
    <s v="Cancer"/>
    <n v="78"/>
    <s v="75+"/>
    <s v="Female"/>
    <s v="Medicaid"/>
    <n v="5.2"/>
    <n v="11807.95"/>
    <n v="0"/>
    <n v="3.4"/>
    <n v="0.75"/>
    <x v="1"/>
  </r>
  <r>
    <s v="ENC100220"/>
    <s v="PT21481"/>
    <s v="St. Catherine Hospital"/>
    <s v="Northeast"/>
    <d v="2025-12-13T00:00:00"/>
    <d v="2025-12-19T00:00:00"/>
    <x v="2"/>
    <s v="Urgent"/>
    <s v="Other"/>
    <n v="30"/>
    <s v="18-34"/>
    <s v="Male"/>
    <s v="Medicaid"/>
    <n v="5.7"/>
    <n v="12910.37"/>
    <n v="0"/>
    <n v="4.0999999999999996"/>
    <n v="0.74"/>
    <x v="2"/>
  </r>
  <r>
    <s v="ENC100221"/>
    <s v="PT51019"/>
    <s v="Riverside Medical Center"/>
    <s v="Northeast"/>
    <d v="2025-12-30T00:00:00"/>
    <d v="2026-01-02T00:00:00"/>
    <x v="5"/>
    <s v="Urgent"/>
    <s v="Pediatric"/>
    <n v="26"/>
    <s v="18-34"/>
    <s v="Female"/>
    <s v="Medicare"/>
    <n v="2.2999999999999998"/>
    <n v="6007.67"/>
    <n v="0"/>
    <n v="4.0999999999999996"/>
    <n v="0.87"/>
    <x v="2"/>
  </r>
  <r>
    <s v="ENC100222"/>
    <s v="PT73362"/>
    <s v="St. Catherine Hospital"/>
    <s v="Northeast"/>
    <d v="2025-08-03T00:00:00"/>
    <d v="2025-08-10T00:00:00"/>
    <x v="5"/>
    <s v="Emergency"/>
    <s v="Other"/>
    <n v="25"/>
    <s v="18-34"/>
    <s v="Female"/>
    <s v="Medicare"/>
    <n v="6.3"/>
    <n v="17515.62"/>
    <n v="0"/>
    <n v="3.3"/>
    <n v="0.82"/>
    <x v="4"/>
  </r>
  <r>
    <s v="ENC100223"/>
    <s v="PT28212"/>
    <s v="Riverside Medical Center"/>
    <s v="Midwest"/>
    <d v="2025-09-04T00:00:00"/>
    <d v="2025-09-08T00:00:00"/>
    <x v="7"/>
    <s v="Urgent"/>
    <s v="Infectious"/>
    <n v="48"/>
    <s v="35-49"/>
    <s v="Male"/>
    <s v="Commercial"/>
    <n v="3.9"/>
    <n v="12084.47"/>
    <n v="0"/>
    <n v="2.9"/>
    <n v="0.82"/>
    <x v="6"/>
  </r>
  <r>
    <s v="ENC100224"/>
    <s v="PT74944"/>
    <s v="St. Catherine Hospital"/>
    <s v="South"/>
    <d v="2025-04-04T00:00:00"/>
    <d v="2025-04-05T00:00:00"/>
    <x v="7"/>
    <s v="Elective"/>
    <s v="GI"/>
    <n v="70"/>
    <s v="65-74"/>
    <s v="Female"/>
    <s v="Medicaid"/>
    <n v="0.7"/>
    <n v="2051.7600000000002"/>
    <n v="1"/>
    <n v="4.0999999999999996"/>
    <n v="0.81"/>
    <x v="7"/>
  </r>
  <r>
    <s v="ENC100225"/>
    <s v="PT37535"/>
    <s v="Riverside Medical Center"/>
    <s v="Northeast"/>
    <d v="2025-10-25T00:00:00"/>
    <d v="2025-10-26T00:00:00"/>
    <x v="7"/>
    <s v="Emergency"/>
    <s v="Infectious"/>
    <n v="45"/>
    <s v="35-49"/>
    <s v="Male"/>
    <s v="Medicare"/>
    <n v="0.3"/>
    <n v="988.5"/>
    <n v="0"/>
    <n v="4.2"/>
    <n v="0.82"/>
    <x v="3"/>
  </r>
  <r>
    <s v="ENC100226"/>
    <s v="PT82778"/>
    <s v="St. Catherine Hospital"/>
    <s v="West"/>
    <d v="2025-09-03T00:00:00"/>
    <d v="2025-09-05T00:00:00"/>
    <x v="3"/>
    <s v="Elective"/>
    <s v="Cancer"/>
    <n v="26"/>
    <s v="18-34"/>
    <s v="Male"/>
    <s v="Commercial"/>
    <n v="1.5"/>
    <n v="2908.85"/>
    <n v="1"/>
    <n v="4.0999999999999996"/>
    <n v="0.76"/>
    <x v="6"/>
  </r>
  <r>
    <s v="ENC100227"/>
    <s v="PT62129"/>
    <s v="Northgate General"/>
    <s v="Northeast"/>
    <d v="2025-11-26T00:00:00"/>
    <d v="2025-11-27T00:00:00"/>
    <x v="3"/>
    <s v="Emergency"/>
    <s v="Injury"/>
    <n v="87"/>
    <s v="75+"/>
    <s v="Male"/>
    <s v="Commercial"/>
    <n v="0.4"/>
    <n v="767.44"/>
    <n v="0"/>
    <n v="4"/>
    <n v="0.8"/>
    <x v="0"/>
  </r>
  <r>
    <s v="ENC100228"/>
    <s v="PT59221"/>
    <s v="St. Catherine Hospital"/>
    <s v="South"/>
    <d v="2025-04-08T00:00:00"/>
    <d v="2025-04-10T00:00:00"/>
    <x v="2"/>
    <s v="Emergency"/>
    <s v="Infectious"/>
    <n v="52"/>
    <s v="50-64"/>
    <s v="Male"/>
    <s v="Self-Pay"/>
    <n v="1.1000000000000001"/>
    <n v="1806.91"/>
    <n v="0"/>
    <n v="4.8"/>
    <n v="0.79"/>
    <x v="7"/>
  </r>
  <r>
    <s v="ENC100229"/>
    <s v="PT25909"/>
    <s v="St. Catherine Hospital"/>
    <s v="West"/>
    <d v="2025-10-15T00:00:00"/>
    <d v="2025-10-17T00:00:00"/>
    <x v="5"/>
    <s v="Emergency"/>
    <s v="Respiratory"/>
    <n v="35"/>
    <s v="35-49"/>
    <s v="Female"/>
    <s v="Medicare"/>
    <n v="1.9"/>
    <n v="4937.9799999999996"/>
    <n v="0"/>
    <n v="4.5"/>
    <n v="0.75"/>
    <x v="3"/>
  </r>
  <r>
    <s v="ENC100230"/>
    <s v="PT51688"/>
    <s v="Metro Regional"/>
    <s v="West"/>
    <d v="2025-06-21T00:00:00"/>
    <d v="2025-06-25T00:00:00"/>
    <x v="9"/>
    <s v="Emergency"/>
    <s v="Respiratory"/>
    <n v="0"/>
    <s v="0-12"/>
    <s v="Female"/>
    <s v="Medicare"/>
    <n v="3.6"/>
    <n v="7557.6"/>
    <n v="0"/>
    <n v="5"/>
    <n v="0.86"/>
    <x v="1"/>
  </r>
  <r>
    <s v="ENC100231"/>
    <s v="PT87094"/>
    <s v="St. Catherine Hospital"/>
    <s v="South"/>
    <d v="2025-03-09T00:00:00"/>
    <d v="2025-03-22T00:00:00"/>
    <x v="4"/>
    <s v="Emergency"/>
    <s v="Pediatric"/>
    <n v="51"/>
    <s v="50-64"/>
    <s v="Male"/>
    <s v="Medicare"/>
    <n v="12.2"/>
    <n v="45886.55"/>
    <n v="0"/>
    <n v="5"/>
    <n v="0.78"/>
    <x v="11"/>
  </r>
  <r>
    <s v="ENC100232"/>
    <s v="PT11757"/>
    <s v="Metro Regional"/>
    <s v="South"/>
    <d v="2025-03-04T00:00:00"/>
    <d v="2025-03-06T00:00:00"/>
    <x v="3"/>
    <s v="Urgent"/>
    <s v="Respiratory"/>
    <n v="56"/>
    <s v="50-64"/>
    <s v="Male"/>
    <s v="Commercial"/>
    <n v="2"/>
    <n v="4664.1099999999997"/>
    <n v="0"/>
    <n v="2.6"/>
    <n v="0.85"/>
    <x v="11"/>
  </r>
  <r>
    <s v="ENC100233"/>
    <s v="PT78265"/>
    <s v="Northgate General"/>
    <s v="Northeast"/>
    <d v="2025-07-25T00:00:00"/>
    <d v="2025-07-26T00:00:00"/>
    <x v="3"/>
    <s v="Elective"/>
    <s v="Neurological"/>
    <n v="84"/>
    <s v="75+"/>
    <s v="Male"/>
    <s v="Medicare"/>
    <n v="0.2"/>
    <n v="418.89"/>
    <n v="0"/>
    <n v="2.4"/>
    <n v="0.78"/>
    <x v="5"/>
  </r>
  <r>
    <s v="ENC100234"/>
    <s v="PT54348"/>
    <s v="Northgate General"/>
    <s v="Northeast"/>
    <d v="2025-04-27T00:00:00"/>
    <d v="2025-04-29T00:00:00"/>
    <x v="8"/>
    <s v="Emergency"/>
    <s v="Infectious"/>
    <n v="20"/>
    <s v="18-34"/>
    <s v="Female"/>
    <s v="Commercial"/>
    <n v="1.7"/>
    <n v="4145.67"/>
    <n v="0"/>
    <n v="3.9"/>
    <n v="0.82"/>
    <x v="7"/>
  </r>
  <r>
    <s v="ENC100235"/>
    <s v="PT74750"/>
    <s v="Riverside Medical Center"/>
    <s v="Midwest"/>
    <d v="2025-02-07T00:00:00"/>
    <d v="2025-02-08T00:00:00"/>
    <x v="9"/>
    <s v="Emergency"/>
    <s v="Cardiac"/>
    <n v="14"/>
    <s v="13-17"/>
    <s v="Female"/>
    <s v="Medicare"/>
    <n v="1"/>
    <n v="2502.19"/>
    <n v="0"/>
    <n v="4.2"/>
    <n v="0.83"/>
    <x v="9"/>
  </r>
  <r>
    <s v="ENC100236"/>
    <s v="PT69696"/>
    <s v="St. Catherine Hospital"/>
    <s v="Northeast"/>
    <d v="2025-06-05T00:00:00"/>
    <d v="2025-06-11T00:00:00"/>
    <x v="8"/>
    <s v="Emergency"/>
    <s v="Other"/>
    <n v="90"/>
    <s v="75+"/>
    <s v="Female"/>
    <s v="Medicare"/>
    <n v="5.2"/>
    <n v="13377.24"/>
    <n v="0"/>
    <n v="3.9"/>
    <n v="0.76"/>
    <x v="1"/>
  </r>
  <r>
    <s v="ENC100237"/>
    <s v="PT48887"/>
    <s v="Lakeside Health"/>
    <s v="Midwest"/>
    <d v="2025-08-27T00:00:00"/>
    <d v="2025-08-29T00:00:00"/>
    <x v="5"/>
    <s v="Emergency"/>
    <s v="Cardiac"/>
    <n v="50"/>
    <s v="50-64"/>
    <s v="Male"/>
    <s v="Commercial"/>
    <n v="1.9"/>
    <n v="5590.29"/>
    <n v="0"/>
    <n v="4.3"/>
    <n v="0.76"/>
    <x v="4"/>
  </r>
  <r>
    <s v="ENC100238"/>
    <s v="PT37779"/>
    <s v="Metro Regional"/>
    <s v="Northeast"/>
    <d v="2025-04-27T00:00:00"/>
    <d v="2025-04-29T00:00:00"/>
    <x v="9"/>
    <s v="Elective"/>
    <s v="Other"/>
    <n v="2"/>
    <s v="0-12"/>
    <s v="Male"/>
    <s v="Medicaid"/>
    <n v="1.7"/>
    <n v="3489.88"/>
    <n v="0"/>
    <n v="3.7"/>
    <n v="0.85"/>
    <x v="7"/>
  </r>
  <r>
    <s v="ENC100239"/>
    <s v="PT66457"/>
    <s v="St. Catherine Hospital"/>
    <s v="West"/>
    <d v="2025-12-15T00:00:00"/>
    <d v="2025-12-19T00:00:00"/>
    <x v="9"/>
    <s v="Emergency"/>
    <s v="Maternal"/>
    <n v="9"/>
    <s v="0-12"/>
    <s v="Male"/>
    <s v="Commercial"/>
    <n v="3.8"/>
    <n v="8932.9699999999993"/>
    <n v="0"/>
    <n v="3.5"/>
    <n v="0.82"/>
    <x v="2"/>
  </r>
  <r>
    <s v="ENC100240"/>
    <s v="PT22620"/>
    <s v="Lakeside Health"/>
    <s v="West"/>
    <d v="2025-10-12T00:00:00"/>
    <d v="2025-10-15T00:00:00"/>
    <x v="8"/>
    <s v="Elective"/>
    <s v="Cardiac"/>
    <n v="43"/>
    <s v="35-49"/>
    <s v="Female"/>
    <s v="Medicare"/>
    <n v="3"/>
    <n v="7249.24"/>
    <n v="0"/>
    <n v="3.6"/>
    <n v="0.79"/>
    <x v="3"/>
  </r>
  <r>
    <s v="ENC100241"/>
    <s v="PT62568"/>
    <s v="Riverside Medical Center"/>
    <s v="West"/>
    <d v="2025-07-07T00:00:00"/>
    <d v="2025-07-09T00:00:00"/>
    <x v="3"/>
    <s v="Elective"/>
    <s v="Cardiac"/>
    <n v="56"/>
    <s v="50-64"/>
    <s v="Female"/>
    <s v="Medicare"/>
    <n v="1.2"/>
    <n v="2064.23"/>
    <n v="1"/>
    <n v="3.6"/>
    <n v="0.8"/>
    <x v="5"/>
  </r>
  <r>
    <s v="ENC100242"/>
    <s v="PT18522"/>
    <s v="Riverside Medical Center"/>
    <s v="South"/>
    <d v="2025-12-08T00:00:00"/>
    <d v="2025-12-09T00:00:00"/>
    <x v="3"/>
    <s v="Elective"/>
    <s v="Injury"/>
    <n v="22"/>
    <s v="18-34"/>
    <s v="Female"/>
    <s v="Medicare"/>
    <n v="0.8"/>
    <n v="1466.27"/>
    <n v="0"/>
    <n v="4.2"/>
    <n v="0.85"/>
    <x v="2"/>
  </r>
  <r>
    <s v="ENC100243"/>
    <s v="PT68485"/>
    <s v="Metro Regional"/>
    <s v="Northeast"/>
    <d v="2025-06-08T00:00:00"/>
    <d v="2025-06-10T00:00:00"/>
    <x v="3"/>
    <s v="Urgent"/>
    <s v="Cancer"/>
    <n v="33"/>
    <s v="18-34"/>
    <s v="Female"/>
    <s v="Medicare"/>
    <n v="1.9"/>
    <n v="3782.95"/>
    <n v="0"/>
    <n v="3.4"/>
    <n v="0.77"/>
    <x v="1"/>
  </r>
  <r>
    <s v="ENC100244"/>
    <s v="PT66586"/>
    <s v="Riverside Medical Center"/>
    <s v="Northeast"/>
    <d v="2025-02-20T00:00:00"/>
    <d v="2025-02-27T00:00:00"/>
    <x v="8"/>
    <s v="Emergency"/>
    <s v="Cardiac"/>
    <n v="66"/>
    <s v="65-74"/>
    <s v="Female"/>
    <s v="Self-Pay"/>
    <n v="6.8"/>
    <n v="15877.27"/>
    <n v="0"/>
    <n v="3.7"/>
    <n v="0.82"/>
    <x v="9"/>
  </r>
  <r>
    <s v="ENC100245"/>
    <s v="PT17599"/>
    <s v="Riverside Medical Center"/>
    <s v="South"/>
    <d v="2025-01-14T00:00:00"/>
    <d v="2025-01-17T00:00:00"/>
    <x v="0"/>
    <s v="Urgent"/>
    <s v="Other"/>
    <n v="88"/>
    <s v="75+"/>
    <s v="Male"/>
    <s v="Medicare"/>
    <n v="2.8"/>
    <n v="5120.88"/>
    <n v="0"/>
    <n v="4.2"/>
    <n v="0.81"/>
    <x v="8"/>
  </r>
  <r>
    <s v="ENC100246"/>
    <s v="PT78173"/>
    <s v="Metro Regional"/>
    <s v="South"/>
    <d v="2025-12-09T00:00:00"/>
    <d v="2025-12-16T00:00:00"/>
    <x v="1"/>
    <s v="Elective"/>
    <s v="Cardiac"/>
    <n v="44"/>
    <s v="35-49"/>
    <s v="Female"/>
    <s v="Medicaid"/>
    <n v="6.5"/>
    <n v="20353.240000000002"/>
    <n v="0"/>
    <n v="3.8"/>
    <n v="0.9"/>
    <x v="2"/>
  </r>
  <r>
    <s v="ENC100247"/>
    <s v="PT47422"/>
    <s v="Metro Regional"/>
    <s v="Midwest"/>
    <d v="2025-12-17T00:00:00"/>
    <d v="2025-12-26T00:00:00"/>
    <x v="0"/>
    <s v="Elective"/>
    <s v="Pediatric"/>
    <n v="37"/>
    <s v="35-49"/>
    <s v="Female"/>
    <s v="Medicare"/>
    <n v="8.9"/>
    <n v="18241.650000000001"/>
    <n v="1"/>
    <n v="4.4000000000000004"/>
    <n v="0.83"/>
    <x v="2"/>
  </r>
  <r>
    <s v="ENC100248"/>
    <s v="PT80818"/>
    <s v="Lakeside Health"/>
    <s v="Midwest"/>
    <d v="2025-09-27T00:00:00"/>
    <d v="2025-10-06T00:00:00"/>
    <x v="4"/>
    <s v="Elective"/>
    <s v="Cardiac"/>
    <n v="32"/>
    <s v="18-34"/>
    <s v="Male"/>
    <s v="Commercial"/>
    <n v="8.8000000000000007"/>
    <n v="41141.910000000003"/>
    <n v="0"/>
    <n v="3"/>
    <n v="0.77"/>
    <x v="6"/>
  </r>
  <r>
    <s v="ENC100249"/>
    <s v="PT13745"/>
    <s v="Northgate General"/>
    <s v="Midwest"/>
    <d v="2025-02-07T00:00:00"/>
    <d v="2025-02-10T00:00:00"/>
    <x v="8"/>
    <s v="Elective"/>
    <s v="Other"/>
    <n v="12"/>
    <s v="0-12"/>
    <s v="Male"/>
    <s v="Commercial"/>
    <n v="2.8"/>
    <n v="8225.08"/>
    <n v="0"/>
    <n v="3.2"/>
    <n v="0.71"/>
    <x v="9"/>
  </r>
  <r>
    <s v="ENC100250"/>
    <s v="PT26150"/>
    <s v="Metro Regional"/>
    <s v="Northeast"/>
    <d v="2025-04-18T00:00:00"/>
    <d v="2025-04-23T00:00:00"/>
    <x v="1"/>
    <s v="Urgent"/>
    <s v="Cardiac"/>
    <n v="4"/>
    <s v="0-12"/>
    <s v="Female"/>
    <s v="Medicare"/>
    <n v="4.2"/>
    <n v="13219.83"/>
    <n v="0"/>
    <n v="4.0999999999999996"/>
    <n v="0.83"/>
    <x v="7"/>
  </r>
  <r>
    <s v="ENC100251"/>
    <s v="PT54458"/>
    <s v="Riverside Medical Center"/>
    <s v="Midwest"/>
    <d v="2025-01-15T00:00:00"/>
    <d v="2025-01-28T00:00:00"/>
    <x v="4"/>
    <s v="Emergency"/>
    <s v="Cancer"/>
    <n v="75"/>
    <s v="75+"/>
    <s v="Female"/>
    <s v="Commercial"/>
    <n v="13"/>
    <n v="65423.33"/>
    <n v="0"/>
    <n v="3.8"/>
    <n v="0.79"/>
    <x v="8"/>
  </r>
  <r>
    <s v="ENC100252"/>
    <s v="PT26940"/>
    <s v="St. Catherine Hospital"/>
    <s v="Midwest"/>
    <d v="2025-01-19T00:00:00"/>
    <d v="2025-01-22T00:00:00"/>
    <x v="1"/>
    <s v="Elective"/>
    <s v="Infectious"/>
    <n v="3"/>
    <s v="0-12"/>
    <s v="Male"/>
    <s v="Commercial"/>
    <n v="2.2000000000000002"/>
    <n v="7250.89"/>
    <n v="0"/>
    <n v="3.4"/>
    <n v="0.9"/>
    <x v="8"/>
  </r>
  <r>
    <s v="ENC100253"/>
    <s v="PT39687"/>
    <s v="Northgate General"/>
    <s v="South"/>
    <d v="2025-03-31T00:00:00"/>
    <d v="2025-04-02T00:00:00"/>
    <x v="9"/>
    <s v="Elective"/>
    <s v="Cardiac"/>
    <n v="74"/>
    <s v="65-74"/>
    <s v="Male"/>
    <s v="Commercial"/>
    <n v="1.3"/>
    <n v="3506.32"/>
    <n v="0"/>
    <n v="4.7"/>
    <n v="0.75"/>
    <x v="11"/>
  </r>
  <r>
    <s v="ENC100254"/>
    <s v="PT69453"/>
    <s v="Metro Regional"/>
    <s v="West"/>
    <d v="2025-07-28T00:00:00"/>
    <d v="2025-08-01T00:00:00"/>
    <x v="6"/>
    <s v="Emergency"/>
    <s v="Pediatric"/>
    <n v="22"/>
    <s v="18-34"/>
    <s v="Male"/>
    <s v="Medicare"/>
    <n v="3.3"/>
    <n v="6766.95"/>
    <n v="0"/>
    <n v="5"/>
    <n v="0.84"/>
    <x v="5"/>
  </r>
  <r>
    <s v="ENC100255"/>
    <s v="PT23007"/>
    <s v="Metro Regional"/>
    <s v="South"/>
    <d v="2025-01-24T00:00:00"/>
    <d v="2025-01-25T00:00:00"/>
    <x v="3"/>
    <s v="Urgent"/>
    <s v="Injury"/>
    <n v="63"/>
    <s v="50-64"/>
    <s v="Female"/>
    <s v="Commercial"/>
    <n v="0.9"/>
    <n v="2019.37"/>
    <n v="0"/>
    <n v="3.3"/>
    <n v="0.85"/>
    <x v="8"/>
  </r>
  <r>
    <s v="ENC100256"/>
    <s v="PT70992"/>
    <s v="Lakeside Health"/>
    <s v="South"/>
    <d v="2025-12-26T00:00:00"/>
    <d v="2025-12-28T00:00:00"/>
    <x v="8"/>
    <s v="Emergency"/>
    <s v="Infectious"/>
    <n v="86"/>
    <s v="75+"/>
    <s v="Female"/>
    <s v="Medicaid"/>
    <n v="1.4"/>
    <n v="2936.17"/>
    <n v="0"/>
    <n v="4.8"/>
    <n v="0.69"/>
    <x v="2"/>
  </r>
  <r>
    <s v="ENC100257"/>
    <s v="PT19306"/>
    <s v="Riverside Medical Center"/>
    <s v="West"/>
    <d v="2025-06-16T00:00:00"/>
    <d v="2025-06-21T00:00:00"/>
    <x v="7"/>
    <s v="Elective"/>
    <s v="Infectious"/>
    <n v="68"/>
    <s v="65-74"/>
    <s v="Male"/>
    <s v="Medicare"/>
    <n v="4.5"/>
    <n v="15134.71"/>
    <n v="0"/>
    <n v="2.5"/>
    <n v="0.8"/>
    <x v="1"/>
  </r>
  <r>
    <s v="ENC100258"/>
    <s v="PT25766"/>
    <s v="St. Catherine Hospital"/>
    <s v="Northeast"/>
    <d v="2025-04-07T00:00:00"/>
    <d v="2025-04-13T00:00:00"/>
    <x v="9"/>
    <s v="Emergency"/>
    <s v="Infectious"/>
    <n v="66"/>
    <s v="65-74"/>
    <s v="Female"/>
    <s v="Medicare"/>
    <n v="5.7"/>
    <n v="13016.88"/>
    <n v="0"/>
    <n v="4.5"/>
    <n v="0.82"/>
    <x v="7"/>
  </r>
  <r>
    <s v="ENC100259"/>
    <s v="PT62887"/>
    <s v="Northgate General"/>
    <s v="South"/>
    <d v="2025-07-08T00:00:00"/>
    <d v="2025-07-15T00:00:00"/>
    <x v="7"/>
    <s v="Emergency"/>
    <s v="Respiratory"/>
    <n v="24"/>
    <s v="18-34"/>
    <s v="Female"/>
    <s v="Commercial"/>
    <n v="6.2"/>
    <n v="20393.11"/>
    <n v="0"/>
    <n v="3.4"/>
    <n v="0.78"/>
    <x v="5"/>
  </r>
  <r>
    <s v="ENC100260"/>
    <s v="PT81412"/>
    <s v="Metro Regional"/>
    <s v="Midwest"/>
    <d v="2025-10-16T00:00:00"/>
    <d v="2025-10-17T00:00:00"/>
    <x v="2"/>
    <s v="Elective"/>
    <s v="Cardiac"/>
    <n v="54"/>
    <s v="50-64"/>
    <s v="Male"/>
    <s v="Medicare"/>
    <n v="0.9"/>
    <n v="2282.5500000000002"/>
    <n v="0"/>
    <n v="4.5"/>
    <n v="0.75"/>
    <x v="3"/>
  </r>
  <r>
    <s v="ENC100261"/>
    <s v="PT25353"/>
    <s v="Riverside Medical Center"/>
    <s v="South"/>
    <d v="2025-04-25T00:00:00"/>
    <d v="2025-04-29T00:00:00"/>
    <x v="0"/>
    <s v="Emergency"/>
    <s v="Cardiac"/>
    <n v="58"/>
    <s v="50-64"/>
    <s v="Female"/>
    <s v="Commercial"/>
    <n v="3.2"/>
    <n v="8042.81"/>
    <n v="0"/>
    <n v="3.3"/>
    <n v="0.8"/>
    <x v="7"/>
  </r>
  <r>
    <s v="ENC100262"/>
    <s v="PT36999"/>
    <s v="Riverside Medical Center"/>
    <s v="Northeast"/>
    <d v="2025-01-18T00:00:00"/>
    <d v="2025-01-21T00:00:00"/>
    <x v="8"/>
    <s v="Emergency"/>
    <s v="Injury"/>
    <n v="38"/>
    <s v="35-49"/>
    <s v="Male"/>
    <s v="Medicare"/>
    <n v="2.6"/>
    <n v="6393.21"/>
    <n v="0"/>
    <n v="3.9"/>
    <n v="0.86"/>
    <x v="8"/>
  </r>
  <r>
    <s v="ENC100263"/>
    <s v="PT93259"/>
    <s v="Lakeside Health"/>
    <s v="West"/>
    <d v="2025-01-19T00:00:00"/>
    <d v="2025-01-29T00:00:00"/>
    <x v="6"/>
    <s v="Emergency"/>
    <s v="Cardiac"/>
    <n v="3"/>
    <s v="0-12"/>
    <s v="Male"/>
    <s v="Commercial"/>
    <n v="10"/>
    <n v="28170.43"/>
    <n v="0"/>
    <n v="3.2"/>
    <n v="0.77"/>
    <x v="8"/>
  </r>
  <r>
    <s v="ENC100264"/>
    <s v="PT99070"/>
    <s v="St. Catherine Hospital"/>
    <s v="West"/>
    <d v="2025-11-07T00:00:00"/>
    <d v="2025-11-16T00:00:00"/>
    <x v="4"/>
    <s v="Emergency"/>
    <s v="Other"/>
    <n v="83"/>
    <s v="75+"/>
    <s v="Female"/>
    <s v="Self-Pay"/>
    <n v="8.6"/>
    <n v="35288.81"/>
    <n v="0"/>
    <n v="3.5"/>
    <n v="0.85"/>
    <x v="0"/>
  </r>
  <r>
    <s v="ENC100265"/>
    <s v="PT62294"/>
    <s v="Metro Regional"/>
    <s v="Northeast"/>
    <d v="2025-02-10T00:00:00"/>
    <d v="2025-02-12T00:00:00"/>
    <x v="2"/>
    <s v="Elective"/>
    <s v="Neurological"/>
    <n v="17"/>
    <s v="13-17"/>
    <s v="Male"/>
    <s v="Commercial"/>
    <n v="1.6"/>
    <n v="3597.15"/>
    <n v="0"/>
    <n v="5"/>
    <n v="0.8"/>
    <x v="9"/>
  </r>
  <r>
    <s v="ENC100266"/>
    <s v="PT50232"/>
    <s v="Riverside Medical Center"/>
    <s v="Northeast"/>
    <d v="2025-08-20T00:00:00"/>
    <d v="2025-08-27T00:00:00"/>
    <x v="7"/>
    <s v="Urgent"/>
    <s v="Infectious"/>
    <n v="88"/>
    <s v="75+"/>
    <s v="Female"/>
    <s v="Medicare"/>
    <n v="7"/>
    <n v="24210.22"/>
    <n v="0"/>
    <n v="3.8"/>
    <n v="0.87"/>
    <x v="4"/>
  </r>
  <r>
    <s v="ENC100267"/>
    <s v="PT41217"/>
    <s v="Metro Regional"/>
    <s v="Northeast"/>
    <d v="2025-05-21T00:00:00"/>
    <d v="2025-05-25T00:00:00"/>
    <x v="8"/>
    <s v="Emergency"/>
    <s v="Injury"/>
    <n v="84"/>
    <s v="75+"/>
    <s v="Male"/>
    <s v="Commercial"/>
    <n v="3.8"/>
    <n v="10999.65"/>
    <n v="0"/>
    <n v="5"/>
    <n v="0.84"/>
    <x v="10"/>
  </r>
  <r>
    <s v="ENC100268"/>
    <s v="PT65120"/>
    <s v="Riverside Medical Center"/>
    <s v="West"/>
    <d v="2025-10-11T00:00:00"/>
    <d v="2025-10-18T00:00:00"/>
    <x v="2"/>
    <s v="Elective"/>
    <s v="Injury"/>
    <n v="1"/>
    <s v="0-12"/>
    <s v="Male"/>
    <s v="Medicare"/>
    <n v="6.3"/>
    <n v="13438.51"/>
    <n v="0"/>
    <n v="3.7"/>
    <n v="0.88"/>
    <x v="3"/>
  </r>
  <r>
    <s v="ENC100269"/>
    <s v="PT63181"/>
    <s v="Riverside Medical Center"/>
    <s v="South"/>
    <d v="2025-01-23T00:00:00"/>
    <d v="2025-01-26T00:00:00"/>
    <x v="8"/>
    <s v="Emergency"/>
    <s v="Neurological"/>
    <n v="67"/>
    <s v="65-74"/>
    <s v="Male"/>
    <s v="Medicare"/>
    <n v="2.1"/>
    <n v="5186.42"/>
    <n v="0"/>
    <n v="4.8"/>
    <n v="0.82"/>
    <x v="8"/>
  </r>
  <r>
    <s v="ENC100270"/>
    <s v="PT36527"/>
    <s v="St. Catherine Hospital"/>
    <s v="Northeast"/>
    <d v="2025-11-24T00:00:00"/>
    <d v="2025-11-27T00:00:00"/>
    <x v="9"/>
    <s v="Elective"/>
    <s v="Injury"/>
    <n v="57"/>
    <s v="50-64"/>
    <s v="Female"/>
    <s v="Commercial"/>
    <n v="3"/>
    <n v="7318.89"/>
    <n v="0"/>
    <n v="2.9"/>
    <n v="0.72"/>
    <x v="0"/>
  </r>
  <r>
    <s v="ENC100271"/>
    <s v="PT12052"/>
    <s v="Northgate General"/>
    <s v="West"/>
    <d v="2025-09-12T00:00:00"/>
    <d v="2025-09-13T00:00:00"/>
    <x v="8"/>
    <s v="Emergency"/>
    <s v="Injury"/>
    <n v="20"/>
    <s v="18-34"/>
    <s v="Male"/>
    <s v="Commercial"/>
    <n v="0.7"/>
    <n v="1658.14"/>
    <n v="0"/>
    <n v="3.7"/>
    <n v="0.81"/>
    <x v="6"/>
  </r>
  <r>
    <s v="ENC100272"/>
    <s v="PT23634"/>
    <s v="St. Catherine Hospital"/>
    <s v="Midwest"/>
    <d v="2025-06-13T00:00:00"/>
    <d v="2025-06-15T00:00:00"/>
    <x v="3"/>
    <s v="Emergency"/>
    <s v="Neurological"/>
    <n v="73"/>
    <s v="65-74"/>
    <s v="Male"/>
    <s v="Commercial"/>
    <n v="1.1000000000000001"/>
    <n v="2105.65"/>
    <n v="1"/>
    <n v="3.4"/>
    <n v="0.78"/>
    <x v="1"/>
  </r>
  <r>
    <s v="ENC100273"/>
    <s v="PT96269"/>
    <s v="Riverside Medical Center"/>
    <s v="Midwest"/>
    <d v="2025-03-17T00:00:00"/>
    <d v="2025-03-19T00:00:00"/>
    <x v="5"/>
    <s v="Emergency"/>
    <s v="Neurological"/>
    <n v="10"/>
    <s v="0-12"/>
    <s v="Male"/>
    <s v="Commercial"/>
    <n v="1.3"/>
    <n v="3779.79"/>
    <n v="0"/>
    <n v="4.8"/>
    <n v="0.8"/>
    <x v="11"/>
  </r>
  <r>
    <s v="ENC100274"/>
    <s v="PT47633"/>
    <s v="Riverside Medical Center"/>
    <s v="Midwest"/>
    <d v="2025-12-23T00:00:00"/>
    <d v="2025-12-27T00:00:00"/>
    <x v="5"/>
    <s v="Elective"/>
    <s v="Other"/>
    <n v="22"/>
    <s v="18-34"/>
    <s v="Male"/>
    <s v="Self-Pay"/>
    <n v="3.8"/>
    <n v="7971.4"/>
    <n v="0"/>
    <n v="4"/>
    <n v="0.76"/>
    <x v="2"/>
  </r>
  <r>
    <s v="ENC100275"/>
    <s v="PT53406"/>
    <s v="Lakeside Health"/>
    <s v="South"/>
    <d v="2025-04-21T00:00:00"/>
    <d v="2025-04-26T00:00:00"/>
    <x v="5"/>
    <s v="Emergency"/>
    <s v="Cardiac"/>
    <n v="86"/>
    <s v="75+"/>
    <s v="Female"/>
    <s v="Commercial"/>
    <n v="4.9000000000000004"/>
    <n v="15704.1"/>
    <n v="0"/>
    <n v="2.6"/>
    <n v="0.81"/>
    <x v="7"/>
  </r>
  <r>
    <s v="ENC100276"/>
    <s v="PT52039"/>
    <s v="Riverside Medical Center"/>
    <s v="Midwest"/>
    <d v="2025-06-29T00:00:00"/>
    <d v="2025-07-06T00:00:00"/>
    <x v="7"/>
    <s v="Emergency"/>
    <s v="Neurological"/>
    <n v="67"/>
    <s v="65-74"/>
    <s v="Male"/>
    <s v="Commercial"/>
    <n v="6.4"/>
    <n v="20750.37"/>
    <n v="0"/>
    <n v="3.1"/>
    <n v="0.8"/>
    <x v="1"/>
  </r>
  <r>
    <s v="ENC100277"/>
    <s v="PT80445"/>
    <s v="Lakeside Health"/>
    <s v="Northeast"/>
    <d v="2025-05-24T00:00:00"/>
    <d v="2025-05-26T00:00:00"/>
    <x v="9"/>
    <s v="Elective"/>
    <s v="Cardiac"/>
    <n v="10"/>
    <s v="0-12"/>
    <s v="Female"/>
    <s v="Self-Pay"/>
    <n v="1.3"/>
    <n v="2701.7"/>
    <n v="0"/>
    <n v="3.3"/>
    <n v="0.81"/>
    <x v="10"/>
  </r>
  <r>
    <s v="ENC100278"/>
    <s v="PT15846"/>
    <s v="Lakeside Health"/>
    <s v="Midwest"/>
    <d v="2025-03-26T00:00:00"/>
    <d v="2025-03-30T00:00:00"/>
    <x v="5"/>
    <s v="Elective"/>
    <s v="Injury"/>
    <n v="13"/>
    <s v="13-17"/>
    <s v="Female"/>
    <s v="Commercial"/>
    <n v="3.7"/>
    <n v="10508.39"/>
    <n v="0"/>
    <n v="4.5"/>
    <n v="0.73"/>
    <x v="11"/>
  </r>
  <r>
    <s v="ENC100279"/>
    <s v="PT17445"/>
    <s v="Riverside Medical Center"/>
    <s v="West"/>
    <d v="2025-06-02T00:00:00"/>
    <d v="2025-06-11T00:00:00"/>
    <x v="5"/>
    <s v="Emergency"/>
    <s v="GI"/>
    <n v="23"/>
    <s v="18-34"/>
    <s v="Male"/>
    <s v="Commercial"/>
    <n v="8.1"/>
    <n v="23390.95"/>
    <n v="0"/>
    <n v="4.2"/>
    <n v="0.78"/>
    <x v="1"/>
  </r>
  <r>
    <s v="ENC100280"/>
    <s v="PT34825"/>
    <s v="Lakeside Health"/>
    <s v="Midwest"/>
    <d v="2025-02-25T00:00:00"/>
    <d v="2025-03-10T00:00:00"/>
    <x v="7"/>
    <s v="Elective"/>
    <s v="Cardiac"/>
    <n v="6"/>
    <s v="0-12"/>
    <s v="Male"/>
    <s v="Medicare"/>
    <n v="12.4"/>
    <n v="38974.49"/>
    <n v="0"/>
    <n v="3.5"/>
    <n v="0.8"/>
    <x v="9"/>
  </r>
  <r>
    <s v="ENC100281"/>
    <s v="PT53798"/>
    <s v="Northgate General"/>
    <s v="West"/>
    <d v="2025-01-01T00:00:00"/>
    <d v="2025-01-03T00:00:00"/>
    <x v="3"/>
    <s v="Urgent"/>
    <s v="Infectious"/>
    <n v="16"/>
    <s v="13-17"/>
    <s v="Male"/>
    <s v="Medicaid"/>
    <n v="1.1000000000000001"/>
    <n v="1743.37"/>
    <n v="0"/>
    <n v="3.4"/>
    <n v="0.78"/>
    <x v="8"/>
  </r>
  <r>
    <s v="ENC100282"/>
    <s v="PT70400"/>
    <s v="Northgate General"/>
    <s v="South"/>
    <d v="2025-04-16T00:00:00"/>
    <d v="2025-04-29T00:00:00"/>
    <x v="4"/>
    <s v="Emergency"/>
    <s v="Cancer"/>
    <n v="52"/>
    <s v="50-64"/>
    <s v="Female"/>
    <s v="Medicare"/>
    <n v="13"/>
    <n v="60520.35"/>
    <n v="0"/>
    <n v="4"/>
    <n v="0.78"/>
    <x v="7"/>
  </r>
  <r>
    <s v="ENC100283"/>
    <s v="PT54163"/>
    <s v="Riverside Medical Center"/>
    <s v="South"/>
    <d v="2025-02-10T00:00:00"/>
    <d v="2025-02-12T00:00:00"/>
    <x v="8"/>
    <s v="Elective"/>
    <s v="Respiratory"/>
    <n v="0"/>
    <s v="0-12"/>
    <s v="Female"/>
    <s v="Medicare"/>
    <n v="1.4"/>
    <n v="3540.05"/>
    <n v="0"/>
    <n v="3.2"/>
    <n v="0.77"/>
    <x v="9"/>
  </r>
  <r>
    <s v="ENC100284"/>
    <s v="PT49704"/>
    <s v="Metro Regional"/>
    <s v="Northeast"/>
    <d v="2025-06-01T00:00:00"/>
    <d v="2025-06-06T00:00:00"/>
    <x v="4"/>
    <s v="Emergency"/>
    <s v="Other"/>
    <n v="26"/>
    <s v="18-34"/>
    <s v="Female"/>
    <s v="Self-Pay"/>
    <n v="4.3"/>
    <n v="13951.65"/>
    <n v="0"/>
    <n v="4.0999999999999996"/>
    <n v="0.82"/>
    <x v="1"/>
  </r>
  <r>
    <s v="ENC100285"/>
    <s v="PT94403"/>
    <s v="St. Catherine Hospital"/>
    <s v="West"/>
    <d v="2025-11-11T00:00:00"/>
    <d v="2025-11-13T00:00:00"/>
    <x v="3"/>
    <s v="Elective"/>
    <s v="Cancer"/>
    <n v="28"/>
    <s v="18-34"/>
    <s v="Female"/>
    <s v="Commercial"/>
    <n v="1.1000000000000001"/>
    <n v="2282.48"/>
    <n v="0"/>
    <n v="3.9"/>
    <n v="0.82"/>
    <x v="0"/>
  </r>
  <r>
    <s v="ENC100286"/>
    <s v="PT24491"/>
    <s v="St. Catherine Hospital"/>
    <s v="Northeast"/>
    <d v="2025-03-01T00:00:00"/>
    <d v="2025-03-04T00:00:00"/>
    <x v="9"/>
    <s v="Emergency"/>
    <s v="Maternal"/>
    <n v="88"/>
    <s v="75+"/>
    <s v="Male"/>
    <s v="Self-Pay"/>
    <n v="2.1"/>
    <n v="4295.78"/>
    <n v="0"/>
    <n v="3.7"/>
    <n v="0.75"/>
    <x v="11"/>
  </r>
  <r>
    <s v="ENC100287"/>
    <s v="PT61454"/>
    <s v="Metro Regional"/>
    <s v="Northeast"/>
    <d v="2025-01-01T00:00:00"/>
    <d v="2025-01-04T00:00:00"/>
    <x v="5"/>
    <s v="Elective"/>
    <s v="Cancer"/>
    <n v="88"/>
    <s v="75+"/>
    <s v="Male"/>
    <s v="Medicaid"/>
    <n v="2.9"/>
    <n v="8502.82"/>
    <n v="0"/>
    <n v="4.0999999999999996"/>
    <n v="0.82"/>
    <x v="8"/>
  </r>
  <r>
    <s v="ENC100288"/>
    <s v="PT58801"/>
    <s v="Northgate General"/>
    <s v="Northeast"/>
    <d v="2025-02-10T00:00:00"/>
    <d v="2025-02-18T00:00:00"/>
    <x v="1"/>
    <s v="Emergency"/>
    <s v="Other"/>
    <n v="76"/>
    <s v="75+"/>
    <s v="Female"/>
    <s v="Self-Pay"/>
    <n v="7.1"/>
    <n v="18956.71"/>
    <n v="0"/>
    <n v="3.8"/>
    <n v="0.76"/>
    <x v="9"/>
  </r>
  <r>
    <s v="ENC100289"/>
    <s v="PT52613"/>
    <s v="Metro Regional"/>
    <s v="Northeast"/>
    <d v="2025-07-05T00:00:00"/>
    <d v="2025-07-07T00:00:00"/>
    <x v="5"/>
    <s v="Emergency"/>
    <s v="Injury"/>
    <n v="31"/>
    <s v="18-34"/>
    <s v="Female"/>
    <s v="Commercial"/>
    <n v="1.5"/>
    <n v="4610.82"/>
    <n v="1"/>
    <n v="4.2"/>
    <n v="0.84"/>
    <x v="5"/>
  </r>
  <r>
    <s v="ENC100290"/>
    <s v="PT82682"/>
    <s v="Lakeside Health"/>
    <s v="West"/>
    <d v="2025-04-11T00:00:00"/>
    <d v="2025-04-12T00:00:00"/>
    <x v="3"/>
    <s v="Urgent"/>
    <s v="Cancer"/>
    <n v="47"/>
    <s v="35-49"/>
    <s v="Female"/>
    <s v="Commercial"/>
    <n v="0.4"/>
    <n v="782.99"/>
    <n v="0"/>
    <n v="2.9"/>
    <n v="0.81"/>
    <x v="7"/>
  </r>
  <r>
    <s v="ENC100291"/>
    <s v="PT34027"/>
    <s v="Metro Regional"/>
    <s v="West"/>
    <d v="2025-06-28T00:00:00"/>
    <d v="2025-06-29T00:00:00"/>
    <x v="1"/>
    <s v="Emergency"/>
    <s v="Maternal"/>
    <n v="45"/>
    <s v="35-49"/>
    <s v="Male"/>
    <s v="Medicare"/>
    <n v="1"/>
    <n v="2750.06"/>
    <n v="0"/>
    <n v="4.3"/>
    <n v="0.83"/>
    <x v="1"/>
  </r>
  <r>
    <s v="ENC100292"/>
    <s v="PT95838"/>
    <s v="Metro Regional"/>
    <s v="South"/>
    <d v="2025-01-11T00:00:00"/>
    <d v="2025-01-18T00:00:00"/>
    <x v="4"/>
    <s v="Urgent"/>
    <s v="Injury"/>
    <n v="78"/>
    <s v="75+"/>
    <s v="Male"/>
    <s v="Medicare"/>
    <n v="7"/>
    <n v="28935.81"/>
    <n v="0"/>
    <n v="4.4000000000000004"/>
    <n v="0.81"/>
    <x v="8"/>
  </r>
  <r>
    <s v="ENC100293"/>
    <s v="PT39840"/>
    <s v="Metro Regional"/>
    <s v="Northeast"/>
    <d v="2025-05-02T00:00:00"/>
    <d v="2025-05-05T00:00:00"/>
    <x v="2"/>
    <s v="Urgent"/>
    <s v="Injury"/>
    <n v="67"/>
    <s v="65-74"/>
    <s v="Female"/>
    <s v="Medicare"/>
    <n v="2.2000000000000002"/>
    <n v="5443.7"/>
    <n v="1"/>
    <n v="4.0999999999999996"/>
    <n v="0.95"/>
    <x v="10"/>
  </r>
  <r>
    <s v="ENC100294"/>
    <s v="PT59049"/>
    <s v="Riverside Medical Center"/>
    <s v="West"/>
    <d v="2025-05-30T00:00:00"/>
    <d v="2025-06-08T00:00:00"/>
    <x v="7"/>
    <s v="Urgent"/>
    <s v="Other"/>
    <n v="82"/>
    <s v="75+"/>
    <s v="Female"/>
    <s v="Self-Pay"/>
    <n v="8.1999999999999993"/>
    <n v="21183.09"/>
    <n v="0"/>
    <n v="4.0999999999999996"/>
    <n v="0.8"/>
    <x v="10"/>
  </r>
  <r>
    <s v="ENC100295"/>
    <s v="PT56859"/>
    <s v="Metro Regional"/>
    <s v="South"/>
    <d v="2025-06-07T00:00:00"/>
    <d v="2025-06-14T00:00:00"/>
    <x v="4"/>
    <s v="Emergency"/>
    <s v="Infectious"/>
    <n v="50"/>
    <s v="50-64"/>
    <s v="Female"/>
    <s v="Medicare"/>
    <n v="6.9"/>
    <n v="27939.14"/>
    <n v="0"/>
    <n v="3.7"/>
    <n v="0.83"/>
    <x v="1"/>
  </r>
  <r>
    <s v="ENC100296"/>
    <s v="PT86479"/>
    <s v="Metro Regional"/>
    <s v="Midwest"/>
    <d v="2025-07-21T00:00:00"/>
    <d v="2025-07-23T00:00:00"/>
    <x v="1"/>
    <s v="Elective"/>
    <s v="GI"/>
    <n v="83"/>
    <s v="75+"/>
    <s v="Female"/>
    <s v="Commercial"/>
    <n v="2"/>
    <n v="7478.22"/>
    <n v="0"/>
    <n v="4.4000000000000004"/>
    <n v="0.83"/>
    <x v="5"/>
  </r>
  <r>
    <s v="ENC100297"/>
    <s v="PT49501"/>
    <s v="Lakeside Health"/>
    <s v="Midwest"/>
    <d v="2025-10-12T00:00:00"/>
    <d v="2025-10-16T00:00:00"/>
    <x v="4"/>
    <s v="Emergency"/>
    <s v="GI"/>
    <n v="67"/>
    <s v="65-74"/>
    <s v="Male"/>
    <s v="Commercial"/>
    <n v="3.2"/>
    <n v="13656.74"/>
    <n v="0"/>
    <n v="3.8"/>
    <n v="0.74"/>
    <x v="3"/>
  </r>
  <r>
    <s v="ENC100298"/>
    <s v="PT35610"/>
    <s v="Northgate General"/>
    <s v="South"/>
    <d v="2025-06-20T00:00:00"/>
    <d v="2025-06-23T00:00:00"/>
    <x v="6"/>
    <s v="Emergency"/>
    <s v="Pediatric"/>
    <n v="67"/>
    <s v="65-74"/>
    <s v="Male"/>
    <s v="Commercial"/>
    <n v="2.4"/>
    <n v="6653.97"/>
    <n v="1"/>
    <n v="3.2"/>
    <n v="0.78"/>
    <x v="1"/>
  </r>
  <r>
    <s v="ENC100299"/>
    <s v="PT11945"/>
    <s v="Metro Regional"/>
    <s v="Northeast"/>
    <d v="2025-11-04T00:00:00"/>
    <d v="2025-11-05T00:00:00"/>
    <x v="2"/>
    <s v="Urgent"/>
    <s v="Pediatric"/>
    <n v="60"/>
    <s v="50-64"/>
    <s v="Female"/>
    <s v="Commercial"/>
    <n v="1"/>
    <n v="2067.81"/>
    <n v="0"/>
    <n v="4.4000000000000004"/>
    <n v="0.88"/>
    <x v="0"/>
  </r>
  <r>
    <s v="ENC100300"/>
    <s v="PT42730"/>
    <s v="Riverside Medical Center"/>
    <s v="Midwest"/>
    <d v="2025-07-13T00:00:00"/>
    <d v="2025-07-19T00:00:00"/>
    <x v="2"/>
    <s v="Elective"/>
    <s v="Infectious"/>
    <n v="30"/>
    <s v="18-34"/>
    <s v="Male"/>
    <s v="Commercial"/>
    <n v="5.6"/>
    <n v="12002.21"/>
    <n v="0"/>
    <n v="2.9"/>
    <n v="0.84"/>
    <x v="5"/>
  </r>
  <r>
    <s v="ENC100301"/>
    <s v="PT84365"/>
    <s v="St. Catherine Hospital"/>
    <s v="South"/>
    <d v="2025-04-06T00:00:00"/>
    <d v="2025-04-08T00:00:00"/>
    <x v="9"/>
    <s v="Emergency"/>
    <s v="Injury"/>
    <n v="55"/>
    <s v="50-64"/>
    <s v="Female"/>
    <s v="Medicaid"/>
    <n v="1.7"/>
    <n v="3666.61"/>
    <n v="0"/>
    <n v="4.0999999999999996"/>
    <n v="0.84"/>
    <x v="7"/>
  </r>
  <r>
    <s v="ENC100302"/>
    <s v="PT10892"/>
    <s v="St. Catherine Hospital"/>
    <s v="Northeast"/>
    <d v="2025-03-25T00:00:00"/>
    <d v="2025-03-27T00:00:00"/>
    <x v="7"/>
    <s v="Emergency"/>
    <s v="Respiratory"/>
    <n v="32"/>
    <s v="18-34"/>
    <s v="Female"/>
    <s v="Medicare"/>
    <n v="1.1000000000000001"/>
    <n v="3158.24"/>
    <n v="0"/>
    <n v="3.7"/>
    <n v="0.84"/>
    <x v="11"/>
  </r>
  <r>
    <s v="ENC100303"/>
    <s v="PT90653"/>
    <s v="Riverside Medical Center"/>
    <s v="Midwest"/>
    <d v="2025-04-28T00:00:00"/>
    <d v="2025-05-08T00:00:00"/>
    <x v="7"/>
    <s v="Elective"/>
    <s v="Infectious"/>
    <n v="59"/>
    <s v="50-64"/>
    <s v="Male"/>
    <s v="Medicare"/>
    <n v="9.6999999999999993"/>
    <n v="26833.11"/>
    <n v="0"/>
    <n v="3.4"/>
    <n v="0.83"/>
    <x v="7"/>
  </r>
  <r>
    <s v="ENC100304"/>
    <s v="PT58853"/>
    <s v="Lakeside Health"/>
    <s v="South"/>
    <d v="2025-08-07T00:00:00"/>
    <d v="2025-08-10T00:00:00"/>
    <x v="1"/>
    <s v="Elective"/>
    <s v="Pediatric"/>
    <n v="23"/>
    <s v="18-34"/>
    <s v="Female"/>
    <s v="Commercial"/>
    <n v="2.8"/>
    <n v="10608.59"/>
    <n v="0"/>
    <n v="4"/>
    <n v="0.77"/>
    <x v="4"/>
  </r>
  <r>
    <s v="ENC100305"/>
    <s v="PT22622"/>
    <s v="Riverside Medical Center"/>
    <s v="South"/>
    <d v="2025-03-30T00:00:00"/>
    <d v="2025-04-05T00:00:00"/>
    <x v="5"/>
    <s v="Emergency"/>
    <s v="Neurological"/>
    <n v="72"/>
    <s v="65-74"/>
    <s v="Female"/>
    <s v="Medicare"/>
    <n v="5.7"/>
    <n v="16145.29"/>
    <n v="0"/>
    <n v="3.5"/>
    <n v="0.86"/>
    <x v="11"/>
  </r>
  <r>
    <s v="ENC100306"/>
    <s v="PT37195"/>
    <s v="Lakeside Health"/>
    <s v="West"/>
    <d v="2025-11-30T00:00:00"/>
    <d v="2025-12-02T00:00:00"/>
    <x v="2"/>
    <s v="Urgent"/>
    <s v="Cardiac"/>
    <n v="51"/>
    <s v="50-64"/>
    <s v="Male"/>
    <s v="Medicaid"/>
    <n v="1.8"/>
    <n v="4047.93"/>
    <n v="0"/>
    <n v="4.2"/>
    <n v="0.71"/>
    <x v="0"/>
  </r>
  <r>
    <s v="ENC100307"/>
    <s v="PT59862"/>
    <s v="Metro Regional"/>
    <s v="West"/>
    <d v="2025-06-25T00:00:00"/>
    <d v="2025-07-05T00:00:00"/>
    <x v="5"/>
    <s v="Emergency"/>
    <s v="Injury"/>
    <n v="64"/>
    <s v="50-64"/>
    <s v="Male"/>
    <s v="Medicaid"/>
    <n v="9.1"/>
    <n v="22488.49"/>
    <n v="0"/>
    <n v="3.7"/>
    <n v="0.94"/>
    <x v="1"/>
  </r>
  <r>
    <s v="ENC100308"/>
    <s v="PT38411"/>
    <s v="Northgate General"/>
    <s v="South"/>
    <d v="2025-11-12T00:00:00"/>
    <d v="2025-11-14T00:00:00"/>
    <x v="8"/>
    <s v="Emergency"/>
    <s v="Neurological"/>
    <n v="20"/>
    <s v="18-34"/>
    <s v="Female"/>
    <s v="Medicare"/>
    <n v="1.6"/>
    <n v="4059.01"/>
    <n v="0"/>
    <n v="3.5"/>
    <n v="0.76"/>
    <x v="0"/>
  </r>
  <r>
    <s v="ENC100309"/>
    <s v="PT19771"/>
    <s v="Lakeside Health"/>
    <s v="South"/>
    <d v="2025-09-07T00:00:00"/>
    <d v="2025-09-10T00:00:00"/>
    <x v="2"/>
    <s v="Elective"/>
    <s v="Pediatric"/>
    <n v="72"/>
    <s v="65-74"/>
    <s v="Male"/>
    <s v="Medicaid"/>
    <n v="2.1"/>
    <n v="4311.18"/>
    <n v="0"/>
    <n v="4.7"/>
    <n v="0.74"/>
    <x v="6"/>
  </r>
  <r>
    <s v="ENC100310"/>
    <s v="PT69938"/>
    <s v="Riverside Medical Center"/>
    <s v="South"/>
    <d v="2025-05-02T00:00:00"/>
    <d v="2025-05-03T00:00:00"/>
    <x v="3"/>
    <s v="Urgent"/>
    <s v="Cardiac"/>
    <n v="73"/>
    <s v="65-74"/>
    <s v="Female"/>
    <s v="Medicare"/>
    <n v="0.2"/>
    <n v="324.7"/>
    <n v="0"/>
    <n v="3.8"/>
    <n v="0.77"/>
    <x v="10"/>
  </r>
  <r>
    <s v="ENC100311"/>
    <s v="PT70500"/>
    <s v="Metro Regional"/>
    <s v="South"/>
    <d v="2025-03-25T00:00:00"/>
    <d v="2025-04-02T00:00:00"/>
    <x v="8"/>
    <s v="Emergency"/>
    <s v="Infectious"/>
    <n v="13"/>
    <s v="13-17"/>
    <s v="Male"/>
    <s v="Medicare"/>
    <n v="7.9"/>
    <n v="18397.04"/>
    <n v="0"/>
    <n v="4.0999999999999996"/>
    <n v="0.79"/>
    <x v="11"/>
  </r>
  <r>
    <s v="ENC100312"/>
    <s v="PT20698"/>
    <s v="Metro Regional"/>
    <s v="Northeast"/>
    <d v="2025-09-29T00:00:00"/>
    <d v="2025-10-03T00:00:00"/>
    <x v="4"/>
    <s v="Emergency"/>
    <s v="Maternal"/>
    <n v="31"/>
    <s v="18-34"/>
    <s v="Female"/>
    <s v="Medicaid"/>
    <n v="3.3"/>
    <n v="11955.49"/>
    <n v="0"/>
    <n v="4.5999999999999996"/>
    <n v="0.88"/>
    <x v="6"/>
  </r>
  <r>
    <s v="ENC100313"/>
    <s v="PT35310"/>
    <s v="Riverside Medical Center"/>
    <s v="South"/>
    <d v="2025-05-01T00:00:00"/>
    <d v="2025-05-05T00:00:00"/>
    <x v="2"/>
    <s v="Emergency"/>
    <s v="Other"/>
    <n v="61"/>
    <s v="50-64"/>
    <s v="Male"/>
    <s v="Commercial"/>
    <n v="3.7"/>
    <n v="9019.7999999999993"/>
    <n v="0"/>
    <n v="4.7"/>
    <n v="0.91"/>
    <x v="10"/>
  </r>
  <r>
    <s v="ENC100314"/>
    <s v="PT31948"/>
    <s v="Lakeside Health"/>
    <s v="South"/>
    <d v="2025-04-01T00:00:00"/>
    <d v="2025-04-06T00:00:00"/>
    <x v="1"/>
    <s v="Urgent"/>
    <s v="Respiratory"/>
    <n v="79"/>
    <s v="75+"/>
    <s v="Female"/>
    <s v="Commercial"/>
    <n v="4.5999999999999996"/>
    <n v="14992.92"/>
    <n v="0"/>
    <n v="4.2"/>
    <n v="0.73"/>
    <x v="7"/>
  </r>
  <r>
    <s v="ENC100315"/>
    <s v="PT69347"/>
    <s v="St. Catherine Hospital"/>
    <s v="Midwest"/>
    <d v="2025-12-06T00:00:00"/>
    <d v="2025-12-12T00:00:00"/>
    <x v="6"/>
    <s v="Emergency"/>
    <s v="Other"/>
    <n v="67"/>
    <s v="65-74"/>
    <s v="Male"/>
    <s v="Commercial"/>
    <n v="5.7"/>
    <n v="14135.44"/>
    <n v="0"/>
    <n v="3.7"/>
    <n v="0.81"/>
    <x v="2"/>
  </r>
  <r>
    <s v="ENC100316"/>
    <s v="PT75725"/>
    <s v="St. Catherine Hospital"/>
    <s v="West"/>
    <d v="2025-06-26T00:00:00"/>
    <d v="2025-06-28T00:00:00"/>
    <x v="3"/>
    <s v="Emergency"/>
    <s v="Infectious"/>
    <n v="42"/>
    <s v="35-49"/>
    <s v="Male"/>
    <s v="Medicare"/>
    <n v="1.2"/>
    <n v="2134.0500000000002"/>
    <n v="0"/>
    <n v="2.8"/>
    <n v="0.81"/>
    <x v="1"/>
  </r>
  <r>
    <s v="ENC100317"/>
    <s v="PT75428"/>
    <s v="Lakeside Health"/>
    <s v="South"/>
    <d v="2025-01-18T00:00:00"/>
    <d v="2025-01-20T00:00:00"/>
    <x v="9"/>
    <s v="Urgent"/>
    <s v="Maternal"/>
    <n v="27"/>
    <s v="18-34"/>
    <s v="Female"/>
    <s v="Medicare"/>
    <n v="2"/>
    <n v="4721.63"/>
    <n v="0"/>
    <n v="4"/>
    <n v="0.79"/>
    <x v="8"/>
  </r>
  <r>
    <s v="ENC100318"/>
    <s v="PT94487"/>
    <s v="St. Catherine Hospital"/>
    <s v="Midwest"/>
    <d v="2025-06-30T00:00:00"/>
    <d v="2025-07-03T00:00:00"/>
    <x v="3"/>
    <s v="Emergency"/>
    <s v="Respiratory"/>
    <n v="82"/>
    <s v="75+"/>
    <s v="Male"/>
    <s v="Medicare"/>
    <n v="2.1"/>
    <n v="3223.21"/>
    <n v="0"/>
    <n v="4.4000000000000004"/>
    <n v="0.89"/>
    <x v="1"/>
  </r>
  <r>
    <s v="ENC100319"/>
    <s v="PT79177"/>
    <s v="Lakeside Health"/>
    <s v="Northeast"/>
    <d v="2025-06-18T00:00:00"/>
    <d v="2025-06-23T00:00:00"/>
    <x v="8"/>
    <s v="Elective"/>
    <s v="Neurological"/>
    <n v="79"/>
    <s v="75+"/>
    <s v="Female"/>
    <s v="Medicare"/>
    <n v="4.0999999999999996"/>
    <n v="11547.24"/>
    <n v="0"/>
    <n v="4.0999999999999996"/>
    <n v="0.81"/>
    <x v="1"/>
  </r>
  <r>
    <s v="ENC100320"/>
    <s v="PT38860"/>
    <s v="Northgate General"/>
    <s v="Northeast"/>
    <d v="2025-11-12T00:00:00"/>
    <d v="2025-11-15T00:00:00"/>
    <x v="6"/>
    <s v="Emergency"/>
    <s v="Infectious"/>
    <n v="81"/>
    <s v="75+"/>
    <s v="Male"/>
    <s v="Commercial"/>
    <n v="2.2000000000000002"/>
    <n v="5507.74"/>
    <n v="0"/>
    <n v="1.8"/>
    <n v="0.77"/>
    <x v="0"/>
  </r>
  <r>
    <s v="ENC100321"/>
    <s v="PT19696"/>
    <s v="Northgate General"/>
    <s v="Midwest"/>
    <d v="2025-09-17T00:00:00"/>
    <d v="2025-09-22T00:00:00"/>
    <x v="0"/>
    <s v="Elective"/>
    <s v="Injury"/>
    <n v="27"/>
    <s v="18-34"/>
    <s v="Female"/>
    <s v="Medicaid"/>
    <n v="4.5999999999999996"/>
    <n v="9860.16"/>
    <n v="0"/>
    <n v="4.4000000000000004"/>
    <n v="0.8"/>
    <x v="6"/>
  </r>
  <r>
    <s v="ENC100322"/>
    <s v="PT65317"/>
    <s v="Metro Regional"/>
    <s v="Midwest"/>
    <d v="2025-03-11T00:00:00"/>
    <d v="2025-03-17T00:00:00"/>
    <x v="1"/>
    <s v="Emergency"/>
    <s v="Cancer"/>
    <n v="39"/>
    <s v="35-49"/>
    <s v="Female"/>
    <s v="Commercial"/>
    <n v="5.0999999999999996"/>
    <n v="17995.41"/>
    <n v="0"/>
    <n v="4.5"/>
    <n v="0.87"/>
    <x v="11"/>
  </r>
  <r>
    <s v="ENC100323"/>
    <s v="PT92440"/>
    <s v="Riverside Medical Center"/>
    <s v="Northeast"/>
    <d v="2025-02-24T00:00:00"/>
    <d v="2025-02-25T00:00:00"/>
    <x v="2"/>
    <s v="Emergency"/>
    <s v="Infectious"/>
    <n v="22"/>
    <s v="18-34"/>
    <s v="Male"/>
    <s v="Self-Pay"/>
    <n v="0.9"/>
    <n v="1787.46"/>
    <n v="1"/>
    <n v="3.7"/>
    <n v="0.82"/>
    <x v="9"/>
  </r>
  <r>
    <s v="ENC100324"/>
    <s v="PT97763"/>
    <s v="St. Catherine Hospital"/>
    <s v="Northeast"/>
    <d v="2025-08-09T00:00:00"/>
    <d v="2025-08-18T00:00:00"/>
    <x v="2"/>
    <s v="Emergency"/>
    <s v="Infectious"/>
    <n v="86"/>
    <s v="75+"/>
    <s v="Female"/>
    <s v="Commercial"/>
    <n v="8.1999999999999993"/>
    <n v="18965.59"/>
    <n v="0"/>
    <n v="4.3"/>
    <n v="0.76"/>
    <x v="4"/>
  </r>
  <r>
    <s v="ENC100325"/>
    <s v="PT30719"/>
    <s v="Riverside Medical Center"/>
    <s v="Northeast"/>
    <d v="2025-01-18T00:00:00"/>
    <d v="2025-01-20T00:00:00"/>
    <x v="8"/>
    <s v="Elective"/>
    <s v="Respiratory"/>
    <n v="78"/>
    <s v="75+"/>
    <s v="Female"/>
    <s v="Medicare"/>
    <n v="1.8"/>
    <n v="4203.53"/>
    <n v="0"/>
    <n v="4.3"/>
    <n v="0.79"/>
    <x v="8"/>
  </r>
  <r>
    <s v="ENC100326"/>
    <s v="PT31280"/>
    <s v="Metro Regional"/>
    <s v="West"/>
    <d v="2025-04-27T00:00:00"/>
    <d v="2025-05-03T00:00:00"/>
    <x v="6"/>
    <s v="Elective"/>
    <s v="Cancer"/>
    <n v="15"/>
    <s v="13-17"/>
    <s v="Female"/>
    <s v="Medicare"/>
    <n v="5.2"/>
    <n v="12292.67"/>
    <n v="0"/>
    <n v="3.5"/>
    <n v="0.89"/>
    <x v="7"/>
  </r>
  <r>
    <s v="ENC100327"/>
    <s v="PT13367"/>
    <s v="St. Catherine Hospital"/>
    <s v="South"/>
    <d v="2025-02-20T00:00:00"/>
    <d v="2025-02-21T00:00:00"/>
    <x v="5"/>
    <s v="Emergency"/>
    <s v="Cardiac"/>
    <n v="22"/>
    <s v="18-34"/>
    <s v="Female"/>
    <s v="Medicaid"/>
    <n v="0.9"/>
    <n v="2283.8000000000002"/>
    <n v="0"/>
    <n v="4.7"/>
    <n v="0.85"/>
    <x v="9"/>
  </r>
  <r>
    <s v="ENC100328"/>
    <s v="PT22713"/>
    <s v="Northgate General"/>
    <s v="Midwest"/>
    <d v="2025-01-08T00:00:00"/>
    <d v="2025-01-10T00:00:00"/>
    <x v="3"/>
    <s v="Emergency"/>
    <s v="Other"/>
    <n v="50"/>
    <s v="50-64"/>
    <s v="Female"/>
    <s v="Commercial"/>
    <n v="2"/>
    <n v="3637.42"/>
    <n v="0"/>
    <n v="2.9"/>
    <n v="0.77"/>
    <x v="8"/>
  </r>
  <r>
    <s v="ENC100329"/>
    <s v="PT59936"/>
    <s v="Northgate General"/>
    <s v="Northeast"/>
    <d v="2025-12-02T00:00:00"/>
    <d v="2025-12-03T00:00:00"/>
    <x v="6"/>
    <s v="Urgent"/>
    <s v="Other"/>
    <n v="37"/>
    <s v="35-49"/>
    <s v="Male"/>
    <s v="Medicaid"/>
    <n v="0.9"/>
    <n v="1785.7"/>
    <n v="0"/>
    <n v="3.9"/>
    <n v="0.79"/>
    <x v="2"/>
  </r>
  <r>
    <s v="ENC100330"/>
    <s v="PT59211"/>
    <s v="St. Catherine Hospital"/>
    <s v="Northeast"/>
    <d v="2025-02-02T00:00:00"/>
    <d v="2025-02-06T00:00:00"/>
    <x v="6"/>
    <s v="Emergency"/>
    <s v="Injury"/>
    <n v="41"/>
    <s v="35-49"/>
    <s v="Male"/>
    <s v="Medicare"/>
    <n v="3.1"/>
    <n v="7275.41"/>
    <n v="0"/>
    <n v="3.8"/>
    <n v="0.85"/>
    <x v="9"/>
  </r>
  <r>
    <s v="ENC100331"/>
    <s v="PT43382"/>
    <s v="Metro Regional"/>
    <s v="Northeast"/>
    <d v="2025-01-04T00:00:00"/>
    <d v="2025-01-06T00:00:00"/>
    <x v="3"/>
    <s v="Emergency"/>
    <s v="Cardiac"/>
    <n v="33"/>
    <s v="18-34"/>
    <s v="Female"/>
    <s v="Medicare"/>
    <n v="1.5"/>
    <n v="2388.04"/>
    <n v="0"/>
    <n v="3.2"/>
    <n v="0.77"/>
    <x v="8"/>
  </r>
  <r>
    <s v="ENC100332"/>
    <s v="PT37895"/>
    <s v="St. Catherine Hospital"/>
    <s v="Midwest"/>
    <d v="2025-12-07T00:00:00"/>
    <d v="2025-12-09T00:00:00"/>
    <x v="0"/>
    <s v="Elective"/>
    <s v="Cardiac"/>
    <n v="61"/>
    <s v="50-64"/>
    <s v="Female"/>
    <s v="Medicare"/>
    <n v="1.6"/>
    <n v="3396"/>
    <n v="0"/>
    <n v="4.0999999999999996"/>
    <n v="0.78"/>
    <x v="2"/>
  </r>
  <r>
    <s v="ENC100333"/>
    <s v="PT84680"/>
    <s v="St. Catherine Hospital"/>
    <s v="Northeast"/>
    <d v="2025-03-10T00:00:00"/>
    <d v="2025-03-13T00:00:00"/>
    <x v="2"/>
    <s v="Emergency"/>
    <s v="Neurological"/>
    <n v="81"/>
    <s v="75+"/>
    <s v="Male"/>
    <s v="Commercial"/>
    <n v="3"/>
    <n v="7854.5"/>
    <n v="1"/>
    <n v="4.7"/>
    <n v="0.88"/>
    <x v="11"/>
  </r>
  <r>
    <s v="ENC100334"/>
    <s v="PT51402"/>
    <s v="Lakeside Health"/>
    <s v="Midwest"/>
    <d v="2025-10-26T00:00:00"/>
    <d v="2025-10-27T00:00:00"/>
    <x v="3"/>
    <s v="Emergency"/>
    <s v="Other"/>
    <n v="83"/>
    <s v="75+"/>
    <s v="Male"/>
    <s v="Medicare"/>
    <n v="0.4"/>
    <n v="707.38"/>
    <n v="0"/>
    <n v="4.4000000000000004"/>
    <n v="0.76"/>
    <x v="3"/>
  </r>
  <r>
    <s v="ENC100335"/>
    <s v="PT82741"/>
    <s v="Northgate General"/>
    <s v="West"/>
    <d v="2025-01-12T00:00:00"/>
    <d v="2025-01-19T00:00:00"/>
    <x v="5"/>
    <s v="Emergency"/>
    <s v="Neurological"/>
    <n v="41"/>
    <s v="35-49"/>
    <s v="Male"/>
    <s v="Commercial"/>
    <n v="6.8"/>
    <n v="20055.560000000001"/>
    <n v="1"/>
    <n v="4.3"/>
    <n v="0.73"/>
    <x v="8"/>
  </r>
  <r>
    <s v="ENC100336"/>
    <s v="PT96688"/>
    <s v="St. Catherine Hospital"/>
    <s v="Midwest"/>
    <d v="2025-02-26T00:00:00"/>
    <d v="2025-03-02T00:00:00"/>
    <x v="2"/>
    <s v="Emergency"/>
    <s v="Respiratory"/>
    <n v="75"/>
    <s v="75+"/>
    <s v="Female"/>
    <s v="Commercial"/>
    <n v="3.6"/>
    <n v="8478.1"/>
    <n v="0"/>
    <n v="2.9"/>
    <n v="0.8"/>
    <x v="9"/>
  </r>
  <r>
    <s v="ENC100337"/>
    <s v="PT38542"/>
    <s v="Northgate General"/>
    <s v="West"/>
    <d v="2025-02-10T00:00:00"/>
    <d v="2025-02-12T00:00:00"/>
    <x v="2"/>
    <s v="Emergency"/>
    <s v="Respiratory"/>
    <n v="63"/>
    <s v="50-64"/>
    <s v="Male"/>
    <s v="Medicare"/>
    <n v="1.4"/>
    <n v="2808.33"/>
    <n v="1"/>
    <n v="3.1"/>
    <n v="0.82"/>
    <x v="9"/>
  </r>
  <r>
    <s v="ENC100338"/>
    <s v="PT28246"/>
    <s v="Riverside Medical Center"/>
    <s v="Northeast"/>
    <d v="2025-09-15T00:00:00"/>
    <d v="2025-09-19T00:00:00"/>
    <x v="1"/>
    <s v="Elective"/>
    <s v="Cardiac"/>
    <n v="17"/>
    <s v="13-17"/>
    <s v="Male"/>
    <s v="Medicare"/>
    <n v="3.9"/>
    <n v="14688.48"/>
    <n v="0"/>
    <n v="4"/>
    <n v="0.72"/>
    <x v="6"/>
  </r>
  <r>
    <s v="ENC100339"/>
    <s v="PT95759"/>
    <s v="Lakeside Health"/>
    <s v="Northeast"/>
    <d v="2025-08-15T00:00:00"/>
    <d v="2025-08-20T00:00:00"/>
    <x v="5"/>
    <s v="Elective"/>
    <s v="Pediatric"/>
    <n v="72"/>
    <s v="65-74"/>
    <s v="Female"/>
    <s v="Commercial"/>
    <n v="4.3"/>
    <n v="13259.93"/>
    <n v="0"/>
    <n v="3.9"/>
    <n v="0.76"/>
    <x v="4"/>
  </r>
  <r>
    <s v="ENC100340"/>
    <s v="PT67134"/>
    <s v="Metro Regional"/>
    <s v="West"/>
    <d v="2025-06-23T00:00:00"/>
    <d v="2025-06-27T00:00:00"/>
    <x v="1"/>
    <s v="Emergency"/>
    <s v="Infectious"/>
    <n v="31"/>
    <s v="18-34"/>
    <s v="Female"/>
    <s v="Commercial"/>
    <n v="3.7"/>
    <n v="12715.89"/>
    <n v="0"/>
    <n v="3.6"/>
    <n v="0.83"/>
    <x v="1"/>
  </r>
  <r>
    <s v="ENC100341"/>
    <s v="PT36182"/>
    <s v="Metro Regional"/>
    <s v="Midwest"/>
    <d v="2025-03-30T00:00:00"/>
    <d v="2025-03-31T00:00:00"/>
    <x v="8"/>
    <s v="Elective"/>
    <s v="Infectious"/>
    <n v="57"/>
    <s v="50-64"/>
    <s v="Female"/>
    <s v="Commercial"/>
    <n v="0.2"/>
    <n v="665.44"/>
    <n v="0"/>
    <n v="5"/>
    <n v="0.77"/>
    <x v="11"/>
  </r>
  <r>
    <s v="ENC100342"/>
    <s v="PT65966"/>
    <s v="Metro Regional"/>
    <s v="South"/>
    <d v="2025-02-02T00:00:00"/>
    <d v="2025-02-06T00:00:00"/>
    <x v="7"/>
    <s v="Emergency"/>
    <s v="Injury"/>
    <n v="65"/>
    <s v="65-74"/>
    <s v="Male"/>
    <s v="Commercial"/>
    <n v="3.4"/>
    <n v="10416.57"/>
    <n v="0"/>
    <n v="4"/>
    <n v="0.84"/>
    <x v="9"/>
  </r>
  <r>
    <s v="ENC100343"/>
    <s v="PT56354"/>
    <s v="St. Catherine Hospital"/>
    <s v="West"/>
    <d v="2025-07-27T00:00:00"/>
    <d v="2025-08-02T00:00:00"/>
    <x v="8"/>
    <s v="Elective"/>
    <s v="Other"/>
    <n v="85"/>
    <s v="75+"/>
    <s v="Female"/>
    <s v="Medicare"/>
    <n v="5.4"/>
    <n v="11750.35"/>
    <n v="0"/>
    <n v="4.2"/>
    <n v="0.79"/>
    <x v="5"/>
  </r>
  <r>
    <s v="ENC100344"/>
    <s v="PT91496"/>
    <s v="Northgate General"/>
    <s v="South"/>
    <d v="2025-03-26T00:00:00"/>
    <d v="2025-04-01T00:00:00"/>
    <x v="5"/>
    <s v="Emergency"/>
    <s v="Injury"/>
    <n v="86"/>
    <s v="75+"/>
    <s v="Male"/>
    <s v="Commercial"/>
    <n v="5.5"/>
    <n v="15127.52"/>
    <n v="0"/>
    <n v="4.5"/>
    <n v="0.78"/>
    <x v="11"/>
  </r>
  <r>
    <s v="ENC100345"/>
    <s v="PT33036"/>
    <s v="Lakeside Health"/>
    <s v="Midwest"/>
    <d v="2025-08-04T00:00:00"/>
    <d v="2025-08-10T00:00:00"/>
    <x v="7"/>
    <s v="Elective"/>
    <s v="Pediatric"/>
    <n v="73"/>
    <s v="65-74"/>
    <s v="Male"/>
    <s v="Medicaid"/>
    <n v="5.9"/>
    <n v="14996.45"/>
    <n v="0"/>
    <n v="3.9"/>
    <n v="0.74"/>
    <x v="4"/>
  </r>
  <r>
    <s v="ENC100346"/>
    <s v="PT99223"/>
    <s v="Metro Regional"/>
    <s v="South"/>
    <d v="2025-09-08T00:00:00"/>
    <d v="2025-09-12T00:00:00"/>
    <x v="8"/>
    <s v="Emergency"/>
    <s v="Other"/>
    <n v="46"/>
    <s v="35-49"/>
    <s v="Female"/>
    <s v="Commercial"/>
    <n v="4"/>
    <n v="12323.64"/>
    <n v="0"/>
    <n v="5"/>
    <n v="0.8"/>
    <x v="6"/>
  </r>
  <r>
    <s v="ENC100347"/>
    <s v="PT94242"/>
    <s v="Lakeside Health"/>
    <s v="Northeast"/>
    <d v="2025-11-07T00:00:00"/>
    <d v="2025-11-13T00:00:00"/>
    <x v="2"/>
    <s v="Emergency"/>
    <s v="Neurological"/>
    <n v="36"/>
    <s v="35-49"/>
    <s v="Male"/>
    <s v="Commercial"/>
    <n v="5.8"/>
    <n v="13720.29"/>
    <n v="0"/>
    <n v="3.3"/>
    <n v="0.69"/>
    <x v="0"/>
  </r>
  <r>
    <s v="ENC100348"/>
    <s v="PT26262"/>
    <s v="St. Catherine Hospital"/>
    <s v="Northeast"/>
    <d v="2025-06-30T00:00:00"/>
    <d v="2025-07-02T00:00:00"/>
    <x v="6"/>
    <s v="Emergency"/>
    <s v="Other"/>
    <n v="40"/>
    <s v="35-49"/>
    <s v="Male"/>
    <s v="Medicaid"/>
    <n v="1.7"/>
    <n v="3343.48"/>
    <n v="0"/>
    <n v="3.5"/>
    <n v="0.77"/>
    <x v="1"/>
  </r>
  <r>
    <s v="ENC100349"/>
    <s v="PT24814"/>
    <s v="Lakeside Health"/>
    <s v="Northeast"/>
    <d v="2025-01-02T00:00:00"/>
    <d v="2025-01-04T00:00:00"/>
    <x v="6"/>
    <s v="Emergency"/>
    <s v="Injury"/>
    <n v="86"/>
    <s v="75+"/>
    <s v="Female"/>
    <s v="Commercial"/>
    <n v="1.4"/>
    <n v="3367.97"/>
    <n v="0"/>
    <n v="3.3"/>
    <n v="0.78"/>
    <x v="8"/>
  </r>
  <r>
    <s v="ENC100350"/>
    <s v="PT57983"/>
    <s v="Lakeside Health"/>
    <s v="West"/>
    <d v="2025-04-13T00:00:00"/>
    <d v="2025-04-17T00:00:00"/>
    <x v="3"/>
    <s v="Emergency"/>
    <s v="GI"/>
    <n v="18"/>
    <s v="18-34"/>
    <s v="Male"/>
    <s v="Medicare"/>
    <n v="3.4"/>
    <n v="6459.11"/>
    <n v="0"/>
    <n v="4.5999999999999996"/>
    <n v="0.76"/>
    <x v="7"/>
  </r>
  <r>
    <s v="ENC100351"/>
    <s v="PT14041"/>
    <s v="Metro Regional"/>
    <s v="South"/>
    <d v="2025-11-08T00:00:00"/>
    <d v="2025-11-11T00:00:00"/>
    <x v="7"/>
    <s v="Elective"/>
    <s v="Respiratory"/>
    <n v="47"/>
    <s v="35-49"/>
    <s v="Female"/>
    <s v="Self-Pay"/>
    <n v="2.2999999999999998"/>
    <n v="6649.58"/>
    <n v="0"/>
    <n v="4.4000000000000004"/>
    <n v="0.84"/>
    <x v="0"/>
  </r>
  <r>
    <s v="ENC100352"/>
    <s v="PT36891"/>
    <s v="Lakeside Health"/>
    <s v="Northeast"/>
    <d v="2025-07-14T00:00:00"/>
    <d v="2025-07-15T00:00:00"/>
    <x v="6"/>
    <s v="Elective"/>
    <s v="Neurological"/>
    <n v="61"/>
    <s v="50-64"/>
    <s v="Female"/>
    <s v="Self-Pay"/>
    <n v="0.7"/>
    <n v="1509.79"/>
    <n v="0"/>
    <n v="3.6"/>
    <n v="0.71"/>
    <x v="5"/>
  </r>
  <r>
    <s v="ENC100353"/>
    <s v="PT49158"/>
    <s v="St. Catherine Hospital"/>
    <s v="Northeast"/>
    <d v="2025-08-14T00:00:00"/>
    <d v="2025-08-18T00:00:00"/>
    <x v="7"/>
    <s v="Emergency"/>
    <s v="Cardiac"/>
    <n v="2"/>
    <s v="0-12"/>
    <s v="Male"/>
    <s v="Medicare"/>
    <n v="3.7"/>
    <n v="9826.77"/>
    <n v="0"/>
    <n v="3.4"/>
    <n v="0.79"/>
    <x v="4"/>
  </r>
  <r>
    <s v="ENC100354"/>
    <s v="PT97242"/>
    <s v="Northgate General"/>
    <s v="South"/>
    <d v="2025-06-17T00:00:00"/>
    <d v="2025-06-21T00:00:00"/>
    <x v="8"/>
    <s v="Urgent"/>
    <s v="Respiratory"/>
    <n v="57"/>
    <s v="50-64"/>
    <s v="Male"/>
    <s v="Commercial"/>
    <n v="3.4"/>
    <n v="8443.9500000000007"/>
    <n v="1"/>
    <n v="4.7"/>
    <n v="0.81"/>
    <x v="1"/>
  </r>
  <r>
    <s v="ENC100355"/>
    <s v="PT99312"/>
    <s v="St. Catherine Hospital"/>
    <s v="West"/>
    <d v="2025-03-01T00:00:00"/>
    <d v="2025-03-07T00:00:00"/>
    <x v="2"/>
    <s v="Elective"/>
    <s v="Respiratory"/>
    <n v="23"/>
    <s v="18-34"/>
    <s v="Female"/>
    <s v="Medicare"/>
    <n v="5.2"/>
    <n v="12709.42"/>
    <n v="0"/>
    <n v="4.0999999999999996"/>
    <n v="0.82"/>
    <x v="11"/>
  </r>
  <r>
    <s v="ENC100356"/>
    <s v="PT23638"/>
    <s v="Northgate General"/>
    <s v="Northeast"/>
    <d v="2025-11-24T00:00:00"/>
    <d v="2025-11-26T00:00:00"/>
    <x v="9"/>
    <s v="Urgent"/>
    <s v="Injury"/>
    <n v="25"/>
    <s v="18-34"/>
    <s v="Male"/>
    <s v="Self-Pay"/>
    <n v="1.6"/>
    <n v="3564.4"/>
    <n v="0"/>
    <n v="4.7"/>
    <n v="0.76"/>
    <x v="0"/>
  </r>
  <r>
    <s v="ENC100357"/>
    <s v="PT90250"/>
    <s v="Metro Regional"/>
    <s v="Midwest"/>
    <d v="2025-10-10T00:00:00"/>
    <d v="2025-10-13T00:00:00"/>
    <x v="5"/>
    <s v="Elective"/>
    <s v="Infectious"/>
    <n v="56"/>
    <s v="50-64"/>
    <s v="Male"/>
    <s v="Self-Pay"/>
    <n v="2.5"/>
    <n v="6113.6"/>
    <n v="0"/>
    <n v="3.9"/>
    <n v="0.74"/>
    <x v="3"/>
  </r>
  <r>
    <s v="ENC100358"/>
    <s v="PT18183"/>
    <s v="St. Catherine Hospital"/>
    <s v="West"/>
    <d v="2025-12-30T00:00:00"/>
    <d v="2026-01-05T00:00:00"/>
    <x v="4"/>
    <s v="Elective"/>
    <s v="Neurological"/>
    <n v="0"/>
    <s v="0-12"/>
    <s v="Male"/>
    <s v="Commercial"/>
    <n v="5.4"/>
    <n v="28677.89"/>
    <n v="0"/>
    <n v="4.0999999999999996"/>
    <n v="0.77"/>
    <x v="2"/>
  </r>
  <r>
    <s v="ENC100359"/>
    <s v="PT77373"/>
    <s v="St. Catherine Hospital"/>
    <s v="West"/>
    <d v="2025-11-09T00:00:00"/>
    <d v="2025-11-12T00:00:00"/>
    <x v="1"/>
    <s v="Emergency"/>
    <s v="Injury"/>
    <n v="14"/>
    <s v="13-17"/>
    <s v="Female"/>
    <s v="Commercial"/>
    <n v="2.2000000000000002"/>
    <n v="8794.36"/>
    <n v="0"/>
    <n v="4.0999999999999996"/>
    <n v="0.78"/>
    <x v="0"/>
  </r>
  <r>
    <s v="ENC100360"/>
    <s v="PT86106"/>
    <s v="Northgate General"/>
    <s v="West"/>
    <d v="2025-04-17T00:00:00"/>
    <d v="2025-04-18T00:00:00"/>
    <x v="9"/>
    <s v="Elective"/>
    <s v="Other"/>
    <n v="41"/>
    <s v="35-49"/>
    <s v="Female"/>
    <s v="Commercial"/>
    <n v="0.5"/>
    <n v="1146.69"/>
    <n v="0"/>
    <n v="3.5"/>
    <n v="0.74"/>
    <x v="7"/>
  </r>
  <r>
    <s v="ENC100361"/>
    <s v="PT90170"/>
    <s v="Lakeside Health"/>
    <s v="Northeast"/>
    <d v="2025-04-03T00:00:00"/>
    <d v="2025-04-05T00:00:00"/>
    <x v="4"/>
    <s v="Urgent"/>
    <s v="Other"/>
    <n v="53"/>
    <s v="50-64"/>
    <s v="Female"/>
    <s v="Commercial"/>
    <n v="1.8"/>
    <n v="7549.37"/>
    <n v="1"/>
    <n v="3.7"/>
    <n v="0.73"/>
    <x v="7"/>
  </r>
  <r>
    <s v="ENC100362"/>
    <s v="PT30107"/>
    <s v="St. Catherine Hospital"/>
    <s v="Northeast"/>
    <d v="2025-04-01T00:00:00"/>
    <d v="2025-04-10T00:00:00"/>
    <x v="1"/>
    <s v="Emergency"/>
    <s v="Cardiac"/>
    <n v="9"/>
    <s v="0-12"/>
    <s v="Male"/>
    <s v="Medicare"/>
    <n v="8.1"/>
    <n v="25741.13"/>
    <n v="0"/>
    <n v="3"/>
    <n v="0.83"/>
    <x v="7"/>
  </r>
  <r>
    <s v="ENC100363"/>
    <s v="PT90409"/>
    <s v="Riverside Medical Center"/>
    <s v="Midwest"/>
    <d v="2025-12-02T00:00:00"/>
    <d v="2025-12-08T00:00:00"/>
    <x v="1"/>
    <s v="Emergency"/>
    <s v="Cancer"/>
    <n v="32"/>
    <s v="18-34"/>
    <s v="Female"/>
    <s v="Commercial"/>
    <n v="5.8"/>
    <n v="21402.16"/>
    <n v="0"/>
    <n v="4.2"/>
    <n v="0.82"/>
    <x v="2"/>
  </r>
  <r>
    <s v="ENC100364"/>
    <s v="PT20438"/>
    <s v="Metro Regional"/>
    <s v="Northeast"/>
    <d v="2025-07-23T00:00:00"/>
    <d v="2025-07-26T00:00:00"/>
    <x v="2"/>
    <s v="Emergency"/>
    <s v="GI"/>
    <n v="27"/>
    <s v="18-34"/>
    <s v="Male"/>
    <s v="Commercial"/>
    <n v="2.9"/>
    <n v="5846.23"/>
    <n v="0"/>
    <n v="4.4000000000000004"/>
    <n v="0.88"/>
    <x v="5"/>
  </r>
  <r>
    <s v="ENC100365"/>
    <s v="PT56696"/>
    <s v="Northgate General"/>
    <s v="West"/>
    <d v="2025-06-15T00:00:00"/>
    <d v="2025-06-21T00:00:00"/>
    <x v="5"/>
    <s v="Urgent"/>
    <s v="Maternal"/>
    <n v="48"/>
    <s v="35-49"/>
    <s v="Female"/>
    <s v="Commercial"/>
    <n v="5.3"/>
    <n v="12603.81"/>
    <n v="0"/>
    <n v="4.5"/>
    <n v="0.72"/>
    <x v="1"/>
  </r>
  <r>
    <s v="ENC100366"/>
    <s v="PT52258"/>
    <s v="St. Catherine Hospital"/>
    <s v="Northeast"/>
    <d v="2025-12-20T00:00:00"/>
    <d v="2025-12-22T00:00:00"/>
    <x v="3"/>
    <s v="Emergency"/>
    <s v="Injury"/>
    <n v="27"/>
    <s v="18-34"/>
    <s v="Male"/>
    <s v="Medicare"/>
    <n v="1.8"/>
    <n v="2805.78"/>
    <n v="0"/>
    <n v="4.0999999999999996"/>
    <n v="0.79"/>
    <x v="2"/>
  </r>
  <r>
    <s v="ENC100367"/>
    <s v="PT38433"/>
    <s v="Riverside Medical Center"/>
    <s v="South"/>
    <d v="2025-08-09T00:00:00"/>
    <d v="2025-08-10T00:00:00"/>
    <x v="3"/>
    <s v="Elective"/>
    <s v="Maternal"/>
    <n v="0"/>
    <s v="0-12"/>
    <s v="Male"/>
    <s v="Commercial"/>
    <n v="0.6"/>
    <n v="1173.69"/>
    <n v="0"/>
    <n v="3.6"/>
    <n v="0.74"/>
    <x v="4"/>
  </r>
  <r>
    <s v="ENC100368"/>
    <s v="PT11990"/>
    <s v="St. Catherine Hospital"/>
    <s v="West"/>
    <d v="2025-11-28T00:00:00"/>
    <d v="2025-11-30T00:00:00"/>
    <x v="5"/>
    <s v="Elective"/>
    <s v="Cardiac"/>
    <n v="48"/>
    <s v="35-49"/>
    <s v="Male"/>
    <s v="Medicare"/>
    <n v="1.4"/>
    <n v="3445.44"/>
    <n v="0"/>
    <n v="4.8"/>
    <n v="0.78"/>
    <x v="0"/>
  </r>
  <r>
    <s v="ENC100369"/>
    <s v="PT79480"/>
    <s v="Lakeside Health"/>
    <s v="West"/>
    <d v="2025-12-26T00:00:00"/>
    <d v="2026-01-03T00:00:00"/>
    <x v="5"/>
    <s v="Urgent"/>
    <s v="Injury"/>
    <n v="77"/>
    <s v="75+"/>
    <s v="Male"/>
    <s v="Commercial"/>
    <n v="7.7"/>
    <n v="25955.83"/>
    <n v="1"/>
    <n v="4.2"/>
    <n v="0.71"/>
    <x v="2"/>
  </r>
  <r>
    <s v="ENC100370"/>
    <s v="PT40202"/>
    <s v="Metro Regional"/>
    <s v="South"/>
    <d v="2025-01-29T00:00:00"/>
    <d v="2025-01-30T00:00:00"/>
    <x v="7"/>
    <s v="Emergency"/>
    <s v="GI"/>
    <n v="53"/>
    <s v="50-64"/>
    <s v="Male"/>
    <s v="Self-Pay"/>
    <n v="0.4"/>
    <n v="998.82"/>
    <n v="0"/>
    <n v="4.7"/>
    <n v="0.89"/>
    <x v="8"/>
  </r>
  <r>
    <s v="ENC100371"/>
    <s v="PT69548"/>
    <s v="Riverside Medical Center"/>
    <s v="West"/>
    <d v="2025-05-12T00:00:00"/>
    <d v="2025-05-15T00:00:00"/>
    <x v="0"/>
    <s v="Elective"/>
    <s v="Infectious"/>
    <n v="32"/>
    <s v="18-34"/>
    <s v="Female"/>
    <s v="Commercial"/>
    <n v="2.8"/>
    <n v="7099.08"/>
    <n v="0"/>
    <n v="4.8"/>
    <n v="0.84"/>
    <x v="10"/>
  </r>
  <r>
    <s v="ENC100372"/>
    <s v="PT46919"/>
    <s v="Metro Regional"/>
    <s v="Northeast"/>
    <d v="2025-09-25T00:00:00"/>
    <d v="2025-09-28T00:00:00"/>
    <x v="0"/>
    <s v="Urgent"/>
    <s v="Pediatric"/>
    <n v="43"/>
    <s v="35-49"/>
    <s v="Male"/>
    <s v="Medicare"/>
    <n v="2.2999999999999998"/>
    <n v="4273.5"/>
    <n v="0"/>
    <n v="3.8"/>
    <n v="0.88"/>
    <x v="6"/>
  </r>
  <r>
    <s v="ENC100373"/>
    <s v="PT43628"/>
    <s v="Lakeside Health"/>
    <s v="Midwest"/>
    <d v="2025-10-24T00:00:00"/>
    <d v="2025-10-31T00:00:00"/>
    <x v="1"/>
    <s v="Emergency"/>
    <s v="Respiratory"/>
    <n v="12"/>
    <s v="0-12"/>
    <s v="Male"/>
    <s v="Commercial"/>
    <n v="7"/>
    <n v="20573.060000000001"/>
    <n v="0"/>
    <n v="4.0999999999999996"/>
    <n v="0.73"/>
    <x v="3"/>
  </r>
  <r>
    <s v="ENC100374"/>
    <s v="PT89765"/>
    <s v="Northgate General"/>
    <s v="Northeast"/>
    <d v="2025-02-24T00:00:00"/>
    <d v="2025-02-26T00:00:00"/>
    <x v="3"/>
    <s v="Elective"/>
    <s v="Cardiac"/>
    <n v="21"/>
    <s v="18-34"/>
    <s v="Male"/>
    <s v="Commercial"/>
    <n v="1.5"/>
    <n v="3334.57"/>
    <n v="0"/>
    <n v="4.2"/>
    <n v="0.74"/>
    <x v="9"/>
  </r>
  <r>
    <s v="ENC100375"/>
    <s v="PT18501"/>
    <s v="Riverside Medical Center"/>
    <s v="West"/>
    <d v="2025-04-27T00:00:00"/>
    <d v="2025-05-02T00:00:00"/>
    <x v="8"/>
    <s v="Emergency"/>
    <s v="Respiratory"/>
    <n v="39"/>
    <s v="35-49"/>
    <s v="Female"/>
    <s v="Commercial"/>
    <n v="4.9000000000000004"/>
    <n v="14877.22"/>
    <n v="0"/>
    <n v="3.2"/>
    <n v="0.78"/>
    <x v="7"/>
  </r>
  <r>
    <s v="ENC100376"/>
    <s v="PT76294"/>
    <s v="Northgate General"/>
    <s v="West"/>
    <d v="2025-07-20T00:00:00"/>
    <d v="2025-07-22T00:00:00"/>
    <x v="2"/>
    <s v="Elective"/>
    <s v="Cardiac"/>
    <n v="53"/>
    <s v="50-64"/>
    <s v="Male"/>
    <s v="Commercial"/>
    <n v="1.2"/>
    <n v="2742.48"/>
    <n v="0"/>
    <n v="3.2"/>
    <n v="0.79"/>
    <x v="5"/>
  </r>
  <r>
    <s v="ENC100377"/>
    <s v="PT77210"/>
    <s v="Metro Regional"/>
    <s v="Northeast"/>
    <d v="2025-10-19T00:00:00"/>
    <d v="2025-10-26T00:00:00"/>
    <x v="1"/>
    <s v="Emergency"/>
    <s v="Respiratory"/>
    <n v="44"/>
    <s v="35-49"/>
    <s v="Female"/>
    <s v="Commercial"/>
    <n v="6.1"/>
    <n v="19952.2"/>
    <n v="0"/>
    <n v="3.1"/>
    <n v="0.91"/>
    <x v="3"/>
  </r>
  <r>
    <s v="ENC100378"/>
    <s v="PT44198"/>
    <s v="Northgate General"/>
    <s v="Northeast"/>
    <d v="2025-02-11T00:00:00"/>
    <d v="2025-02-15T00:00:00"/>
    <x v="9"/>
    <s v="Emergency"/>
    <s v="Neurological"/>
    <n v="87"/>
    <s v="75+"/>
    <s v="Female"/>
    <s v="Medicare"/>
    <n v="3.1"/>
    <n v="6765.44"/>
    <n v="1"/>
    <n v="3.8"/>
    <n v="0.8"/>
    <x v="9"/>
  </r>
  <r>
    <s v="ENC100379"/>
    <s v="PT33621"/>
    <s v="St. Catherine Hospital"/>
    <s v="Midwest"/>
    <d v="2025-08-08T00:00:00"/>
    <d v="2025-08-10T00:00:00"/>
    <x v="1"/>
    <s v="Emergency"/>
    <s v="Neurological"/>
    <n v="58"/>
    <s v="50-64"/>
    <s v="Female"/>
    <s v="Medicare"/>
    <n v="1.7"/>
    <n v="5511.46"/>
    <n v="0"/>
    <n v="3.7"/>
    <n v="0.79"/>
    <x v="4"/>
  </r>
  <r>
    <s v="ENC100380"/>
    <s v="PT10477"/>
    <s v="Lakeside Health"/>
    <s v="Northeast"/>
    <d v="2025-04-19T00:00:00"/>
    <d v="2025-04-23T00:00:00"/>
    <x v="1"/>
    <s v="Emergency"/>
    <s v="GI"/>
    <n v="2"/>
    <s v="0-12"/>
    <s v="Female"/>
    <s v="Commercial"/>
    <n v="4"/>
    <n v="13426.83"/>
    <n v="1"/>
    <n v="3"/>
    <n v="0.74"/>
    <x v="7"/>
  </r>
  <r>
    <s v="ENC100381"/>
    <s v="PT94312"/>
    <s v="Metro Regional"/>
    <s v="West"/>
    <d v="2025-03-20T00:00:00"/>
    <d v="2025-03-21T00:00:00"/>
    <x v="6"/>
    <s v="Emergency"/>
    <s v="Cancer"/>
    <n v="47"/>
    <s v="35-49"/>
    <s v="Female"/>
    <s v="Medicare"/>
    <n v="1"/>
    <n v="2559.7199999999998"/>
    <n v="0"/>
    <n v="4"/>
    <n v="0.84"/>
    <x v="11"/>
  </r>
  <r>
    <s v="ENC100382"/>
    <s v="PT95294"/>
    <s v="Lakeside Health"/>
    <s v="Northeast"/>
    <d v="2025-07-08T00:00:00"/>
    <d v="2025-07-12T00:00:00"/>
    <x v="7"/>
    <s v="Elective"/>
    <s v="Respiratory"/>
    <n v="53"/>
    <s v="50-64"/>
    <s v="Female"/>
    <s v="Medicare"/>
    <n v="3.6"/>
    <n v="9011.61"/>
    <n v="0"/>
    <n v="3.8"/>
    <n v="0.83"/>
    <x v="5"/>
  </r>
  <r>
    <s v="ENC100383"/>
    <s v="PT31687"/>
    <s v="Lakeside Health"/>
    <s v="West"/>
    <d v="2025-06-01T00:00:00"/>
    <d v="2025-06-13T00:00:00"/>
    <x v="6"/>
    <s v="Emergency"/>
    <s v="GI"/>
    <n v="3"/>
    <s v="0-12"/>
    <s v="Male"/>
    <s v="Commercial"/>
    <n v="11.1"/>
    <n v="26418.11"/>
    <n v="0"/>
    <n v="4.4000000000000004"/>
    <n v="0.8"/>
    <x v="1"/>
  </r>
  <r>
    <s v="ENC100384"/>
    <s v="PT12871"/>
    <s v="Riverside Medical Center"/>
    <s v="South"/>
    <d v="2025-08-21T00:00:00"/>
    <d v="2025-08-24T00:00:00"/>
    <x v="4"/>
    <s v="Emergency"/>
    <s v="Respiratory"/>
    <n v="35"/>
    <s v="35-49"/>
    <s v="Female"/>
    <s v="Commercial"/>
    <n v="2.5"/>
    <n v="11645.5"/>
    <n v="0"/>
    <n v="5"/>
    <n v="0.83"/>
    <x v="4"/>
  </r>
  <r>
    <s v="ENC100385"/>
    <s v="PT21048"/>
    <s v="Metro Regional"/>
    <s v="Midwest"/>
    <d v="2025-04-26T00:00:00"/>
    <d v="2025-04-27T00:00:00"/>
    <x v="9"/>
    <s v="Elective"/>
    <s v="Pediatric"/>
    <n v="79"/>
    <s v="75+"/>
    <s v="Female"/>
    <s v="Commercial"/>
    <n v="0.5"/>
    <n v="1108.17"/>
    <n v="0"/>
    <n v="4.2"/>
    <n v="0.84"/>
    <x v="7"/>
  </r>
  <r>
    <s v="ENC100386"/>
    <s v="PT16087"/>
    <s v="Northgate General"/>
    <s v="Northeast"/>
    <d v="2025-10-28T00:00:00"/>
    <d v="2025-10-29T00:00:00"/>
    <x v="6"/>
    <s v="Elective"/>
    <s v="Respiratory"/>
    <n v="32"/>
    <s v="18-34"/>
    <s v="Male"/>
    <s v="Commercial"/>
    <n v="0.8"/>
    <n v="1963.19"/>
    <n v="0"/>
    <n v="3.5"/>
    <n v="0.79"/>
    <x v="3"/>
  </r>
  <r>
    <s v="ENC100387"/>
    <s v="PT84799"/>
    <s v="Riverside Medical Center"/>
    <s v="West"/>
    <d v="2025-01-29T00:00:00"/>
    <d v="2025-01-31T00:00:00"/>
    <x v="0"/>
    <s v="Emergency"/>
    <s v="Infectious"/>
    <n v="41"/>
    <s v="35-49"/>
    <s v="Male"/>
    <s v="Medicare"/>
    <n v="1.8"/>
    <n v="3448.85"/>
    <n v="0"/>
    <n v="4.3"/>
    <n v="0.84"/>
    <x v="8"/>
  </r>
  <r>
    <s v="ENC100388"/>
    <s v="PT90271"/>
    <s v="Metro Regional"/>
    <s v="South"/>
    <d v="2025-11-11T00:00:00"/>
    <d v="2025-11-16T00:00:00"/>
    <x v="6"/>
    <s v="Urgent"/>
    <s v="Other"/>
    <n v="20"/>
    <s v="18-34"/>
    <s v="Female"/>
    <s v="Self-Pay"/>
    <n v="4.2"/>
    <n v="8149.85"/>
    <n v="0"/>
    <n v="3.9"/>
    <n v="0.82"/>
    <x v="0"/>
  </r>
  <r>
    <s v="ENC100389"/>
    <s v="PT23795"/>
    <s v="Riverside Medical Center"/>
    <s v="Midwest"/>
    <d v="2025-01-11T00:00:00"/>
    <d v="2025-01-15T00:00:00"/>
    <x v="8"/>
    <s v="Emergency"/>
    <s v="Infectious"/>
    <n v="7"/>
    <s v="0-12"/>
    <s v="Female"/>
    <s v="Self-Pay"/>
    <n v="3.4"/>
    <n v="8862.6"/>
    <n v="0"/>
    <n v="3.8"/>
    <n v="0.79"/>
    <x v="8"/>
  </r>
  <r>
    <s v="ENC100390"/>
    <s v="PT77205"/>
    <s v="Riverside Medical Center"/>
    <s v="Midwest"/>
    <d v="2025-09-26T00:00:00"/>
    <d v="2025-09-27T00:00:00"/>
    <x v="8"/>
    <s v="Elective"/>
    <s v="Infectious"/>
    <n v="28"/>
    <s v="18-34"/>
    <s v="Male"/>
    <s v="Self-Pay"/>
    <n v="0.8"/>
    <n v="1703.2"/>
    <n v="1"/>
    <n v="3.4"/>
    <n v="0.86"/>
    <x v="6"/>
  </r>
  <r>
    <s v="ENC100391"/>
    <s v="PT26133"/>
    <s v="Lakeside Health"/>
    <s v="West"/>
    <d v="2025-05-07T00:00:00"/>
    <d v="2025-05-09T00:00:00"/>
    <x v="3"/>
    <s v="Emergency"/>
    <s v="GI"/>
    <n v="70"/>
    <s v="65-74"/>
    <s v="Male"/>
    <s v="Medicare"/>
    <n v="1.7"/>
    <n v="3130.3"/>
    <n v="0"/>
    <n v="3.4"/>
    <n v="0.75"/>
    <x v="10"/>
  </r>
  <r>
    <s v="ENC100392"/>
    <s v="PT43048"/>
    <s v="Northgate General"/>
    <s v="West"/>
    <d v="2025-05-20T00:00:00"/>
    <d v="2025-05-21T00:00:00"/>
    <x v="9"/>
    <s v="Elective"/>
    <s v="Cardiac"/>
    <n v="89"/>
    <s v="75+"/>
    <s v="Male"/>
    <s v="Commercial"/>
    <n v="0.3"/>
    <n v="775.71"/>
    <n v="0"/>
    <n v="3.8"/>
    <n v="0.82"/>
    <x v="10"/>
  </r>
  <r>
    <s v="ENC100393"/>
    <s v="PT63943"/>
    <s v="Riverside Medical Center"/>
    <s v="West"/>
    <d v="2025-01-07T00:00:00"/>
    <d v="2025-01-09T00:00:00"/>
    <x v="7"/>
    <s v="Urgent"/>
    <s v="GI"/>
    <n v="60"/>
    <s v="50-64"/>
    <s v="Female"/>
    <s v="Commercial"/>
    <n v="1.3"/>
    <n v="4135.4399999999996"/>
    <n v="0"/>
    <n v="4.4000000000000004"/>
    <n v="0.89"/>
    <x v="8"/>
  </r>
  <r>
    <s v="ENC100394"/>
    <s v="PT74792"/>
    <s v="Lakeside Health"/>
    <s v="South"/>
    <d v="2025-09-14T00:00:00"/>
    <d v="2025-09-16T00:00:00"/>
    <x v="1"/>
    <s v="Elective"/>
    <s v="Other"/>
    <n v="75"/>
    <s v="75+"/>
    <s v="Male"/>
    <s v="Commercial"/>
    <n v="1.9"/>
    <n v="5723.78"/>
    <n v="0"/>
    <n v="4.2"/>
    <n v="0.77"/>
    <x v="6"/>
  </r>
  <r>
    <s v="ENC100395"/>
    <s v="PT88709"/>
    <s v="Lakeside Health"/>
    <s v="West"/>
    <d v="2025-03-02T00:00:00"/>
    <d v="2025-03-08T00:00:00"/>
    <x v="2"/>
    <s v="Elective"/>
    <s v="Other"/>
    <n v="59"/>
    <s v="50-64"/>
    <s v="Male"/>
    <s v="Commercial"/>
    <n v="5.7"/>
    <n v="12187.1"/>
    <n v="0"/>
    <n v="5"/>
    <n v="0.76"/>
    <x v="11"/>
  </r>
  <r>
    <s v="ENC100396"/>
    <s v="PT14030"/>
    <s v="Metro Regional"/>
    <s v="Northeast"/>
    <d v="2025-08-29T00:00:00"/>
    <d v="2025-09-02T00:00:00"/>
    <x v="8"/>
    <s v="Elective"/>
    <s v="Cancer"/>
    <n v="59"/>
    <s v="50-64"/>
    <s v="Male"/>
    <s v="Commercial"/>
    <n v="3.2"/>
    <n v="9813.11"/>
    <n v="0"/>
    <n v="4.3"/>
    <n v="0.97"/>
    <x v="4"/>
  </r>
  <r>
    <s v="ENC100397"/>
    <s v="PT27678"/>
    <s v="Riverside Medical Center"/>
    <s v="South"/>
    <d v="2025-09-22T00:00:00"/>
    <d v="2025-09-26T00:00:00"/>
    <x v="8"/>
    <s v="Emergency"/>
    <s v="Injury"/>
    <n v="38"/>
    <s v="35-49"/>
    <s v="Male"/>
    <s v="Medicare"/>
    <n v="3.6"/>
    <n v="9009.59"/>
    <n v="0"/>
    <n v="4.2"/>
    <n v="0.83"/>
    <x v="6"/>
  </r>
  <r>
    <s v="ENC100398"/>
    <s v="PT35245"/>
    <s v="St. Catherine Hospital"/>
    <s v="Midwest"/>
    <d v="2025-11-05T00:00:00"/>
    <d v="2025-11-06T00:00:00"/>
    <x v="1"/>
    <s v="Elective"/>
    <s v="Maternal"/>
    <n v="5"/>
    <s v="0-12"/>
    <s v="Male"/>
    <s v="Commercial"/>
    <n v="0.9"/>
    <n v="2956.36"/>
    <n v="0"/>
    <n v="3.7"/>
    <n v="0.76"/>
    <x v="0"/>
  </r>
  <r>
    <s v="ENC100399"/>
    <s v="PT37928"/>
    <s v="Metro Regional"/>
    <s v="South"/>
    <d v="2025-09-16T00:00:00"/>
    <d v="2025-09-18T00:00:00"/>
    <x v="6"/>
    <s v="Elective"/>
    <s v="Infectious"/>
    <n v="37"/>
    <s v="35-49"/>
    <s v="Male"/>
    <s v="Commercial"/>
    <n v="1.6"/>
    <n v="4219.3599999999997"/>
    <n v="0"/>
    <n v="3.3"/>
    <n v="0.83"/>
    <x v="6"/>
  </r>
  <r>
    <s v="ENC100400"/>
    <s v="PT99821"/>
    <s v="Riverside Medical Center"/>
    <s v="West"/>
    <d v="2025-04-21T00:00:00"/>
    <d v="2025-04-28T00:00:00"/>
    <x v="1"/>
    <s v="Urgent"/>
    <s v="Injury"/>
    <n v="78"/>
    <s v="75+"/>
    <s v="Male"/>
    <s v="Medicare"/>
    <n v="6.3"/>
    <n v="23768.26"/>
    <n v="0"/>
    <n v="3.6"/>
    <n v="0.88"/>
    <x v="7"/>
  </r>
  <r>
    <s v="ENC100401"/>
    <s v="PT79965"/>
    <s v="Riverside Medical Center"/>
    <s v="West"/>
    <d v="2025-09-27T00:00:00"/>
    <d v="2025-09-29T00:00:00"/>
    <x v="3"/>
    <s v="Emergency"/>
    <s v="Cardiac"/>
    <n v="48"/>
    <s v="35-49"/>
    <s v="Male"/>
    <s v="Commercial"/>
    <n v="1.4"/>
    <n v="2885.21"/>
    <n v="0"/>
    <n v="3.3"/>
    <n v="0.77"/>
    <x v="6"/>
  </r>
  <r>
    <s v="ENC100402"/>
    <s v="PT38837"/>
    <s v="Riverside Medical Center"/>
    <s v="Midwest"/>
    <d v="2025-10-29T00:00:00"/>
    <d v="2025-11-03T00:00:00"/>
    <x v="2"/>
    <s v="Emergency"/>
    <s v="Cardiac"/>
    <n v="69"/>
    <s v="65-74"/>
    <s v="Female"/>
    <s v="Medicaid"/>
    <n v="4.9000000000000004"/>
    <n v="8999.4"/>
    <n v="1"/>
    <n v="2.4"/>
    <n v="0.79"/>
    <x v="3"/>
  </r>
  <r>
    <s v="ENC100403"/>
    <s v="PT97463"/>
    <s v="St. Catherine Hospital"/>
    <s v="South"/>
    <d v="2025-04-26T00:00:00"/>
    <d v="2025-04-30T00:00:00"/>
    <x v="1"/>
    <s v="Elective"/>
    <s v="Neurological"/>
    <n v="4"/>
    <s v="0-12"/>
    <s v="Female"/>
    <s v="Commercial"/>
    <n v="3.1"/>
    <n v="11927.27"/>
    <n v="0"/>
    <n v="3.3"/>
    <n v="0.84"/>
    <x v="7"/>
  </r>
  <r>
    <s v="ENC100404"/>
    <s v="PT54937"/>
    <s v="Riverside Medical Center"/>
    <s v="West"/>
    <d v="2025-02-15T00:00:00"/>
    <d v="2025-02-22T00:00:00"/>
    <x v="8"/>
    <s v="Emergency"/>
    <s v="Cardiac"/>
    <n v="18"/>
    <s v="18-34"/>
    <s v="Male"/>
    <s v="Medicare"/>
    <n v="6.3"/>
    <n v="16783.14"/>
    <n v="0"/>
    <n v="4.9000000000000004"/>
    <n v="0.81"/>
    <x v="9"/>
  </r>
  <r>
    <s v="ENC100405"/>
    <s v="PT55066"/>
    <s v="Lakeside Health"/>
    <s v="West"/>
    <d v="2025-11-21T00:00:00"/>
    <d v="2025-11-22T00:00:00"/>
    <x v="6"/>
    <s v="Emergency"/>
    <s v="Respiratory"/>
    <n v="27"/>
    <s v="18-34"/>
    <s v="Male"/>
    <s v="Commercial"/>
    <n v="0.8"/>
    <n v="2340.48"/>
    <n v="0"/>
    <n v="4.0999999999999996"/>
    <n v="0.75"/>
    <x v="0"/>
  </r>
  <r>
    <s v="ENC100406"/>
    <s v="PT49032"/>
    <s v="Metro Regional"/>
    <s v="South"/>
    <d v="2025-02-23T00:00:00"/>
    <d v="2025-02-25T00:00:00"/>
    <x v="9"/>
    <s v="Emergency"/>
    <s v="Respiratory"/>
    <n v="32"/>
    <s v="18-34"/>
    <s v="Female"/>
    <s v="Medicare"/>
    <n v="1.9"/>
    <n v="4769.46"/>
    <n v="0"/>
    <n v="3.7"/>
    <n v="0.88"/>
    <x v="9"/>
  </r>
  <r>
    <s v="ENC100407"/>
    <s v="PT22950"/>
    <s v="Riverside Medical Center"/>
    <s v="Northeast"/>
    <d v="2025-08-05T00:00:00"/>
    <d v="2025-08-09T00:00:00"/>
    <x v="6"/>
    <s v="Elective"/>
    <s v="Other"/>
    <n v="89"/>
    <s v="75+"/>
    <s v="Female"/>
    <s v="Commercial"/>
    <n v="3.5"/>
    <n v="8060.46"/>
    <n v="1"/>
    <n v="4.0999999999999996"/>
    <n v="0.79"/>
    <x v="4"/>
  </r>
  <r>
    <s v="ENC100408"/>
    <s v="PT94092"/>
    <s v="Lakeside Health"/>
    <s v="Midwest"/>
    <d v="2025-03-28T00:00:00"/>
    <d v="2025-03-29T00:00:00"/>
    <x v="7"/>
    <s v="Emergency"/>
    <s v="Respiratory"/>
    <n v="42"/>
    <s v="35-49"/>
    <s v="Male"/>
    <s v="Commercial"/>
    <n v="0.9"/>
    <n v="2998.73"/>
    <n v="0"/>
    <n v="2.7"/>
    <n v="0.69"/>
    <x v="11"/>
  </r>
  <r>
    <s v="ENC100409"/>
    <s v="PT11254"/>
    <s v="Riverside Medical Center"/>
    <s v="West"/>
    <d v="2025-02-15T00:00:00"/>
    <d v="2025-02-16T00:00:00"/>
    <x v="7"/>
    <s v="Emergency"/>
    <s v="Respiratory"/>
    <n v="60"/>
    <s v="50-64"/>
    <s v="Male"/>
    <s v="Medicare"/>
    <n v="0.2"/>
    <n v="558.05999999999995"/>
    <n v="0"/>
    <n v="4.0999999999999996"/>
    <n v="0.76"/>
    <x v="9"/>
  </r>
  <r>
    <s v="ENC100410"/>
    <s v="PT25684"/>
    <s v="Riverside Medical Center"/>
    <s v="South"/>
    <d v="2025-10-11T00:00:00"/>
    <d v="2025-10-22T00:00:00"/>
    <x v="8"/>
    <s v="Emergency"/>
    <s v="Neurological"/>
    <n v="58"/>
    <s v="50-64"/>
    <s v="Female"/>
    <s v="Commercial"/>
    <n v="10.7"/>
    <n v="30608.59"/>
    <n v="0"/>
    <n v="4.5"/>
    <n v="0.84"/>
    <x v="3"/>
  </r>
  <r>
    <s v="ENC100411"/>
    <s v="PT30668"/>
    <s v="Lakeside Health"/>
    <s v="South"/>
    <d v="2025-02-22T00:00:00"/>
    <d v="2025-02-25T00:00:00"/>
    <x v="2"/>
    <s v="Urgent"/>
    <s v="Cardiac"/>
    <n v="38"/>
    <s v="35-49"/>
    <s v="Female"/>
    <s v="Commercial"/>
    <n v="3"/>
    <n v="7791.75"/>
    <n v="0"/>
    <n v="3.8"/>
    <n v="0.76"/>
    <x v="9"/>
  </r>
  <r>
    <s v="ENC100412"/>
    <s v="PT35136"/>
    <s v="St. Catherine Hospital"/>
    <s v="South"/>
    <d v="2025-09-02T00:00:00"/>
    <d v="2025-09-03T00:00:00"/>
    <x v="2"/>
    <s v="Elective"/>
    <s v="Other"/>
    <n v="87"/>
    <s v="75+"/>
    <s v="Female"/>
    <s v="Self-Pay"/>
    <n v="0.5"/>
    <n v="1018.25"/>
    <n v="0"/>
    <n v="2.8"/>
    <n v="0.77"/>
    <x v="6"/>
  </r>
  <r>
    <s v="ENC100413"/>
    <s v="PT21863"/>
    <s v="Metro Regional"/>
    <s v="Midwest"/>
    <d v="2025-09-10T00:00:00"/>
    <d v="2025-09-15T00:00:00"/>
    <x v="7"/>
    <s v="Emergency"/>
    <s v="Other"/>
    <n v="20"/>
    <s v="18-34"/>
    <s v="Male"/>
    <s v="Commercial"/>
    <n v="4.8"/>
    <n v="15431.28"/>
    <n v="0"/>
    <n v="3.7"/>
    <n v="0.79"/>
    <x v="6"/>
  </r>
  <r>
    <s v="ENC100414"/>
    <s v="PT11616"/>
    <s v="St. Catherine Hospital"/>
    <s v="Midwest"/>
    <d v="2025-01-22T00:00:00"/>
    <d v="2025-01-24T00:00:00"/>
    <x v="1"/>
    <s v="Emergency"/>
    <s v="Cancer"/>
    <n v="3"/>
    <s v="0-12"/>
    <s v="Male"/>
    <s v="Medicare"/>
    <n v="1.1000000000000001"/>
    <n v="3886.02"/>
    <n v="0"/>
    <n v="4.7"/>
    <n v="0.79"/>
    <x v="8"/>
  </r>
  <r>
    <s v="ENC100415"/>
    <s v="PT70988"/>
    <s v="Riverside Medical Center"/>
    <s v="West"/>
    <d v="2025-03-05T00:00:00"/>
    <d v="2025-03-07T00:00:00"/>
    <x v="8"/>
    <s v="Elective"/>
    <s v="Cancer"/>
    <n v="67"/>
    <s v="65-74"/>
    <s v="Male"/>
    <s v="Medicare"/>
    <n v="1.3"/>
    <n v="4446.1400000000003"/>
    <n v="0"/>
    <n v="4.0999999999999996"/>
    <n v="0.86"/>
    <x v="11"/>
  </r>
  <r>
    <s v="ENC100416"/>
    <s v="PT97236"/>
    <s v="St. Catherine Hospital"/>
    <s v="Northeast"/>
    <d v="2025-10-17T00:00:00"/>
    <d v="2025-10-20T00:00:00"/>
    <x v="3"/>
    <s v="Emergency"/>
    <s v="Cancer"/>
    <n v="59"/>
    <s v="50-64"/>
    <s v="Female"/>
    <s v="Commercial"/>
    <n v="2.2999999999999998"/>
    <n v="4742.54"/>
    <n v="0"/>
    <n v="2.8"/>
    <n v="0.77"/>
    <x v="3"/>
  </r>
  <r>
    <s v="ENC100417"/>
    <s v="PT20964"/>
    <s v="Riverside Medical Center"/>
    <s v="South"/>
    <d v="2025-07-05T00:00:00"/>
    <d v="2025-07-07T00:00:00"/>
    <x v="0"/>
    <s v="Elective"/>
    <s v="Respiratory"/>
    <n v="23"/>
    <s v="18-34"/>
    <s v="Male"/>
    <s v="Medicare"/>
    <n v="1.2"/>
    <n v="2144.38"/>
    <n v="0"/>
    <n v="5"/>
    <n v="0.79"/>
    <x v="5"/>
  </r>
  <r>
    <s v="ENC100418"/>
    <s v="PT36687"/>
    <s v="Metro Regional"/>
    <s v="South"/>
    <d v="2025-02-14T00:00:00"/>
    <d v="2025-02-16T00:00:00"/>
    <x v="9"/>
    <s v="Emergency"/>
    <s v="Injury"/>
    <n v="78"/>
    <s v="75+"/>
    <s v="Female"/>
    <s v="Commercial"/>
    <n v="1.4"/>
    <n v="3084.02"/>
    <n v="0"/>
    <n v="3.1"/>
    <n v="0.79"/>
    <x v="9"/>
  </r>
  <r>
    <s v="ENC100419"/>
    <s v="PT55569"/>
    <s v="Lakeside Health"/>
    <s v="West"/>
    <d v="2025-12-28T00:00:00"/>
    <d v="2025-12-29T00:00:00"/>
    <x v="3"/>
    <s v="Urgent"/>
    <s v="Cardiac"/>
    <n v="14"/>
    <s v="13-17"/>
    <s v="Male"/>
    <s v="Medicaid"/>
    <n v="0.3"/>
    <n v="594.98"/>
    <n v="0"/>
    <n v="3.6"/>
    <n v="0.74"/>
    <x v="2"/>
  </r>
  <r>
    <s v="ENC100420"/>
    <s v="PT93474"/>
    <s v="Northgate General"/>
    <s v="Midwest"/>
    <d v="2025-04-07T00:00:00"/>
    <d v="2025-04-10T00:00:00"/>
    <x v="8"/>
    <s v="Emergency"/>
    <s v="Respiratory"/>
    <n v="22"/>
    <s v="18-34"/>
    <s v="Female"/>
    <s v="Commercial"/>
    <n v="2.5"/>
    <n v="6783.15"/>
    <n v="0"/>
    <n v="3.3"/>
    <n v="0.79"/>
    <x v="7"/>
  </r>
  <r>
    <s v="ENC100421"/>
    <s v="PT72482"/>
    <s v="St. Catherine Hospital"/>
    <s v="South"/>
    <d v="2025-01-02T00:00:00"/>
    <d v="2025-01-06T00:00:00"/>
    <x v="5"/>
    <s v="Elective"/>
    <s v="Infectious"/>
    <n v="14"/>
    <s v="13-17"/>
    <s v="Female"/>
    <s v="Commercial"/>
    <n v="3.8"/>
    <n v="11013.99"/>
    <n v="0"/>
    <n v="3.3"/>
    <n v="0.88"/>
    <x v="8"/>
  </r>
  <r>
    <s v="ENC100422"/>
    <s v="PT78956"/>
    <s v="Lakeside Health"/>
    <s v="Northeast"/>
    <d v="2025-12-04T00:00:00"/>
    <d v="2025-12-07T00:00:00"/>
    <x v="1"/>
    <s v="Emergency"/>
    <s v="Respiratory"/>
    <n v="16"/>
    <s v="13-17"/>
    <s v="Male"/>
    <s v="Commercial"/>
    <n v="2.2000000000000002"/>
    <n v="7071.17"/>
    <n v="0"/>
    <n v="3.6"/>
    <n v="0.76"/>
    <x v="2"/>
  </r>
  <r>
    <s v="ENC100423"/>
    <s v="PT62299"/>
    <s v="Metro Regional"/>
    <s v="Northeast"/>
    <d v="2025-01-07T00:00:00"/>
    <d v="2025-01-11T00:00:00"/>
    <x v="3"/>
    <s v="Urgent"/>
    <s v="Respiratory"/>
    <n v="66"/>
    <s v="65-74"/>
    <s v="Female"/>
    <s v="Medicaid"/>
    <n v="3.8"/>
    <n v="6091.27"/>
    <n v="0"/>
    <n v="4.0999999999999996"/>
    <n v="0.84"/>
    <x v="8"/>
  </r>
  <r>
    <s v="ENC100424"/>
    <s v="PT47532"/>
    <s v="Riverside Medical Center"/>
    <s v="Midwest"/>
    <d v="2025-07-21T00:00:00"/>
    <d v="2025-07-23T00:00:00"/>
    <x v="7"/>
    <s v="Urgent"/>
    <s v="Neurological"/>
    <n v="64"/>
    <s v="50-64"/>
    <s v="Male"/>
    <s v="Medicaid"/>
    <n v="1.7"/>
    <n v="4625.9399999999996"/>
    <n v="0"/>
    <n v="4.7"/>
    <n v="0.85"/>
    <x v="5"/>
  </r>
  <r>
    <s v="ENC100425"/>
    <s v="PT27979"/>
    <s v="Riverside Medical Center"/>
    <s v="Northeast"/>
    <d v="2025-12-29T00:00:00"/>
    <d v="2025-12-30T00:00:00"/>
    <x v="2"/>
    <s v="Elective"/>
    <s v="Cancer"/>
    <n v="58"/>
    <s v="50-64"/>
    <s v="Male"/>
    <s v="Self-Pay"/>
    <n v="1"/>
    <n v="2289.77"/>
    <n v="0"/>
    <n v="3.7"/>
    <n v="0.85"/>
    <x v="2"/>
  </r>
  <r>
    <s v="ENC100426"/>
    <s v="PT87787"/>
    <s v="Riverside Medical Center"/>
    <s v="West"/>
    <d v="2025-07-30T00:00:00"/>
    <d v="2025-08-03T00:00:00"/>
    <x v="7"/>
    <s v="Emergency"/>
    <s v="Cardiac"/>
    <n v="78"/>
    <s v="75+"/>
    <s v="Female"/>
    <s v="Medicare"/>
    <n v="3.3"/>
    <n v="10231.51"/>
    <n v="0"/>
    <n v="3.3"/>
    <n v="0.8"/>
    <x v="5"/>
  </r>
  <r>
    <s v="ENC100427"/>
    <s v="PT82370"/>
    <s v="Northgate General"/>
    <s v="West"/>
    <d v="2025-08-02T00:00:00"/>
    <d v="2025-08-14T00:00:00"/>
    <x v="8"/>
    <s v="Emergency"/>
    <s v="Respiratory"/>
    <n v="6"/>
    <s v="0-12"/>
    <s v="Female"/>
    <s v="Medicare"/>
    <n v="11.6"/>
    <n v="30476.16"/>
    <n v="0"/>
    <n v="4"/>
    <n v="0.87"/>
    <x v="4"/>
  </r>
  <r>
    <s v="ENC100428"/>
    <s v="PT12259"/>
    <s v="St. Catherine Hospital"/>
    <s v="Northeast"/>
    <d v="2025-05-22T00:00:00"/>
    <d v="2025-05-27T00:00:00"/>
    <x v="8"/>
    <s v="Elective"/>
    <s v="Cardiac"/>
    <n v="56"/>
    <s v="50-64"/>
    <s v="Male"/>
    <s v="Medicare"/>
    <n v="5"/>
    <n v="13908.5"/>
    <n v="1"/>
    <n v="4.2"/>
    <n v="0.8"/>
    <x v="10"/>
  </r>
  <r>
    <s v="ENC100429"/>
    <s v="PT74385"/>
    <s v="Riverside Medical Center"/>
    <s v="West"/>
    <d v="2025-02-16T00:00:00"/>
    <d v="2025-02-19T00:00:00"/>
    <x v="7"/>
    <s v="Elective"/>
    <s v="Cardiac"/>
    <n v="10"/>
    <s v="0-12"/>
    <s v="Male"/>
    <s v="Medicaid"/>
    <n v="2.5"/>
    <n v="7140.15"/>
    <n v="0"/>
    <n v="4"/>
    <n v="0.83"/>
    <x v="9"/>
  </r>
  <r>
    <s v="ENC100430"/>
    <s v="PT17594"/>
    <s v="Northgate General"/>
    <s v="Midwest"/>
    <d v="2025-07-29T00:00:00"/>
    <d v="2025-08-01T00:00:00"/>
    <x v="5"/>
    <s v="Emergency"/>
    <s v="Pediatric"/>
    <n v="86"/>
    <s v="75+"/>
    <s v="Female"/>
    <s v="Medicare"/>
    <n v="2.2999999999999998"/>
    <n v="4999.3"/>
    <n v="1"/>
    <n v="4.0999999999999996"/>
    <n v="0.8"/>
    <x v="5"/>
  </r>
  <r>
    <s v="ENC100431"/>
    <s v="PT76507"/>
    <s v="St. Catherine Hospital"/>
    <s v="South"/>
    <d v="2025-11-24T00:00:00"/>
    <d v="2025-11-26T00:00:00"/>
    <x v="1"/>
    <s v="Emergency"/>
    <s v="Other"/>
    <n v="57"/>
    <s v="50-64"/>
    <s v="Female"/>
    <s v="Commercial"/>
    <n v="1.3"/>
    <n v="3645.56"/>
    <n v="0"/>
    <n v="3.8"/>
    <n v="0.81"/>
    <x v="0"/>
  </r>
  <r>
    <s v="ENC100432"/>
    <s v="PT84335"/>
    <s v="Riverside Medical Center"/>
    <s v="West"/>
    <d v="2025-02-03T00:00:00"/>
    <d v="2025-02-08T00:00:00"/>
    <x v="4"/>
    <s v="Emergency"/>
    <s v="Cancer"/>
    <n v="69"/>
    <s v="65-74"/>
    <s v="Male"/>
    <s v="Medicare"/>
    <n v="4.2"/>
    <n v="24045.360000000001"/>
    <n v="0"/>
    <n v="3.9"/>
    <n v="0.88"/>
    <x v="9"/>
  </r>
  <r>
    <s v="ENC100433"/>
    <s v="PT21795"/>
    <s v="Metro Regional"/>
    <s v="South"/>
    <d v="2025-11-18T00:00:00"/>
    <d v="2025-11-21T00:00:00"/>
    <x v="2"/>
    <s v="Elective"/>
    <s v="Cancer"/>
    <n v="51"/>
    <s v="50-64"/>
    <s v="Female"/>
    <s v="Medicare"/>
    <n v="2.2000000000000002"/>
    <n v="5939.51"/>
    <n v="0"/>
    <n v="3.8"/>
    <n v="0.82"/>
    <x v="0"/>
  </r>
  <r>
    <s v="ENC100434"/>
    <s v="PT49044"/>
    <s v="St. Catherine Hospital"/>
    <s v="Northeast"/>
    <d v="2025-06-01T00:00:00"/>
    <d v="2025-06-05T00:00:00"/>
    <x v="9"/>
    <s v="Elective"/>
    <s v="GI"/>
    <n v="34"/>
    <s v="18-34"/>
    <s v="Male"/>
    <s v="Commercial"/>
    <n v="3.3"/>
    <n v="8739.91"/>
    <n v="0"/>
    <n v="4.5"/>
    <n v="0.83"/>
    <x v="1"/>
  </r>
  <r>
    <s v="ENC100435"/>
    <s v="PT21137"/>
    <s v="Northgate General"/>
    <s v="Northeast"/>
    <d v="2025-07-15T00:00:00"/>
    <d v="2025-07-21T00:00:00"/>
    <x v="7"/>
    <s v="Elective"/>
    <s v="Infectious"/>
    <n v="62"/>
    <s v="50-64"/>
    <s v="Male"/>
    <s v="Commercial"/>
    <n v="5.6"/>
    <n v="16846.93"/>
    <n v="0"/>
    <n v="5"/>
    <n v="0.79"/>
    <x v="5"/>
  </r>
  <r>
    <s v="ENC100436"/>
    <s v="PT61054"/>
    <s v="St. Catherine Hospital"/>
    <s v="Midwest"/>
    <d v="2025-03-02T00:00:00"/>
    <d v="2025-03-05T00:00:00"/>
    <x v="7"/>
    <s v="Elective"/>
    <s v="Cardiac"/>
    <n v="76"/>
    <s v="75+"/>
    <s v="Female"/>
    <s v="Commercial"/>
    <n v="2.8"/>
    <n v="9415.16"/>
    <n v="0"/>
    <n v="4"/>
    <n v="0.84"/>
    <x v="11"/>
  </r>
  <r>
    <s v="ENC100437"/>
    <s v="PT93479"/>
    <s v="Northgate General"/>
    <s v="West"/>
    <d v="2025-08-15T00:00:00"/>
    <d v="2025-08-21T00:00:00"/>
    <x v="9"/>
    <s v="Emergency"/>
    <s v="Respiratory"/>
    <n v="16"/>
    <s v="13-17"/>
    <s v="Male"/>
    <s v="Medicaid"/>
    <n v="6"/>
    <n v="11919.45"/>
    <n v="0"/>
    <n v="3.9"/>
    <n v="0.77"/>
    <x v="4"/>
  </r>
  <r>
    <s v="ENC100438"/>
    <s v="PT17278"/>
    <s v="Metro Regional"/>
    <s v="South"/>
    <d v="2025-03-08T00:00:00"/>
    <d v="2025-03-10T00:00:00"/>
    <x v="8"/>
    <s v="Emergency"/>
    <s v="Cancer"/>
    <n v="79"/>
    <s v="75+"/>
    <s v="Female"/>
    <s v="Commercial"/>
    <n v="1.8"/>
    <n v="4942.7299999999996"/>
    <n v="0"/>
    <n v="4.0999999999999996"/>
    <n v="0.83"/>
    <x v="11"/>
  </r>
  <r>
    <s v="ENC100439"/>
    <s v="PT45781"/>
    <s v="St. Catherine Hospital"/>
    <s v="Midwest"/>
    <d v="2025-04-10T00:00:00"/>
    <d v="2025-04-11T00:00:00"/>
    <x v="2"/>
    <s v="Emergency"/>
    <s v="Infectious"/>
    <n v="66"/>
    <s v="65-74"/>
    <s v="Female"/>
    <s v="Medicaid"/>
    <n v="0.7"/>
    <n v="1368.85"/>
    <n v="1"/>
    <n v="3.5"/>
    <n v="0.83"/>
    <x v="7"/>
  </r>
  <r>
    <s v="ENC100440"/>
    <s v="PT97579"/>
    <s v="St. Catherine Hospital"/>
    <s v="Northeast"/>
    <d v="2025-09-21T00:00:00"/>
    <d v="2025-09-25T00:00:00"/>
    <x v="2"/>
    <s v="Elective"/>
    <s v="Cardiac"/>
    <n v="7"/>
    <s v="0-12"/>
    <s v="Male"/>
    <s v="Medicare"/>
    <n v="3.1"/>
    <n v="7857.38"/>
    <n v="0"/>
    <n v="4.4000000000000004"/>
    <n v="0.81"/>
    <x v="6"/>
  </r>
  <r>
    <s v="ENC100441"/>
    <s v="PT37085"/>
    <s v="Metro Regional"/>
    <s v="West"/>
    <d v="2025-01-19T00:00:00"/>
    <d v="2025-01-22T00:00:00"/>
    <x v="3"/>
    <s v="Emergency"/>
    <s v="Injury"/>
    <n v="85"/>
    <s v="75+"/>
    <s v="Male"/>
    <s v="Medicaid"/>
    <n v="2.1"/>
    <n v="3834.14"/>
    <n v="0"/>
    <n v="4"/>
    <n v="0.81"/>
    <x v="8"/>
  </r>
  <r>
    <s v="ENC100442"/>
    <s v="PT21899"/>
    <s v="Metro Regional"/>
    <s v="Midwest"/>
    <d v="2025-06-13T00:00:00"/>
    <d v="2025-06-17T00:00:00"/>
    <x v="5"/>
    <s v="Emergency"/>
    <s v="Injury"/>
    <n v="16"/>
    <s v="13-17"/>
    <s v="Male"/>
    <s v="Commercial"/>
    <n v="3.6"/>
    <n v="9682.9500000000007"/>
    <n v="0"/>
    <n v="3.6"/>
    <n v="0.89"/>
    <x v="1"/>
  </r>
  <r>
    <s v="ENC100443"/>
    <s v="PT53972"/>
    <s v="Metro Regional"/>
    <s v="South"/>
    <d v="2025-08-06T00:00:00"/>
    <d v="2025-08-07T00:00:00"/>
    <x v="8"/>
    <s v="Emergency"/>
    <s v="Injury"/>
    <n v="54"/>
    <s v="50-64"/>
    <s v="Female"/>
    <s v="Self-Pay"/>
    <n v="1"/>
    <n v="2326.69"/>
    <n v="0"/>
    <n v="4.4000000000000004"/>
    <n v="0.87"/>
    <x v="4"/>
  </r>
  <r>
    <s v="ENC100444"/>
    <s v="PT55753"/>
    <s v="Northgate General"/>
    <s v="South"/>
    <d v="2025-02-18T00:00:00"/>
    <d v="2025-02-22T00:00:00"/>
    <x v="8"/>
    <s v="Emergency"/>
    <s v="Neurological"/>
    <n v="11"/>
    <s v="0-12"/>
    <s v="Male"/>
    <s v="Medicare"/>
    <n v="3.6"/>
    <n v="10149.129999999999"/>
    <n v="0"/>
    <n v="3.9"/>
    <n v="0.78"/>
    <x v="9"/>
  </r>
  <r>
    <s v="ENC100445"/>
    <s v="PT69657"/>
    <s v="Riverside Medical Center"/>
    <s v="Northeast"/>
    <d v="2025-04-18T00:00:00"/>
    <d v="2025-04-23T00:00:00"/>
    <x v="5"/>
    <s v="Elective"/>
    <s v="GI"/>
    <n v="17"/>
    <s v="13-17"/>
    <s v="Female"/>
    <s v="Commercial"/>
    <n v="4.0999999999999996"/>
    <n v="10986.92"/>
    <n v="0"/>
    <n v="3.3"/>
    <n v="0.8"/>
    <x v="7"/>
  </r>
  <r>
    <s v="ENC100446"/>
    <s v="PT38236"/>
    <s v="Lakeside Health"/>
    <s v="Northeast"/>
    <d v="2025-05-06T00:00:00"/>
    <d v="2025-05-10T00:00:00"/>
    <x v="6"/>
    <s v="Emergency"/>
    <s v="Neurological"/>
    <n v="58"/>
    <s v="50-64"/>
    <s v="Male"/>
    <s v="Commercial"/>
    <n v="3.5"/>
    <n v="9298.83"/>
    <n v="0"/>
    <n v="4.0999999999999996"/>
    <n v="0.76"/>
    <x v="10"/>
  </r>
  <r>
    <s v="ENC100447"/>
    <s v="PT96005"/>
    <s v="St. Catherine Hospital"/>
    <s v="Midwest"/>
    <d v="2025-08-31T00:00:00"/>
    <d v="2025-09-04T00:00:00"/>
    <x v="2"/>
    <s v="Emergency"/>
    <s v="Cardiac"/>
    <n v="61"/>
    <s v="50-64"/>
    <s v="Female"/>
    <s v="Commercial"/>
    <n v="3.3"/>
    <n v="8392.6"/>
    <n v="1"/>
    <n v="4"/>
    <n v="0.83"/>
    <x v="4"/>
  </r>
  <r>
    <s v="ENC100448"/>
    <s v="PT56891"/>
    <s v="Lakeside Health"/>
    <s v="Midwest"/>
    <d v="2025-12-23T00:00:00"/>
    <d v="2025-12-31T00:00:00"/>
    <x v="1"/>
    <s v="Elective"/>
    <s v="Respiratory"/>
    <n v="62"/>
    <s v="50-64"/>
    <s v="Female"/>
    <s v="Commercial"/>
    <n v="7.1"/>
    <n v="24602.080000000002"/>
    <n v="0"/>
    <n v="4.3"/>
    <n v="0.69"/>
    <x v="2"/>
  </r>
  <r>
    <s v="ENC100449"/>
    <s v="PT35779"/>
    <s v="Lakeside Health"/>
    <s v="South"/>
    <d v="2025-11-02T00:00:00"/>
    <d v="2025-11-04T00:00:00"/>
    <x v="1"/>
    <s v="Emergency"/>
    <s v="Pediatric"/>
    <n v="31"/>
    <s v="18-34"/>
    <s v="Female"/>
    <s v="Medicare"/>
    <n v="1.3"/>
    <n v="3868.51"/>
    <n v="0"/>
    <n v="4.4000000000000004"/>
    <n v="0.77"/>
    <x v="0"/>
  </r>
  <r>
    <s v="ENC100450"/>
    <s v="PT96424"/>
    <s v="Northgate General"/>
    <s v="West"/>
    <d v="2025-03-11T00:00:00"/>
    <d v="2025-03-12T00:00:00"/>
    <x v="6"/>
    <s v="Emergency"/>
    <s v="Neurological"/>
    <n v="74"/>
    <s v="65-74"/>
    <s v="Male"/>
    <s v="Self-Pay"/>
    <n v="0.2"/>
    <n v="425.33"/>
    <n v="1"/>
    <n v="3.8"/>
    <n v="0.81"/>
    <x v="11"/>
  </r>
  <r>
    <s v="ENC100451"/>
    <s v="PT93231"/>
    <s v="Northgate General"/>
    <s v="Northeast"/>
    <d v="2025-01-07T00:00:00"/>
    <d v="2025-01-08T00:00:00"/>
    <x v="6"/>
    <s v="Emergency"/>
    <s v="Respiratory"/>
    <n v="4"/>
    <s v="0-12"/>
    <s v="Female"/>
    <s v="Medicare"/>
    <n v="0.4"/>
    <n v="896.12"/>
    <n v="0"/>
    <n v="3.6"/>
    <n v="0.69"/>
    <x v="8"/>
  </r>
  <r>
    <s v="ENC100452"/>
    <s v="PT54924"/>
    <s v="St. Catherine Hospital"/>
    <s v="South"/>
    <d v="2025-01-19T00:00:00"/>
    <d v="2025-01-20T00:00:00"/>
    <x v="8"/>
    <s v="Elective"/>
    <s v="Injury"/>
    <n v="77"/>
    <s v="75+"/>
    <s v="Male"/>
    <s v="Medicare"/>
    <n v="0.9"/>
    <n v="2137.14"/>
    <n v="0"/>
    <n v="3.9"/>
    <n v="0.81"/>
    <x v="8"/>
  </r>
  <r>
    <s v="ENC100453"/>
    <s v="PT12237"/>
    <s v="Northgate General"/>
    <s v="Northeast"/>
    <d v="2025-08-06T00:00:00"/>
    <d v="2025-08-08T00:00:00"/>
    <x v="3"/>
    <s v="Emergency"/>
    <s v="Pediatric"/>
    <n v="27"/>
    <s v="18-34"/>
    <s v="Male"/>
    <s v="Medicare"/>
    <n v="1.9"/>
    <n v="2727.65"/>
    <n v="0"/>
    <n v="3.9"/>
    <n v="0.81"/>
    <x v="4"/>
  </r>
  <r>
    <s v="ENC100454"/>
    <s v="PT63723"/>
    <s v="Lakeside Health"/>
    <s v="Northeast"/>
    <d v="2025-02-27T00:00:00"/>
    <d v="2025-03-01T00:00:00"/>
    <x v="9"/>
    <s v="Elective"/>
    <s v="Maternal"/>
    <n v="56"/>
    <s v="50-64"/>
    <s v="Female"/>
    <s v="Medicaid"/>
    <n v="1.5"/>
    <n v="3008.13"/>
    <n v="0"/>
    <n v="4.2"/>
    <n v="0.77"/>
    <x v="9"/>
  </r>
  <r>
    <s v="ENC100455"/>
    <s v="PT59967"/>
    <s v="Lakeside Health"/>
    <s v="South"/>
    <d v="2025-03-26T00:00:00"/>
    <d v="2025-04-08T00:00:00"/>
    <x v="7"/>
    <s v="Urgent"/>
    <s v="Other"/>
    <n v="82"/>
    <s v="75+"/>
    <s v="Female"/>
    <s v="Medicaid"/>
    <n v="12.1"/>
    <n v="34029.97"/>
    <n v="0"/>
    <n v="3.9"/>
    <n v="0.78"/>
    <x v="11"/>
  </r>
  <r>
    <s v="ENC100456"/>
    <s v="PT23338"/>
    <s v="St. Catherine Hospital"/>
    <s v="West"/>
    <d v="2025-11-06T00:00:00"/>
    <d v="2025-11-07T00:00:00"/>
    <x v="8"/>
    <s v="Elective"/>
    <s v="Infectious"/>
    <n v="23"/>
    <s v="18-34"/>
    <s v="Female"/>
    <s v="Commercial"/>
    <n v="1"/>
    <n v="2451.6799999999998"/>
    <n v="1"/>
    <n v="3.8"/>
    <n v="0.79"/>
    <x v="0"/>
  </r>
  <r>
    <s v="ENC100457"/>
    <s v="PT67057"/>
    <s v="Lakeside Health"/>
    <s v="South"/>
    <d v="2025-11-15T00:00:00"/>
    <d v="2025-11-25T00:00:00"/>
    <x v="1"/>
    <s v="Emergency"/>
    <s v="Cancer"/>
    <n v="37"/>
    <s v="35-49"/>
    <s v="Female"/>
    <s v="Self-Pay"/>
    <n v="9.6"/>
    <n v="31485.03"/>
    <n v="0"/>
    <n v="4.3"/>
    <n v="0.71"/>
    <x v="0"/>
  </r>
  <r>
    <s v="ENC100458"/>
    <s v="PT85670"/>
    <s v="St. Catherine Hospital"/>
    <s v="Northeast"/>
    <d v="2025-11-03T00:00:00"/>
    <d v="2025-11-05T00:00:00"/>
    <x v="7"/>
    <s v="Elective"/>
    <s v="Cancer"/>
    <n v="75"/>
    <s v="75+"/>
    <s v="Male"/>
    <s v="Commercial"/>
    <n v="1.8"/>
    <n v="6771.97"/>
    <n v="1"/>
    <n v="3.5"/>
    <n v="0.73"/>
    <x v="0"/>
  </r>
  <r>
    <s v="ENC100459"/>
    <s v="PT19530"/>
    <s v="Lakeside Health"/>
    <s v="South"/>
    <d v="2025-04-03T00:00:00"/>
    <d v="2025-04-04T00:00:00"/>
    <x v="3"/>
    <s v="Emergency"/>
    <s v="Cardiac"/>
    <n v="78"/>
    <s v="75+"/>
    <s v="Male"/>
    <s v="Medicaid"/>
    <n v="0.9"/>
    <n v="1362.06"/>
    <n v="0"/>
    <n v="5"/>
    <n v="0.79"/>
    <x v="7"/>
  </r>
  <r>
    <s v="ENC100460"/>
    <s v="PT75098"/>
    <s v="Northgate General"/>
    <s v="Midwest"/>
    <d v="2025-08-15T00:00:00"/>
    <d v="2025-08-16T00:00:00"/>
    <x v="8"/>
    <s v="Emergency"/>
    <s v="GI"/>
    <n v="21"/>
    <s v="18-34"/>
    <s v="Male"/>
    <s v="Self-Pay"/>
    <n v="0.6"/>
    <n v="1349.19"/>
    <n v="0"/>
    <n v="4.4000000000000004"/>
    <n v="0.81"/>
    <x v="4"/>
  </r>
  <r>
    <s v="ENC100461"/>
    <s v="PT22630"/>
    <s v="Lakeside Health"/>
    <s v="West"/>
    <d v="2025-08-11T00:00:00"/>
    <d v="2025-08-26T00:00:00"/>
    <x v="4"/>
    <s v="Emergency"/>
    <s v="Infectious"/>
    <n v="46"/>
    <s v="35-49"/>
    <s v="Female"/>
    <s v="Medicare"/>
    <n v="14.9"/>
    <n v="69815.92"/>
    <n v="1"/>
    <n v="2.9"/>
    <n v="0.8"/>
    <x v="4"/>
  </r>
  <r>
    <s v="ENC100462"/>
    <s v="PT77393"/>
    <s v="Lakeside Health"/>
    <s v="South"/>
    <d v="2025-03-09T00:00:00"/>
    <d v="2025-03-12T00:00:00"/>
    <x v="2"/>
    <s v="Emergency"/>
    <s v="Cardiac"/>
    <n v="30"/>
    <s v="18-34"/>
    <s v="Female"/>
    <s v="Commercial"/>
    <n v="2.7"/>
    <n v="6946.56"/>
    <n v="0"/>
    <n v="4"/>
    <n v="0.72"/>
    <x v="11"/>
  </r>
  <r>
    <s v="ENC100463"/>
    <s v="PT47719"/>
    <s v="Northgate General"/>
    <s v="West"/>
    <d v="2025-07-22T00:00:00"/>
    <d v="2025-08-04T00:00:00"/>
    <x v="8"/>
    <s v="Emergency"/>
    <s v="Other"/>
    <n v="47"/>
    <s v="35-49"/>
    <s v="Female"/>
    <s v="Medicare"/>
    <n v="12.9"/>
    <n v="26524.71"/>
    <n v="0"/>
    <n v="4.2"/>
    <n v="0.81"/>
    <x v="5"/>
  </r>
  <r>
    <s v="ENC100464"/>
    <s v="PT10585"/>
    <s v="St. Catherine Hospital"/>
    <s v="Northeast"/>
    <d v="2025-07-11T00:00:00"/>
    <d v="2025-07-19T00:00:00"/>
    <x v="1"/>
    <s v="Emergency"/>
    <s v="Injury"/>
    <n v="34"/>
    <s v="18-34"/>
    <s v="Male"/>
    <s v="Commercial"/>
    <n v="7.4"/>
    <n v="26921.33"/>
    <n v="0"/>
    <n v="3.5"/>
    <n v="0.74"/>
    <x v="5"/>
  </r>
  <r>
    <s v="ENC100465"/>
    <s v="PT96959"/>
    <s v="Metro Regional"/>
    <s v="Midwest"/>
    <d v="2025-05-25T00:00:00"/>
    <d v="2025-05-28T00:00:00"/>
    <x v="1"/>
    <s v="Emergency"/>
    <s v="Respiratory"/>
    <n v="0"/>
    <s v="0-12"/>
    <s v="Female"/>
    <s v="Medicaid"/>
    <n v="2.8"/>
    <n v="7783.8"/>
    <n v="1"/>
    <n v="3"/>
    <n v="0.81"/>
    <x v="10"/>
  </r>
  <r>
    <s v="ENC100466"/>
    <s v="PT24937"/>
    <s v="Northgate General"/>
    <s v="South"/>
    <d v="2025-10-02T00:00:00"/>
    <d v="2025-10-04T00:00:00"/>
    <x v="1"/>
    <s v="Emergency"/>
    <s v="Injury"/>
    <n v="84"/>
    <s v="75+"/>
    <s v="Female"/>
    <s v="Commercial"/>
    <n v="1.8"/>
    <n v="6564.84"/>
    <n v="1"/>
    <n v="3.3"/>
    <n v="0.79"/>
    <x v="3"/>
  </r>
  <r>
    <s v="ENC100467"/>
    <s v="PT63643"/>
    <s v="Lakeside Health"/>
    <s v="Midwest"/>
    <d v="2025-09-05T00:00:00"/>
    <d v="2025-09-11T00:00:00"/>
    <x v="8"/>
    <s v="Elective"/>
    <s v="Pediatric"/>
    <n v="57"/>
    <s v="50-64"/>
    <s v="Male"/>
    <s v="Medicare"/>
    <n v="5.6"/>
    <n v="12537.39"/>
    <n v="0"/>
    <n v="4.2"/>
    <n v="0.78"/>
    <x v="6"/>
  </r>
  <r>
    <s v="ENC100468"/>
    <s v="PT26331"/>
    <s v="Metro Regional"/>
    <s v="South"/>
    <d v="2025-07-14T00:00:00"/>
    <d v="2025-07-15T00:00:00"/>
    <x v="3"/>
    <s v="Urgent"/>
    <s v="Other"/>
    <n v="42"/>
    <s v="35-49"/>
    <s v="Male"/>
    <s v="Medicaid"/>
    <n v="1"/>
    <n v="1577.28"/>
    <n v="0"/>
    <n v="2.6"/>
    <n v="0.91"/>
    <x v="5"/>
  </r>
  <r>
    <s v="ENC100469"/>
    <s v="PT93971"/>
    <s v="Metro Regional"/>
    <s v="Midwest"/>
    <d v="2025-09-22T00:00:00"/>
    <d v="2025-09-24T00:00:00"/>
    <x v="1"/>
    <s v="Emergency"/>
    <s v="Neurological"/>
    <n v="9"/>
    <s v="0-12"/>
    <s v="Female"/>
    <s v="Commercial"/>
    <n v="1.7"/>
    <n v="5726.67"/>
    <n v="0"/>
    <n v="3"/>
    <n v="0.83"/>
    <x v="6"/>
  </r>
  <r>
    <s v="ENC100470"/>
    <s v="PT76448"/>
    <s v="Northgate General"/>
    <s v="West"/>
    <d v="2025-10-06T00:00:00"/>
    <d v="2025-10-09T00:00:00"/>
    <x v="6"/>
    <s v="Elective"/>
    <s v="Other"/>
    <n v="6"/>
    <s v="0-12"/>
    <s v="Male"/>
    <s v="Commercial"/>
    <n v="2.6"/>
    <n v="6241.58"/>
    <n v="0"/>
    <n v="4.2"/>
    <n v="0.75"/>
    <x v="3"/>
  </r>
  <r>
    <s v="ENC100471"/>
    <s v="PT82391"/>
    <s v="Lakeside Health"/>
    <s v="Northeast"/>
    <d v="2025-07-26T00:00:00"/>
    <d v="2025-07-27T00:00:00"/>
    <x v="4"/>
    <s v="Emergency"/>
    <s v="Other"/>
    <n v="43"/>
    <s v="35-49"/>
    <s v="Female"/>
    <s v="Medicare"/>
    <n v="0.7"/>
    <n v="2610.12"/>
    <n v="0"/>
    <n v="3.7"/>
    <n v="0.71"/>
    <x v="5"/>
  </r>
  <r>
    <s v="ENC100472"/>
    <s v="PT48886"/>
    <s v="Metro Regional"/>
    <s v="West"/>
    <d v="2025-04-08T00:00:00"/>
    <d v="2025-04-12T00:00:00"/>
    <x v="2"/>
    <s v="Emergency"/>
    <s v="Pediatric"/>
    <n v="59"/>
    <s v="50-64"/>
    <s v="Female"/>
    <s v="Commercial"/>
    <n v="3.9"/>
    <n v="8258.0300000000007"/>
    <n v="0"/>
    <n v="3.5"/>
    <n v="0.81"/>
    <x v="7"/>
  </r>
  <r>
    <s v="ENC100473"/>
    <s v="PT52063"/>
    <s v="St. Catherine Hospital"/>
    <s v="Midwest"/>
    <d v="2025-10-04T00:00:00"/>
    <d v="2025-10-06T00:00:00"/>
    <x v="3"/>
    <s v="Emergency"/>
    <s v="Pediatric"/>
    <n v="23"/>
    <s v="18-34"/>
    <s v="Female"/>
    <s v="Commercial"/>
    <n v="1.6"/>
    <n v="2556.96"/>
    <n v="1"/>
    <n v="3.4"/>
    <n v="0.89"/>
    <x v="3"/>
  </r>
  <r>
    <s v="ENC100474"/>
    <s v="PT67086"/>
    <s v="Riverside Medical Center"/>
    <s v="Midwest"/>
    <d v="2025-09-19T00:00:00"/>
    <d v="2025-09-20T00:00:00"/>
    <x v="2"/>
    <s v="Emergency"/>
    <s v="Cancer"/>
    <n v="67"/>
    <s v="65-74"/>
    <s v="Female"/>
    <s v="Commercial"/>
    <n v="1"/>
    <n v="2697.9"/>
    <n v="0"/>
    <n v="3"/>
    <n v="0.85"/>
    <x v="6"/>
  </r>
  <r>
    <s v="ENC100475"/>
    <s v="PT80627"/>
    <s v="Riverside Medical Center"/>
    <s v="South"/>
    <d v="2025-12-25T00:00:00"/>
    <d v="2025-12-31T00:00:00"/>
    <x v="9"/>
    <s v="Emergency"/>
    <s v="Maternal"/>
    <n v="35"/>
    <s v="35-49"/>
    <s v="Male"/>
    <s v="Commercial"/>
    <n v="5.2"/>
    <n v="12127.71"/>
    <n v="0"/>
    <n v="4.2"/>
    <n v="0.86"/>
    <x v="2"/>
  </r>
  <r>
    <s v="ENC100476"/>
    <s v="PT86227"/>
    <s v="Metro Regional"/>
    <s v="Northeast"/>
    <d v="2025-02-24T00:00:00"/>
    <d v="2025-03-02T00:00:00"/>
    <x v="2"/>
    <s v="Emergency"/>
    <s v="Infectious"/>
    <n v="1"/>
    <s v="0-12"/>
    <s v="Male"/>
    <s v="Medicare"/>
    <n v="5.8"/>
    <n v="10952.08"/>
    <n v="0"/>
    <n v="3.4"/>
    <n v="0.83"/>
    <x v="9"/>
  </r>
  <r>
    <s v="ENC100477"/>
    <s v="PT11605"/>
    <s v="St. Catherine Hospital"/>
    <s v="West"/>
    <d v="2025-06-03T00:00:00"/>
    <d v="2025-06-08T00:00:00"/>
    <x v="5"/>
    <s v="Emergency"/>
    <s v="GI"/>
    <n v="48"/>
    <s v="35-49"/>
    <s v="Male"/>
    <s v="Medicare"/>
    <n v="4.5999999999999996"/>
    <n v="12966.83"/>
    <n v="0"/>
    <n v="3.6"/>
    <n v="0.8"/>
    <x v="1"/>
  </r>
  <r>
    <s v="ENC100478"/>
    <s v="PT69719"/>
    <s v="Northgate General"/>
    <s v="West"/>
    <d v="2025-12-04T00:00:00"/>
    <d v="2025-12-06T00:00:00"/>
    <x v="1"/>
    <s v="Emergency"/>
    <s v="Cardiac"/>
    <n v="16"/>
    <s v="13-17"/>
    <s v="Female"/>
    <s v="Commercial"/>
    <n v="1.4"/>
    <n v="4946.84"/>
    <n v="0"/>
    <n v="4.0999999999999996"/>
    <n v="0.81"/>
    <x v="2"/>
  </r>
  <r>
    <s v="ENC100479"/>
    <s v="PT19822"/>
    <s v="Northgate General"/>
    <s v="West"/>
    <d v="2025-07-07T00:00:00"/>
    <d v="2025-07-11T00:00:00"/>
    <x v="0"/>
    <s v="Emergency"/>
    <s v="Maternal"/>
    <n v="1"/>
    <s v="0-12"/>
    <s v="Male"/>
    <s v="Medicare"/>
    <n v="3.3"/>
    <n v="6528.3"/>
    <n v="0"/>
    <n v="3.7"/>
    <n v="0.76"/>
    <x v="5"/>
  </r>
  <r>
    <s v="ENC100480"/>
    <s v="PT35913"/>
    <s v="Lakeside Health"/>
    <s v="West"/>
    <d v="2025-12-11T00:00:00"/>
    <d v="2025-12-14T00:00:00"/>
    <x v="2"/>
    <s v="Emergency"/>
    <s v="Other"/>
    <n v="11"/>
    <s v="0-12"/>
    <s v="Male"/>
    <s v="Commercial"/>
    <n v="2.1"/>
    <n v="4902.58"/>
    <n v="0"/>
    <n v="3.5"/>
    <n v="0.74"/>
    <x v="2"/>
  </r>
  <r>
    <s v="ENC100481"/>
    <s v="PT84647"/>
    <s v="St. Catherine Hospital"/>
    <s v="South"/>
    <d v="2025-01-05T00:00:00"/>
    <d v="2025-01-09T00:00:00"/>
    <x v="1"/>
    <s v="Emergency"/>
    <s v="Injury"/>
    <n v="25"/>
    <s v="18-34"/>
    <s v="Female"/>
    <s v="Commercial"/>
    <n v="4"/>
    <n v="14187.01"/>
    <n v="0"/>
    <n v="2.7"/>
    <n v="0.77"/>
    <x v="8"/>
  </r>
  <r>
    <s v="ENC100482"/>
    <s v="PT32545"/>
    <s v="Metro Regional"/>
    <s v="Midwest"/>
    <d v="2025-01-13T00:00:00"/>
    <d v="2025-01-18T00:00:00"/>
    <x v="2"/>
    <s v="Emergency"/>
    <s v="Other"/>
    <n v="46"/>
    <s v="35-49"/>
    <s v="Male"/>
    <s v="Medicaid"/>
    <n v="5"/>
    <n v="10582.33"/>
    <n v="0"/>
    <n v="4.0999999999999996"/>
    <n v="0.82"/>
    <x v="8"/>
  </r>
  <r>
    <s v="ENC100483"/>
    <s v="PT81712"/>
    <s v="Lakeside Health"/>
    <s v="West"/>
    <d v="2025-10-18T00:00:00"/>
    <d v="2025-10-19T00:00:00"/>
    <x v="6"/>
    <s v="Emergency"/>
    <s v="Cancer"/>
    <n v="90"/>
    <s v="75+"/>
    <s v="Male"/>
    <s v="Commercial"/>
    <n v="0.7"/>
    <n v="1935.89"/>
    <n v="1"/>
    <n v="3.9"/>
    <n v="0.75"/>
    <x v="3"/>
  </r>
  <r>
    <s v="ENC100484"/>
    <s v="PT51670"/>
    <s v="Metro Regional"/>
    <s v="Northeast"/>
    <d v="2025-05-11T00:00:00"/>
    <d v="2025-05-12T00:00:00"/>
    <x v="3"/>
    <s v="Emergency"/>
    <s v="Cardiac"/>
    <n v="19"/>
    <s v="18-34"/>
    <s v="Male"/>
    <s v="Medicare"/>
    <n v="0.2"/>
    <n v="406.01"/>
    <n v="0"/>
    <n v="3.4"/>
    <n v="0.81"/>
    <x v="10"/>
  </r>
  <r>
    <s v="ENC100485"/>
    <s v="PT30937"/>
    <s v="Metro Regional"/>
    <s v="West"/>
    <d v="2025-07-09T00:00:00"/>
    <d v="2025-07-12T00:00:00"/>
    <x v="8"/>
    <s v="Emergency"/>
    <s v="Respiratory"/>
    <n v="5"/>
    <s v="0-12"/>
    <s v="Female"/>
    <s v="Self-Pay"/>
    <n v="2.2000000000000002"/>
    <n v="5155.3"/>
    <n v="0"/>
    <n v="3.3"/>
    <n v="0.85"/>
    <x v="5"/>
  </r>
  <r>
    <s v="ENC100486"/>
    <s v="PT40081"/>
    <s v="Northgate General"/>
    <s v="Midwest"/>
    <d v="2025-06-06T00:00:00"/>
    <d v="2025-06-19T00:00:00"/>
    <x v="5"/>
    <s v="Emergency"/>
    <s v="Maternal"/>
    <n v="17"/>
    <s v="13-17"/>
    <s v="Male"/>
    <s v="Medicare"/>
    <n v="13"/>
    <n v="33968.65"/>
    <n v="0"/>
    <n v="3.7"/>
    <n v="0.79"/>
    <x v="1"/>
  </r>
  <r>
    <s v="ENC100487"/>
    <s v="PT57768"/>
    <s v="Lakeside Health"/>
    <s v="South"/>
    <d v="2025-05-29T00:00:00"/>
    <d v="2025-06-13T00:00:00"/>
    <x v="5"/>
    <s v="Urgent"/>
    <s v="Infectious"/>
    <n v="29"/>
    <s v="18-34"/>
    <s v="Female"/>
    <s v="Medicare"/>
    <n v="14.3"/>
    <n v="39290.76"/>
    <n v="0"/>
    <n v="4"/>
    <n v="0.74"/>
    <x v="10"/>
  </r>
  <r>
    <s v="ENC100488"/>
    <s v="PT78862"/>
    <s v="Riverside Medical Center"/>
    <s v="Midwest"/>
    <d v="2025-12-09T00:00:00"/>
    <d v="2025-12-12T00:00:00"/>
    <x v="0"/>
    <s v="Emergency"/>
    <s v="Injury"/>
    <n v="18"/>
    <s v="18-34"/>
    <s v="Male"/>
    <s v="Commercial"/>
    <n v="2.7"/>
    <n v="6731.42"/>
    <n v="0"/>
    <n v="4"/>
    <n v="0.79"/>
    <x v="2"/>
  </r>
  <r>
    <s v="ENC100489"/>
    <s v="PT64540"/>
    <s v="Metro Regional"/>
    <s v="Midwest"/>
    <d v="2025-02-04T00:00:00"/>
    <d v="2025-02-13T00:00:00"/>
    <x v="7"/>
    <s v="Emergency"/>
    <s v="Infectious"/>
    <n v="29"/>
    <s v="18-34"/>
    <s v="Male"/>
    <s v="Commercial"/>
    <n v="9"/>
    <n v="30271.75"/>
    <n v="0"/>
    <n v="4.7"/>
    <n v="0.84"/>
    <x v="9"/>
  </r>
  <r>
    <s v="ENC100490"/>
    <s v="PT93989"/>
    <s v="Northgate General"/>
    <s v="Northeast"/>
    <d v="2025-10-09T00:00:00"/>
    <d v="2025-10-12T00:00:00"/>
    <x v="2"/>
    <s v="Emergency"/>
    <s v="Injury"/>
    <n v="88"/>
    <s v="75+"/>
    <s v="Female"/>
    <s v="Commercial"/>
    <n v="2.8"/>
    <n v="6417.05"/>
    <n v="0"/>
    <n v="4.3"/>
    <n v="0.76"/>
    <x v="3"/>
  </r>
  <r>
    <s v="ENC100491"/>
    <s v="PT88095"/>
    <s v="Lakeside Health"/>
    <s v="Midwest"/>
    <d v="2025-11-21T00:00:00"/>
    <d v="2025-11-25T00:00:00"/>
    <x v="1"/>
    <s v="Urgent"/>
    <s v="Cancer"/>
    <n v="34"/>
    <s v="18-34"/>
    <s v="Male"/>
    <s v="Medicaid"/>
    <n v="3.5"/>
    <n v="11033.44"/>
    <n v="0"/>
    <n v="3.8"/>
    <n v="0.75"/>
    <x v="0"/>
  </r>
  <r>
    <s v="ENC100492"/>
    <s v="PT77801"/>
    <s v="Metro Regional"/>
    <s v="Midwest"/>
    <d v="2025-08-28T00:00:00"/>
    <d v="2025-08-31T00:00:00"/>
    <x v="8"/>
    <s v="Elective"/>
    <s v="Pediatric"/>
    <n v="57"/>
    <s v="50-64"/>
    <s v="Male"/>
    <s v="Medicaid"/>
    <n v="2.5"/>
    <n v="5583.29"/>
    <n v="0"/>
    <n v="4.3"/>
    <n v="0.88"/>
    <x v="4"/>
  </r>
  <r>
    <s v="ENC100493"/>
    <s v="PT64279"/>
    <s v="Riverside Medical Center"/>
    <s v="Northeast"/>
    <d v="2025-05-25T00:00:00"/>
    <d v="2025-05-31T00:00:00"/>
    <x v="2"/>
    <s v="Elective"/>
    <s v="GI"/>
    <n v="62"/>
    <s v="50-64"/>
    <s v="Male"/>
    <s v="Commercial"/>
    <n v="5.8"/>
    <n v="12463.45"/>
    <n v="0"/>
    <n v="3.9"/>
    <n v="0.77"/>
    <x v="10"/>
  </r>
  <r>
    <s v="ENC100494"/>
    <s v="PT36086"/>
    <s v="Metro Regional"/>
    <s v="Northeast"/>
    <d v="2025-02-28T00:00:00"/>
    <d v="2025-03-08T00:00:00"/>
    <x v="2"/>
    <s v="Urgent"/>
    <s v="Maternal"/>
    <n v="11"/>
    <s v="0-12"/>
    <s v="Female"/>
    <s v="Commercial"/>
    <n v="8"/>
    <n v="16118.51"/>
    <n v="1"/>
    <n v="3.7"/>
    <n v="0.93"/>
    <x v="9"/>
  </r>
  <r>
    <s v="ENC100495"/>
    <s v="PT47131"/>
    <s v="Riverside Medical Center"/>
    <s v="South"/>
    <d v="2025-09-07T00:00:00"/>
    <d v="2025-09-10T00:00:00"/>
    <x v="0"/>
    <s v="Emergency"/>
    <s v="Infectious"/>
    <n v="22"/>
    <s v="18-34"/>
    <s v="Female"/>
    <s v="Commercial"/>
    <n v="2.2000000000000002"/>
    <n v="4063.48"/>
    <n v="0"/>
    <n v="4.7"/>
    <n v="0.82"/>
    <x v="6"/>
  </r>
  <r>
    <s v="ENC100496"/>
    <s v="PT20700"/>
    <s v="St. Catherine Hospital"/>
    <s v="Midwest"/>
    <d v="2025-06-21T00:00:00"/>
    <d v="2025-06-25T00:00:00"/>
    <x v="8"/>
    <s v="Urgent"/>
    <s v="Other"/>
    <n v="37"/>
    <s v="35-49"/>
    <s v="Female"/>
    <s v="Medicare"/>
    <n v="3.3"/>
    <n v="6990.43"/>
    <n v="0"/>
    <n v="3.4"/>
    <n v="0.82"/>
    <x v="1"/>
  </r>
  <r>
    <s v="ENC100497"/>
    <s v="PT43676"/>
    <s v="St. Catherine Hospital"/>
    <s v="West"/>
    <d v="2025-02-24T00:00:00"/>
    <d v="2025-02-27T00:00:00"/>
    <x v="2"/>
    <s v="Emergency"/>
    <s v="Cardiac"/>
    <n v="41"/>
    <s v="35-49"/>
    <s v="Female"/>
    <s v="Medicare"/>
    <n v="2.6"/>
    <n v="6904.27"/>
    <n v="0"/>
    <n v="3.9"/>
    <n v="0.77"/>
    <x v="9"/>
  </r>
  <r>
    <s v="ENC100498"/>
    <s v="PT93381"/>
    <s v="Northgate General"/>
    <s v="Northeast"/>
    <d v="2025-05-12T00:00:00"/>
    <d v="2025-05-18T00:00:00"/>
    <x v="9"/>
    <s v="Elective"/>
    <s v="Injury"/>
    <n v="1"/>
    <s v="0-12"/>
    <s v="Male"/>
    <s v="Medicare"/>
    <n v="5.9"/>
    <n v="12913.88"/>
    <n v="0"/>
    <n v="4.5999999999999996"/>
    <n v="0.83"/>
    <x v="10"/>
  </r>
  <r>
    <s v="ENC100499"/>
    <s v="PT48328"/>
    <s v="St. Catherine Hospital"/>
    <s v="South"/>
    <d v="2025-12-17T00:00:00"/>
    <d v="2025-12-23T00:00:00"/>
    <x v="2"/>
    <s v="Emergency"/>
    <s v="Respiratory"/>
    <n v="58"/>
    <s v="50-64"/>
    <s v="Female"/>
    <s v="Medicaid"/>
    <n v="5.4"/>
    <n v="12648.68"/>
    <n v="0"/>
    <n v="4.0999999999999996"/>
    <n v="0.79"/>
    <x v="2"/>
  </r>
  <r>
    <s v="ENC100500"/>
    <s v="PT20235"/>
    <s v="Metro Regional"/>
    <s v="Northeast"/>
    <d v="2025-04-07T00:00:00"/>
    <d v="2025-04-09T00:00:00"/>
    <x v="1"/>
    <s v="Emergency"/>
    <s v="Infectious"/>
    <n v="27"/>
    <s v="18-34"/>
    <s v="Male"/>
    <s v="Commercial"/>
    <n v="1.4"/>
    <n v="4901.96"/>
    <n v="0"/>
    <n v="3.7"/>
    <n v="0.82"/>
    <x v="7"/>
  </r>
  <r>
    <s v="ENC100501"/>
    <s v="PT68673"/>
    <s v="Northgate General"/>
    <s v="South"/>
    <d v="2025-03-07T00:00:00"/>
    <d v="2025-03-15T00:00:00"/>
    <x v="9"/>
    <s v="Urgent"/>
    <s v="Infectious"/>
    <n v="29"/>
    <s v="18-34"/>
    <s v="Male"/>
    <s v="Medicare"/>
    <n v="7.3"/>
    <n v="16485.7"/>
    <n v="0"/>
    <n v="2.7"/>
    <n v="0.76"/>
    <x v="11"/>
  </r>
  <r>
    <s v="ENC100502"/>
    <s v="PT96634"/>
    <s v="St. Catherine Hospital"/>
    <s v="South"/>
    <d v="2025-09-06T00:00:00"/>
    <d v="2025-09-07T00:00:00"/>
    <x v="6"/>
    <s v="Emergency"/>
    <s v="GI"/>
    <n v="54"/>
    <s v="50-64"/>
    <s v="Male"/>
    <s v="Medicare"/>
    <n v="0.2"/>
    <n v="408.52"/>
    <n v="0"/>
    <n v="2.5"/>
    <n v="0.79"/>
    <x v="6"/>
  </r>
  <r>
    <s v="ENC100503"/>
    <s v="PT88073"/>
    <s v="Metro Regional"/>
    <s v="South"/>
    <d v="2025-03-14T00:00:00"/>
    <d v="2025-03-30T00:00:00"/>
    <x v="4"/>
    <s v="Urgent"/>
    <s v="Injury"/>
    <n v="86"/>
    <s v="75+"/>
    <s v="Female"/>
    <s v="Commercial"/>
    <n v="15.1"/>
    <n v="68519.179999999993"/>
    <n v="0"/>
    <n v="4.8"/>
    <n v="0.86"/>
    <x v="11"/>
  </r>
  <r>
    <s v="ENC100504"/>
    <s v="PT34666"/>
    <s v="Lakeside Health"/>
    <s v="Midwest"/>
    <d v="2025-12-02T00:00:00"/>
    <d v="2025-12-10T00:00:00"/>
    <x v="5"/>
    <s v="Emergency"/>
    <s v="Respiratory"/>
    <n v="78"/>
    <s v="75+"/>
    <s v="Male"/>
    <s v="Medicaid"/>
    <n v="7.7"/>
    <n v="22117.86"/>
    <n v="0"/>
    <n v="3.9"/>
    <n v="0.76"/>
    <x v="2"/>
  </r>
  <r>
    <s v="ENC100505"/>
    <s v="PT50850"/>
    <s v="Riverside Medical Center"/>
    <s v="Midwest"/>
    <d v="2025-11-10T00:00:00"/>
    <d v="2025-11-13T00:00:00"/>
    <x v="9"/>
    <s v="Elective"/>
    <s v="GI"/>
    <n v="89"/>
    <s v="75+"/>
    <s v="Male"/>
    <s v="Commercial"/>
    <n v="2.1"/>
    <n v="5649.15"/>
    <n v="0"/>
    <n v="3.5"/>
    <n v="0.82"/>
    <x v="0"/>
  </r>
  <r>
    <s v="ENC100506"/>
    <s v="PT57790"/>
    <s v="Metro Regional"/>
    <s v="Northeast"/>
    <d v="2025-12-25T00:00:00"/>
    <d v="2025-12-26T00:00:00"/>
    <x v="3"/>
    <s v="Urgent"/>
    <s v="Other"/>
    <n v="37"/>
    <s v="35-49"/>
    <s v="Male"/>
    <s v="Medicare"/>
    <n v="1"/>
    <n v="1710.73"/>
    <n v="0"/>
    <n v="3.9"/>
    <n v="0.81"/>
    <x v="2"/>
  </r>
  <r>
    <s v="ENC100507"/>
    <s v="PT32305"/>
    <s v="Riverside Medical Center"/>
    <s v="Midwest"/>
    <d v="2025-11-30T00:00:00"/>
    <d v="2025-12-05T00:00:00"/>
    <x v="7"/>
    <s v="Emergency"/>
    <s v="Injury"/>
    <n v="10"/>
    <s v="0-12"/>
    <s v="Female"/>
    <s v="Medicaid"/>
    <n v="4.0999999999999996"/>
    <n v="10615.69"/>
    <n v="0"/>
    <n v="3.3"/>
    <n v="0.79"/>
    <x v="0"/>
  </r>
  <r>
    <s v="ENC100508"/>
    <s v="PT34182"/>
    <s v="St. Catherine Hospital"/>
    <s v="Midwest"/>
    <d v="2025-03-30T00:00:00"/>
    <d v="2025-04-01T00:00:00"/>
    <x v="1"/>
    <s v="Urgent"/>
    <s v="Cardiac"/>
    <n v="19"/>
    <s v="18-34"/>
    <s v="Male"/>
    <s v="Medicaid"/>
    <n v="1.4"/>
    <n v="4077.38"/>
    <n v="0"/>
    <n v="3.7"/>
    <n v="0.78"/>
    <x v="11"/>
  </r>
  <r>
    <s v="ENC100509"/>
    <s v="PT31299"/>
    <s v="St. Catherine Hospital"/>
    <s v="South"/>
    <d v="2025-03-19T00:00:00"/>
    <d v="2025-03-27T00:00:00"/>
    <x v="6"/>
    <s v="Elective"/>
    <s v="Injury"/>
    <n v="31"/>
    <s v="18-34"/>
    <s v="Female"/>
    <s v="Medicare"/>
    <n v="7.9"/>
    <n v="17744.52"/>
    <n v="0"/>
    <n v="3.1"/>
    <n v="0.82"/>
    <x v="11"/>
  </r>
  <r>
    <s v="ENC100510"/>
    <s v="PT99511"/>
    <s v="Metro Regional"/>
    <s v="Midwest"/>
    <d v="2025-05-06T00:00:00"/>
    <d v="2025-05-09T00:00:00"/>
    <x v="2"/>
    <s v="Elective"/>
    <s v="Cancer"/>
    <n v="27"/>
    <s v="18-34"/>
    <s v="Male"/>
    <s v="Commercial"/>
    <n v="2.7"/>
    <n v="7725.91"/>
    <n v="1"/>
    <n v="3.1"/>
    <n v="0.87"/>
    <x v="10"/>
  </r>
  <r>
    <s v="ENC100511"/>
    <s v="PT77140"/>
    <s v="Riverside Medical Center"/>
    <s v="South"/>
    <d v="2025-06-21T00:00:00"/>
    <d v="2025-06-23T00:00:00"/>
    <x v="7"/>
    <s v="Emergency"/>
    <s v="Injury"/>
    <n v="18"/>
    <s v="18-34"/>
    <s v="Female"/>
    <s v="Medicaid"/>
    <n v="1.9"/>
    <n v="6124.44"/>
    <n v="0"/>
    <n v="2.6"/>
    <n v="0.85"/>
    <x v="1"/>
  </r>
  <r>
    <s v="ENC100512"/>
    <s v="PT85676"/>
    <s v="Riverside Medical Center"/>
    <s v="Midwest"/>
    <d v="2025-11-18T00:00:00"/>
    <d v="2025-11-25T00:00:00"/>
    <x v="9"/>
    <s v="Emergency"/>
    <s v="Injury"/>
    <n v="13"/>
    <s v="13-17"/>
    <s v="Female"/>
    <s v="Medicaid"/>
    <n v="7"/>
    <n v="15541.24"/>
    <n v="0"/>
    <n v="2.9"/>
    <n v="0.82"/>
    <x v="0"/>
  </r>
  <r>
    <s v="ENC100513"/>
    <s v="PT83490"/>
    <s v="Lakeside Health"/>
    <s v="Northeast"/>
    <d v="2025-09-25T00:00:00"/>
    <d v="2025-09-30T00:00:00"/>
    <x v="1"/>
    <s v="Elective"/>
    <s v="GI"/>
    <n v="16"/>
    <s v="13-17"/>
    <s v="Male"/>
    <s v="Medicare"/>
    <n v="4.4000000000000004"/>
    <n v="13287.98"/>
    <n v="1"/>
    <n v="4.5"/>
    <n v="0.77"/>
    <x v="6"/>
  </r>
  <r>
    <s v="ENC100514"/>
    <s v="PT96321"/>
    <s v="Riverside Medical Center"/>
    <s v="Northeast"/>
    <d v="2025-08-24T00:00:00"/>
    <d v="2025-08-28T00:00:00"/>
    <x v="6"/>
    <s v="Emergency"/>
    <s v="Injury"/>
    <n v="59"/>
    <s v="50-64"/>
    <s v="Female"/>
    <s v="Medicaid"/>
    <n v="4"/>
    <n v="10254.25"/>
    <n v="0"/>
    <n v="3.3"/>
    <n v="0.81"/>
    <x v="4"/>
  </r>
  <r>
    <s v="ENC100515"/>
    <s v="PT19474"/>
    <s v="St. Catherine Hospital"/>
    <s v="Northeast"/>
    <d v="2025-11-17T00:00:00"/>
    <d v="2025-11-28T00:00:00"/>
    <x v="2"/>
    <s v="Emergency"/>
    <s v="Cancer"/>
    <n v="44"/>
    <s v="35-49"/>
    <s v="Male"/>
    <s v="Commercial"/>
    <n v="10.6"/>
    <n v="25363.360000000001"/>
    <n v="0"/>
    <n v="4"/>
    <n v="0.73"/>
    <x v="0"/>
  </r>
  <r>
    <s v="ENC100516"/>
    <s v="PT89346"/>
    <s v="Lakeside Health"/>
    <s v="South"/>
    <d v="2025-08-24T00:00:00"/>
    <d v="2025-08-29T00:00:00"/>
    <x v="6"/>
    <s v="Emergency"/>
    <s v="Respiratory"/>
    <n v="3"/>
    <s v="0-12"/>
    <s v="Male"/>
    <s v="Medicare"/>
    <n v="4.4000000000000004"/>
    <n v="10354.59"/>
    <n v="0"/>
    <n v="4.5"/>
    <n v="0.74"/>
    <x v="4"/>
  </r>
  <r>
    <s v="ENC100517"/>
    <s v="PT15990"/>
    <s v="Lakeside Health"/>
    <s v="West"/>
    <d v="2025-05-19T00:00:00"/>
    <d v="2025-05-23T00:00:00"/>
    <x v="4"/>
    <s v="Urgent"/>
    <s v="Other"/>
    <n v="51"/>
    <s v="50-64"/>
    <s v="Female"/>
    <s v="Medicaid"/>
    <n v="3.3"/>
    <n v="12648.54"/>
    <n v="0"/>
    <n v="3.8"/>
    <n v="0.73"/>
    <x v="10"/>
  </r>
  <r>
    <s v="ENC100518"/>
    <s v="PT52787"/>
    <s v="Riverside Medical Center"/>
    <s v="South"/>
    <d v="2025-05-31T00:00:00"/>
    <d v="2025-06-10T00:00:00"/>
    <x v="4"/>
    <s v="Emergency"/>
    <s v="Cancer"/>
    <n v="76"/>
    <s v="75+"/>
    <s v="Female"/>
    <s v="Commercial"/>
    <n v="9.6"/>
    <n v="44293.599999999999"/>
    <n v="0"/>
    <n v="3.4"/>
    <n v="0.78"/>
    <x v="10"/>
  </r>
  <r>
    <s v="ENC100519"/>
    <s v="PT63498"/>
    <s v="Northgate General"/>
    <s v="Midwest"/>
    <d v="2025-07-08T00:00:00"/>
    <d v="2025-07-10T00:00:00"/>
    <x v="1"/>
    <s v="Elective"/>
    <s v="Injury"/>
    <n v="38"/>
    <s v="35-49"/>
    <s v="Female"/>
    <s v="Medicare"/>
    <n v="1.5"/>
    <n v="4575.8500000000004"/>
    <n v="0"/>
    <n v="4"/>
    <n v="0.76"/>
    <x v="5"/>
  </r>
  <r>
    <s v="ENC100520"/>
    <s v="PT42207"/>
    <s v="Metro Regional"/>
    <s v="Northeast"/>
    <d v="2025-02-02T00:00:00"/>
    <d v="2025-02-03T00:00:00"/>
    <x v="3"/>
    <s v="Urgent"/>
    <s v="Respiratory"/>
    <n v="28"/>
    <s v="18-34"/>
    <s v="Male"/>
    <s v="Self-Pay"/>
    <n v="0.7"/>
    <n v="1060.3399999999999"/>
    <n v="0"/>
    <n v="3.5"/>
    <n v="0.85"/>
    <x v="9"/>
  </r>
  <r>
    <s v="ENC100521"/>
    <s v="PT23155"/>
    <s v="St. Catherine Hospital"/>
    <s v="West"/>
    <d v="2025-09-28T00:00:00"/>
    <d v="2025-10-03T00:00:00"/>
    <x v="8"/>
    <s v="Emergency"/>
    <s v="GI"/>
    <n v="24"/>
    <s v="18-34"/>
    <s v="Male"/>
    <s v="Medicaid"/>
    <n v="4.2"/>
    <n v="11126.68"/>
    <n v="0"/>
    <n v="4.5999999999999996"/>
    <n v="0.75"/>
    <x v="6"/>
  </r>
  <r>
    <s v="ENC100522"/>
    <s v="PT27306"/>
    <s v="Riverside Medical Center"/>
    <s v="Northeast"/>
    <d v="2025-08-27T00:00:00"/>
    <d v="2025-09-02T00:00:00"/>
    <x v="2"/>
    <s v="Emergency"/>
    <s v="Pediatric"/>
    <n v="34"/>
    <s v="18-34"/>
    <s v="Female"/>
    <s v="Medicaid"/>
    <n v="5.9"/>
    <n v="12908.3"/>
    <n v="0"/>
    <n v="5"/>
    <n v="0.79"/>
    <x v="4"/>
  </r>
  <r>
    <s v="ENC100523"/>
    <s v="PT84218"/>
    <s v="Riverside Medical Center"/>
    <s v="Midwest"/>
    <d v="2025-09-24T00:00:00"/>
    <d v="2025-09-26T00:00:00"/>
    <x v="0"/>
    <s v="Elective"/>
    <s v="Respiratory"/>
    <n v="25"/>
    <s v="18-34"/>
    <s v="Female"/>
    <s v="Commercial"/>
    <n v="1.2"/>
    <n v="2670.3"/>
    <n v="0"/>
    <n v="4.8"/>
    <n v="0.88"/>
    <x v="6"/>
  </r>
  <r>
    <s v="ENC100524"/>
    <s v="PT38684"/>
    <s v="Northgate General"/>
    <s v="West"/>
    <d v="2025-07-14T00:00:00"/>
    <d v="2025-07-18T00:00:00"/>
    <x v="5"/>
    <s v="Emergency"/>
    <s v="Cardiac"/>
    <n v="84"/>
    <s v="75+"/>
    <s v="Female"/>
    <s v="Self-Pay"/>
    <n v="3.3"/>
    <n v="8300.31"/>
    <n v="1"/>
    <n v="2.6"/>
    <n v="0.72"/>
    <x v="5"/>
  </r>
  <r>
    <s v="ENC100525"/>
    <s v="PT37929"/>
    <s v="Metro Regional"/>
    <s v="Midwest"/>
    <d v="2025-10-13T00:00:00"/>
    <d v="2025-10-14T00:00:00"/>
    <x v="3"/>
    <s v="Elective"/>
    <s v="Cardiac"/>
    <n v="90"/>
    <s v="75+"/>
    <s v="Male"/>
    <s v="Commercial"/>
    <n v="0.8"/>
    <n v="1535.41"/>
    <n v="0"/>
    <n v="3.4"/>
    <n v="0.83"/>
    <x v="3"/>
  </r>
  <r>
    <s v="ENC100526"/>
    <s v="PT93101"/>
    <s v="Northgate General"/>
    <s v="Northeast"/>
    <d v="2025-12-13T00:00:00"/>
    <d v="2025-12-19T00:00:00"/>
    <x v="6"/>
    <s v="Elective"/>
    <s v="Infectious"/>
    <n v="31"/>
    <s v="18-34"/>
    <s v="Female"/>
    <s v="Medicare"/>
    <n v="5.4"/>
    <n v="12777.75"/>
    <n v="0"/>
    <n v="3.9"/>
    <n v="0.73"/>
    <x v="2"/>
  </r>
  <r>
    <s v="ENC100527"/>
    <s v="PT22948"/>
    <s v="Riverside Medical Center"/>
    <s v="Northeast"/>
    <d v="2025-07-28T00:00:00"/>
    <d v="2025-08-01T00:00:00"/>
    <x v="1"/>
    <s v="Elective"/>
    <s v="Other"/>
    <n v="84"/>
    <s v="75+"/>
    <s v="Female"/>
    <s v="Medicare"/>
    <n v="3.2"/>
    <n v="9104.01"/>
    <n v="0"/>
    <n v="4.2"/>
    <n v="0.79"/>
    <x v="5"/>
  </r>
  <r>
    <s v="ENC100528"/>
    <s v="PT92373"/>
    <s v="St. Catherine Hospital"/>
    <s v="South"/>
    <d v="2025-06-12T00:00:00"/>
    <d v="2025-06-16T00:00:00"/>
    <x v="3"/>
    <s v="Emergency"/>
    <s v="Cancer"/>
    <n v="77"/>
    <s v="75+"/>
    <s v="Male"/>
    <s v="Medicaid"/>
    <n v="3.5"/>
    <n v="6491.14"/>
    <n v="0"/>
    <n v="2.7"/>
    <n v="0.79"/>
    <x v="1"/>
  </r>
  <r>
    <s v="ENC100529"/>
    <s v="PT92886"/>
    <s v="Riverside Medical Center"/>
    <s v="Northeast"/>
    <d v="2025-02-08T00:00:00"/>
    <d v="2025-02-11T00:00:00"/>
    <x v="7"/>
    <s v="Elective"/>
    <s v="Injury"/>
    <n v="6"/>
    <s v="0-12"/>
    <s v="Female"/>
    <s v="Medicaid"/>
    <n v="2.8"/>
    <n v="8247.2800000000007"/>
    <n v="0"/>
    <n v="2.9"/>
    <n v="0.78"/>
    <x v="9"/>
  </r>
  <r>
    <s v="ENC100530"/>
    <s v="PT63869"/>
    <s v="Northgate General"/>
    <s v="South"/>
    <d v="2025-10-12T00:00:00"/>
    <d v="2025-10-14T00:00:00"/>
    <x v="9"/>
    <s v="Elective"/>
    <s v="Maternal"/>
    <n v="44"/>
    <s v="35-49"/>
    <s v="Male"/>
    <s v="Medicaid"/>
    <n v="1.3"/>
    <n v="2545.88"/>
    <n v="0"/>
    <n v="4.7"/>
    <n v="0.8"/>
    <x v="3"/>
  </r>
  <r>
    <s v="ENC100531"/>
    <s v="PT24897"/>
    <s v="Metro Regional"/>
    <s v="Midwest"/>
    <d v="2025-11-26T00:00:00"/>
    <d v="2025-11-29T00:00:00"/>
    <x v="3"/>
    <s v="Emergency"/>
    <s v="Maternal"/>
    <n v="59"/>
    <s v="50-64"/>
    <s v="Male"/>
    <s v="Medicare"/>
    <n v="2.8"/>
    <n v="4616.1099999999997"/>
    <n v="0"/>
    <n v="3.4"/>
    <n v="0.89"/>
    <x v="0"/>
  </r>
  <r>
    <s v="ENC100532"/>
    <s v="PT24027"/>
    <s v="Lakeside Health"/>
    <s v="Midwest"/>
    <d v="2025-09-13T00:00:00"/>
    <d v="2025-09-18T00:00:00"/>
    <x v="2"/>
    <s v="Elective"/>
    <s v="Cardiac"/>
    <n v="38"/>
    <s v="35-49"/>
    <s v="Male"/>
    <s v="Medicare"/>
    <n v="4.0999999999999996"/>
    <n v="9255.84"/>
    <n v="0"/>
    <n v="3"/>
    <n v="0.78"/>
    <x v="6"/>
  </r>
  <r>
    <s v="ENC100533"/>
    <s v="PT35624"/>
    <s v="Riverside Medical Center"/>
    <s v="Northeast"/>
    <d v="2025-11-12T00:00:00"/>
    <d v="2025-11-21T00:00:00"/>
    <x v="8"/>
    <s v="Urgent"/>
    <s v="Cardiac"/>
    <n v="41"/>
    <s v="35-49"/>
    <s v="Female"/>
    <s v="Medicare"/>
    <n v="8.1"/>
    <n v="21378.81"/>
    <n v="0"/>
    <n v="3"/>
    <n v="0.86"/>
    <x v="0"/>
  </r>
  <r>
    <s v="ENC100534"/>
    <s v="PT61966"/>
    <s v="St. Catherine Hospital"/>
    <s v="West"/>
    <d v="2025-11-11T00:00:00"/>
    <d v="2025-11-12T00:00:00"/>
    <x v="1"/>
    <s v="Elective"/>
    <s v="Injury"/>
    <n v="44"/>
    <s v="35-49"/>
    <s v="Male"/>
    <s v="Medicare"/>
    <n v="1"/>
    <n v="3100.57"/>
    <n v="0"/>
    <n v="4.0999999999999996"/>
    <n v="0.74"/>
    <x v="0"/>
  </r>
  <r>
    <s v="ENC100535"/>
    <s v="PT23825"/>
    <s v="Riverside Medical Center"/>
    <s v="Midwest"/>
    <d v="2025-10-19T00:00:00"/>
    <d v="2025-10-22T00:00:00"/>
    <x v="2"/>
    <s v="Emergency"/>
    <s v="Maternal"/>
    <n v="62"/>
    <s v="50-64"/>
    <s v="Female"/>
    <s v="Commercial"/>
    <n v="3"/>
    <n v="7002.44"/>
    <n v="0"/>
    <n v="3.4"/>
    <n v="0.81"/>
    <x v="3"/>
  </r>
  <r>
    <s v="ENC100536"/>
    <s v="PT51008"/>
    <s v="Riverside Medical Center"/>
    <s v="South"/>
    <d v="2025-07-03T00:00:00"/>
    <d v="2025-07-08T00:00:00"/>
    <x v="1"/>
    <s v="Emergency"/>
    <s v="GI"/>
    <n v="26"/>
    <s v="18-34"/>
    <s v="Male"/>
    <s v="Medicare"/>
    <n v="4.4000000000000004"/>
    <n v="11689.04"/>
    <n v="0"/>
    <n v="4"/>
    <n v="0.84"/>
    <x v="5"/>
  </r>
  <r>
    <s v="ENC100537"/>
    <s v="PT20393"/>
    <s v="St. Catherine Hospital"/>
    <s v="Midwest"/>
    <d v="2025-02-06T00:00:00"/>
    <d v="2025-02-10T00:00:00"/>
    <x v="8"/>
    <s v="Emergency"/>
    <s v="GI"/>
    <n v="54"/>
    <s v="50-64"/>
    <s v="Female"/>
    <s v="Medicaid"/>
    <n v="4"/>
    <n v="10716.81"/>
    <n v="0"/>
    <n v="3.3"/>
    <n v="0.83"/>
    <x v="9"/>
  </r>
  <r>
    <s v="ENC100538"/>
    <s v="PT58625"/>
    <s v="St. Catherine Hospital"/>
    <s v="Northeast"/>
    <d v="2025-01-02T00:00:00"/>
    <d v="2025-01-04T00:00:00"/>
    <x v="0"/>
    <s v="Emergency"/>
    <s v="Pediatric"/>
    <n v="22"/>
    <s v="18-34"/>
    <s v="Male"/>
    <s v="Medicare"/>
    <n v="1.9"/>
    <n v="3675.91"/>
    <n v="0"/>
    <n v="2.9"/>
    <n v="0.87"/>
    <x v="8"/>
  </r>
  <r>
    <s v="ENC100539"/>
    <s v="PT11903"/>
    <s v="Lakeside Health"/>
    <s v="Midwest"/>
    <d v="2025-03-16T00:00:00"/>
    <d v="2025-03-20T00:00:00"/>
    <x v="2"/>
    <s v="Emergency"/>
    <s v="Injury"/>
    <n v="80"/>
    <s v="75+"/>
    <s v="Female"/>
    <s v="Medicaid"/>
    <n v="3.5"/>
    <n v="7675.21"/>
    <n v="0"/>
    <n v="4.8"/>
    <n v="0.79"/>
    <x v="11"/>
  </r>
  <r>
    <s v="ENC100540"/>
    <s v="PT73812"/>
    <s v="Metro Regional"/>
    <s v="Midwest"/>
    <d v="2025-06-07T00:00:00"/>
    <d v="2025-06-11T00:00:00"/>
    <x v="8"/>
    <s v="Urgent"/>
    <s v="Injury"/>
    <n v="7"/>
    <s v="0-12"/>
    <s v="Male"/>
    <s v="Commercial"/>
    <n v="3.9"/>
    <n v="11586.44"/>
    <n v="0"/>
    <n v="4.0999999999999996"/>
    <n v="0.88"/>
    <x v="1"/>
  </r>
  <r>
    <s v="ENC100541"/>
    <s v="PT14985"/>
    <s v="Northgate General"/>
    <s v="Midwest"/>
    <d v="2025-09-29T00:00:00"/>
    <d v="2025-10-02T00:00:00"/>
    <x v="8"/>
    <s v="Emergency"/>
    <s v="Respiratory"/>
    <n v="6"/>
    <s v="0-12"/>
    <s v="Male"/>
    <s v="Medicare"/>
    <n v="2.1"/>
    <n v="5029.68"/>
    <n v="1"/>
    <n v="3.7"/>
    <n v="0.89"/>
    <x v="6"/>
  </r>
  <r>
    <s v="ENC100542"/>
    <s v="PT27533"/>
    <s v="Metro Regional"/>
    <s v="West"/>
    <d v="2025-06-16T00:00:00"/>
    <d v="2025-06-18T00:00:00"/>
    <x v="3"/>
    <s v="Elective"/>
    <s v="Pediatric"/>
    <n v="3"/>
    <s v="0-12"/>
    <s v="Female"/>
    <s v="Commercial"/>
    <n v="2"/>
    <n v="3269.93"/>
    <n v="0"/>
    <n v="3.4"/>
    <n v="0.84"/>
    <x v="1"/>
  </r>
  <r>
    <s v="ENC100543"/>
    <s v="PT25717"/>
    <s v="St. Catherine Hospital"/>
    <s v="West"/>
    <d v="2025-01-09T00:00:00"/>
    <d v="2025-01-17T00:00:00"/>
    <x v="9"/>
    <s v="Emergency"/>
    <s v="Infectious"/>
    <n v="31"/>
    <s v="18-34"/>
    <s v="Female"/>
    <s v="Commercial"/>
    <n v="7.1"/>
    <n v="15880.33"/>
    <n v="0"/>
    <n v="4.5999999999999996"/>
    <n v="0.79"/>
    <x v="8"/>
  </r>
  <r>
    <s v="ENC100544"/>
    <s v="PT84788"/>
    <s v="Northgate General"/>
    <s v="West"/>
    <d v="2025-03-18T00:00:00"/>
    <d v="2025-03-24T00:00:00"/>
    <x v="2"/>
    <s v="Emergency"/>
    <s v="Injury"/>
    <n v="55"/>
    <s v="50-64"/>
    <s v="Male"/>
    <s v="Medicare"/>
    <n v="5.0999999999999996"/>
    <n v="11046.62"/>
    <n v="0"/>
    <n v="4.3"/>
    <n v="0.79"/>
    <x v="11"/>
  </r>
  <r>
    <s v="ENC100545"/>
    <s v="PT14804"/>
    <s v="Metro Regional"/>
    <s v="South"/>
    <d v="2025-12-24T00:00:00"/>
    <d v="2026-01-02T00:00:00"/>
    <x v="4"/>
    <s v="Emergency"/>
    <s v="Respiratory"/>
    <n v="89"/>
    <s v="75+"/>
    <s v="Female"/>
    <s v="Commercial"/>
    <n v="8.1999999999999993"/>
    <n v="38184.769999999997"/>
    <n v="1"/>
    <n v="4.3"/>
    <n v="0.8"/>
    <x v="2"/>
  </r>
  <r>
    <s v="ENC100546"/>
    <s v="PT48632"/>
    <s v="Riverside Medical Center"/>
    <s v="South"/>
    <d v="2025-12-27T00:00:00"/>
    <d v="2025-12-30T00:00:00"/>
    <x v="2"/>
    <s v="Emergency"/>
    <s v="GI"/>
    <n v="41"/>
    <s v="35-49"/>
    <s v="Male"/>
    <s v="Commercial"/>
    <n v="2.8"/>
    <n v="6107.21"/>
    <n v="0"/>
    <n v="3.5"/>
    <n v="0.82"/>
    <x v="2"/>
  </r>
  <r>
    <s v="ENC100547"/>
    <s v="PT63202"/>
    <s v="St. Catherine Hospital"/>
    <s v="South"/>
    <d v="2025-05-18T00:00:00"/>
    <d v="2025-05-21T00:00:00"/>
    <x v="0"/>
    <s v="Elective"/>
    <s v="Maternal"/>
    <n v="16"/>
    <s v="13-17"/>
    <s v="Male"/>
    <s v="Medicare"/>
    <n v="2.4"/>
    <n v="4915.16"/>
    <n v="1"/>
    <n v="3.9"/>
    <n v="0.73"/>
    <x v="10"/>
  </r>
  <r>
    <s v="ENC100548"/>
    <s v="PT56439"/>
    <s v="Lakeside Health"/>
    <s v="Northeast"/>
    <d v="2025-10-21T00:00:00"/>
    <d v="2025-10-26T00:00:00"/>
    <x v="5"/>
    <s v="Urgent"/>
    <s v="GI"/>
    <n v="33"/>
    <s v="18-34"/>
    <s v="Female"/>
    <s v="Medicare"/>
    <n v="4.8"/>
    <n v="10160.379999999999"/>
    <n v="0"/>
    <n v="4.0999999999999996"/>
    <n v="0.73"/>
    <x v="3"/>
  </r>
  <r>
    <s v="ENC100549"/>
    <s v="PT71263"/>
    <s v="Northgate General"/>
    <s v="West"/>
    <d v="2025-09-20T00:00:00"/>
    <d v="2025-09-22T00:00:00"/>
    <x v="5"/>
    <s v="Urgent"/>
    <s v="Cardiac"/>
    <n v="11"/>
    <s v="0-12"/>
    <s v="Female"/>
    <s v="Commercial"/>
    <n v="1.5"/>
    <n v="4396.09"/>
    <n v="0"/>
    <n v="3.6"/>
    <n v="0.78"/>
    <x v="6"/>
  </r>
  <r>
    <s v="ENC100550"/>
    <s v="PT82278"/>
    <s v="Metro Regional"/>
    <s v="West"/>
    <d v="2025-12-06T00:00:00"/>
    <d v="2025-12-19T00:00:00"/>
    <x v="4"/>
    <s v="Emergency"/>
    <s v="Other"/>
    <n v="42"/>
    <s v="35-49"/>
    <s v="Male"/>
    <s v="Commercial"/>
    <n v="12.3"/>
    <n v="56483.55"/>
    <n v="0"/>
    <n v="3.5"/>
    <n v="0.88"/>
    <x v="2"/>
  </r>
  <r>
    <s v="ENC100551"/>
    <s v="PT45426"/>
    <s v="Northgate General"/>
    <s v="Northeast"/>
    <d v="2025-11-20T00:00:00"/>
    <d v="2025-11-23T00:00:00"/>
    <x v="8"/>
    <s v="Elective"/>
    <s v="Maternal"/>
    <n v="66"/>
    <s v="65-74"/>
    <s v="Female"/>
    <s v="Medicare"/>
    <n v="2.2000000000000002"/>
    <n v="5246.84"/>
    <n v="0"/>
    <n v="3.5"/>
    <n v="0.82"/>
    <x v="0"/>
  </r>
  <r>
    <s v="ENC100552"/>
    <s v="PT84538"/>
    <s v="Metro Regional"/>
    <s v="West"/>
    <d v="2025-08-18T00:00:00"/>
    <d v="2025-08-28T00:00:00"/>
    <x v="1"/>
    <s v="Emergency"/>
    <s v="GI"/>
    <n v="3"/>
    <s v="0-12"/>
    <s v="Male"/>
    <s v="Medicare"/>
    <n v="9.6"/>
    <n v="27741.52"/>
    <n v="1"/>
    <n v="3.9"/>
    <n v="0.8"/>
    <x v="4"/>
  </r>
  <r>
    <s v="ENC100553"/>
    <s v="PT38618"/>
    <s v="Riverside Medical Center"/>
    <s v="West"/>
    <d v="2025-05-25T00:00:00"/>
    <d v="2025-05-29T00:00:00"/>
    <x v="1"/>
    <s v="Urgent"/>
    <s v="GI"/>
    <n v="70"/>
    <s v="65-74"/>
    <s v="Female"/>
    <s v="Medicare"/>
    <n v="3.8"/>
    <n v="11143.13"/>
    <n v="0"/>
    <n v="3.1"/>
    <n v="0.9"/>
    <x v="10"/>
  </r>
  <r>
    <s v="ENC100554"/>
    <s v="PT98597"/>
    <s v="Riverside Medical Center"/>
    <s v="Midwest"/>
    <d v="2025-08-17T00:00:00"/>
    <d v="2025-08-23T00:00:00"/>
    <x v="6"/>
    <s v="Emergency"/>
    <s v="Other"/>
    <n v="20"/>
    <s v="18-34"/>
    <s v="Female"/>
    <s v="Medicare"/>
    <n v="5.7"/>
    <n v="9640.5"/>
    <n v="0"/>
    <n v="4.2"/>
    <n v="0.83"/>
    <x v="4"/>
  </r>
  <r>
    <s v="ENC100555"/>
    <s v="PT55406"/>
    <s v="Northgate General"/>
    <s v="West"/>
    <d v="2025-04-27T00:00:00"/>
    <d v="2025-05-01T00:00:00"/>
    <x v="0"/>
    <s v="Emergency"/>
    <s v="Other"/>
    <n v="61"/>
    <s v="50-64"/>
    <s v="Female"/>
    <s v="Commercial"/>
    <n v="3.6"/>
    <n v="6948.06"/>
    <n v="0"/>
    <n v="4.0999999999999996"/>
    <n v="0.79"/>
    <x v="7"/>
  </r>
  <r>
    <s v="ENC100556"/>
    <s v="PT76240"/>
    <s v="Metro Regional"/>
    <s v="Northeast"/>
    <d v="2025-05-08T00:00:00"/>
    <d v="2025-05-09T00:00:00"/>
    <x v="3"/>
    <s v="Emergency"/>
    <s v="Infectious"/>
    <n v="74"/>
    <s v="65-74"/>
    <s v="Female"/>
    <s v="Medicaid"/>
    <n v="0.3"/>
    <n v="546.32000000000005"/>
    <n v="0"/>
    <n v="3.6"/>
    <n v="0.78"/>
    <x v="10"/>
  </r>
  <r>
    <s v="ENC100557"/>
    <s v="PT88749"/>
    <s v="Riverside Medical Center"/>
    <s v="Northeast"/>
    <d v="2025-08-11T00:00:00"/>
    <d v="2025-08-17T00:00:00"/>
    <x v="9"/>
    <s v="Emergency"/>
    <s v="Cancer"/>
    <n v="70"/>
    <s v="65-74"/>
    <s v="Male"/>
    <s v="Commercial"/>
    <n v="5.8"/>
    <n v="15007.53"/>
    <n v="0"/>
    <n v="4.2"/>
    <n v="0.8"/>
    <x v="4"/>
  </r>
  <r>
    <s v="ENC100558"/>
    <s v="PT81337"/>
    <s v="Metro Regional"/>
    <s v="Midwest"/>
    <d v="2025-07-28T00:00:00"/>
    <d v="2025-07-30T00:00:00"/>
    <x v="1"/>
    <s v="Emergency"/>
    <s v="Injury"/>
    <n v="60"/>
    <s v="50-64"/>
    <s v="Female"/>
    <s v="Medicare"/>
    <n v="1.9"/>
    <n v="5879.8"/>
    <n v="0"/>
    <n v="3.7"/>
    <n v="0.88"/>
    <x v="5"/>
  </r>
  <r>
    <s v="ENC100559"/>
    <s v="PT86600"/>
    <s v="Northgate General"/>
    <s v="South"/>
    <d v="2025-08-01T00:00:00"/>
    <d v="2025-08-03T00:00:00"/>
    <x v="9"/>
    <s v="Urgent"/>
    <s v="Pediatric"/>
    <n v="63"/>
    <s v="50-64"/>
    <s v="Male"/>
    <s v="Commercial"/>
    <n v="1.5"/>
    <n v="2750.29"/>
    <n v="0"/>
    <n v="3.5"/>
    <n v="0.79"/>
    <x v="4"/>
  </r>
  <r>
    <s v="ENC100560"/>
    <s v="PT58285"/>
    <s v="St. Catherine Hospital"/>
    <s v="Midwest"/>
    <d v="2025-05-21T00:00:00"/>
    <d v="2025-05-23T00:00:00"/>
    <x v="6"/>
    <s v="Elective"/>
    <s v="GI"/>
    <n v="17"/>
    <s v="13-17"/>
    <s v="Male"/>
    <s v="Medicare"/>
    <n v="1.8"/>
    <n v="3633.17"/>
    <n v="1"/>
    <n v="4.2"/>
    <n v="0.8"/>
    <x v="10"/>
  </r>
  <r>
    <s v="ENC100561"/>
    <s v="PT13912"/>
    <s v="Northgate General"/>
    <s v="West"/>
    <d v="2025-05-30T00:00:00"/>
    <d v="2025-05-31T00:00:00"/>
    <x v="8"/>
    <s v="Urgent"/>
    <s v="Respiratory"/>
    <n v="12"/>
    <s v="0-12"/>
    <s v="Female"/>
    <s v="Commercial"/>
    <n v="0.7"/>
    <n v="2092.9299999999998"/>
    <n v="0"/>
    <n v="4.3"/>
    <n v="0.79"/>
    <x v="10"/>
  </r>
  <r>
    <s v="ENC100562"/>
    <s v="PT54377"/>
    <s v="Riverside Medical Center"/>
    <s v="Northeast"/>
    <d v="2025-01-04T00:00:00"/>
    <d v="2025-01-08T00:00:00"/>
    <x v="8"/>
    <s v="Emergency"/>
    <s v="Cardiac"/>
    <n v="34"/>
    <s v="18-34"/>
    <s v="Female"/>
    <s v="Medicaid"/>
    <n v="4"/>
    <n v="10756.43"/>
    <n v="0"/>
    <n v="3.6"/>
    <n v="0.76"/>
    <x v="8"/>
  </r>
  <r>
    <s v="ENC100563"/>
    <s v="PT26334"/>
    <s v="Metro Regional"/>
    <s v="Northeast"/>
    <d v="2025-08-08T00:00:00"/>
    <d v="2025-08-11T00:00:00"/>
    <x v="3"/>
    <s v="Elective"/>
    <s v="Other"/>
    <n v="55"/>
    <s v="50-64"/>
    <s v="Male"/>
    <s v="Commercial"/>
    <n v="2.1"/>
    <n v="3387.65"/>
    <n v="0"/>
    <n v="3.3"/>
    <n v="0.84"/>
    <x v="4"/>
  </r>
  <r>
    <s v="ENC100564"/>
    <s v="PT90019"/>
    <s v="St. Catherine Hospital"/>
    <s v="South"/>
    <d v="2025-07-30T00:00:00"/>
    <d v="2025-08-02T00:00:00"/>
    <x v="3"/>
    <s v="Emergency"/>
    <s v="Other"/>
    <n v="56"/>
    <s v="50-64"/>
    <s v="Male"/>
    <s v="Medicare"/>
    <n v="2.8"/>
    <n v="4450.75"/>
    <n v="0"/>
    <n v="3.6"/>
    <n v="0.86"/>
    <x v="5"/>
  </r>
  <r>
    <s v="ENC100565"/>
    <s v="PT31306"/>
    <s v="Lakeside Health"/>
    <s v="Northeast"/>
    <d v="2025-12-08T00:00:00"/>
    <d v="2025-12-09T00:00:00"/>
    <x v="3"/>
    <s v="Emergency"/>
    <s v="Other"/>
    <n v="70"/>
    <s v="65-74"/>
    <s v="Male"/>
    <s v="Commercial"/>
    <n v="0.9"/>
    <n v="1616.22"/>
    <n v="0"/>
    <n v="3.4"/>
    <n v="0.79"/>
    <x v="2"/>
  </r>
  <r>
    <s v="ENC100566"/>
    <s v="PT30526"/>
    <s v="St. Catherine Hospital"/>
    <s v="South"/>
    <d v="2025-07-04T00:00:00"/>
    <d v="2025-07-07T00:00:00"/>
    <x v="9"/>
    <s v="Emergency"/>
    <s v="Cancer"/>
    <n v="28"/>
    <s v="18-34"/>
    <s v="Female"/>
    <s v="Commercial"/>
    <n v="2.2999999999999998"/>
    <n v="5644.88"/>
    <n v="0"/>
    <n v="4.8"/>
    <n v="0.79"/>
    <x v="5"/>
  </r>
  <r>
    <s v="ENC100567"/>
    <s v="PT32444"/>
    <s v="St. Catherine Hospital"/>
    <s v="Midwest"/>
    <d v="2025-06-20T00:00:00"/>
    <d v="2025-06-22T00:00:00"/>
    <x v="3"/>
    <s v="Emergency"/>
    <s v="Maternal"/>
    <n v="78"/>
    <s v="75+"/>
    <s v="Male"/>
    <s v="Commercial"/>
    <n v="1.9"/>
    <n v="2871.67"/>
    <n v="1"/>
    <n v="3.9"/>
    <n v="0.86"/>
    <x v="1"/>
  </r>
  <r>
    <s v="ENC100568"/>
    <s v="PT67830"/>
    <s v="Lakeside Health"/>
    <s v="West"/>
    <d v="2025-01-25T00:00:00"/>
    <d v="2025-01-26T00:00:00"/>
    <x v="3"/>
    <s v="Elective"/>
    <s v="Pediatric"/>
    <n v="40"/>
    <s v="35-49"/>
    <s v="Female"/>
    <s v="Medicare"/>
    <n v="0.9"/>
    <n v="1457.66"/>
    <n v="0"/>
    <n v="3.7"/>
    <n v="0.7"/>
    <x v="8"/>
  </r>
  <r>
    <s v="ENC100569"/>
    <s v="PT61410"/>
    <s v="Metro Regional"/>
    <s v="South"/>
    <d v="2025-03-13T00:00:00"/>
    <d v="2025-03-22T00:00:00"/>
    <x v="1"/>
    <s v="Emergency"/>
    <s v="Injury"/>
    <n v="22"/>
    <s v="18-34"/>
    <s v="Male"/>
    <s v="Medicare"/>
    <n v="8.1999999999999993"/>
    <n v="27562.76"/>
    <n v="0"/>
    <n v="3.1"/>
    <n v="0.8"/>
    <x v="11"/>
  </r>
  <r>
    <s v="ENC100570"/>
    <s v="PT95394"/>
    <s v="Lakeside Health"/>
    <s v="Northeast"/>
    <d v="2025-05-04T00:00:00"/>
    <d v="2025-05-06T00:00:00"/>
    <x v="0"/>
    <s v="Emergency"/>
    <s v="Cardiac"/>
    <n v="66"/>
    <s v="65-74"/>
    <s v="Female"/>
    <s v="Self-Pay"/>
    <n v="2"/>
    <n v="4187.72"/>
    <n v="0"/>
    <n v="4.3"/>
    <n v="0.82"/>
    <x v="10"/>
  </r>
  <r>
    <s v="ENC100571"/>
    <s v="PT47463"/>
    <s v="St. Catherine Hospital"/>
    <s v="Northeast"/>
    <d v="2025-05-18T00:00:00"/>
    <d v="2025-05-20T00:00:00"/>
    <x v="2"/>
    <s v="Elective"/>
    <s v="Other"/>
    <n v="11"/>
    <s v="0-12"/>
    <s v="Male"/>
    <s v="Medicare"/>
    <n v="1.3"/>
    <n v="2846.04"/>
    <n v="0"/>
    <n v="3.5"/>
    <n v="0.82"/>
    <x v="10"/>
  </r>
  <r>
    <s v="ENC100572"/>
    <s v="PT35404"/>
    <s v="Lakeside Health"/>
    <s v="Northeast"/>
    <d v="2025-05-13T00:00:00"/>
    <d v="2025-05-21T00:00:00"/>
    <x v="4"/>
    <s v="Emergency"/>
    <s v="Respiratory"/>
    <n v="36"/>
    <s v="35-49"/>
    <s v="Female"/>
    <s v="Self-Pay"/>
    <n v="7.2"/>
    <n v="23634.86"/>
    <n v="0"/>
    <n v="3.2"/>
    <n v="0.74"/>
    <x v="10"/>
  </r>
  <r>
    <s v="ENC100573"/>
    <s v="PT14432"/>
    <s v="Lakeside Health"/>
    <s v="West"/>
    <d v="2025-05-24T00:00:00"/>
    <d v="2025-05-25T00:00:00"/>
    <x v="1"/>
    <s v="Urgent"/>
    <s v="Infectious"/>
    <n v="71"/>
    <s v="65-74"/>
    <s v="Male"/>
    <s v="Commercial"/>
    <n v="0.9"/>
    <n v="3066.94"/>
    <n v="0"/>
    <n v="4.4000000000000004"/>
    <n v="0.75"/>
    <x v="10"/>
  </r>
  <r>
    <s v="ENC100574"/>
    <s v="PT10636"/>
    <s v="St. Catherine Hospital"/>
    <s v="South"/>
    <d v="2025-10-08T00:00:00"/>
    <d v="2025-10-16T00:00:00"/>
    <x v="4"/>
    <s v="Emergency"/>
    <s v="GI"/>
    <n v="70"/>
    <s v="65-74"/>
    <s v="Female"/>
    <s v="Medicaid"/>
    <n v="7.1"/>
    <n v="26705.15"/>
    <n v="0"/>
    <n v="3.8"/>
    <n v="0.77"/>
    <x v="3"/>
  </r>
  <r>
    <s v="ENC100575"/>
    <s v="PT43624"/>
    <s v="Lakeside Health"/>
    <s v="Midwest"/>
    <d v="2025-02-17T00:00:00"/>
    <d v="2025-02-20T00:00:00"/>
    <x v="0"/>
    <s v="Elective"/>
    <s v="GI"/>
    <n v="23"/>
    <s v="18-34"/>
    <s v="Male"/>
    <s v="Medicare"/>
    <n v="2.6"/>
    <n v="5244.06"/>
    <n v="0"/>
    <n v="2.4"/>
    <n v="0.76"/>
    <x v="9"/>
  </r>
  <r>
    <s v="ENC100576"/>
    <s v="PT93322"/>
    <s v="St. Catherine Hospital"/>
    <s v="Northeast"/>
    <d v="2025-05-02T00:00:00"/>
    <d v="2025-05-04T00:00:00"/>
    <x v="2"/>
    <s v="Elective"/>
    <s v="Injury"/>
    <n v="15"/>
    <s v="13-17"/>
    <s v="Female"/>
    <s v="Medicare"/>
    <n v="1.4"/>
    <n v="3041.14"/>
    <n v="0"/>
    <n v="3.8"/>
    <n v="0.81"/>
    <x v="10"/>
  </r>
  <r>
    <s v="ENC100577"/>
    <s v="PT57137"/>
    <s v="Lakeside Health"/>
    <s v="West"/>
    <d v="2025-03-01T00:00:00"/>
    <d v="2025-03-06T00:00:00"/>
    <x v="5"/>
    <s v="Elective"/>
    <s v="GI"/>
    <n v="2"/>
    <s v="0-12"/>
    <s v="Male"/>
    <s v="Self-Pay"/>
    <n v="4.5"/>
    <n v="10173.11"/>
    <n v="0"/>
    <n v="4"/>
    <n v="0.75"/>
    <x v="11"/>
  </r>
  <r>
    <s v="ENC100578"/>
    <s v="PT90418"/>
    <s v="Metro Regional"/>
    <s v="Northeast"/>
    <d v="2025-04-23T00:00:00"/>
    <d v="2025-04-25T00:00:00"/>
    <x v="6"/>
    <s v="Elective"/>
    <s v="Cardiac"/>
    <n v="8"/>
    <s v="0-12"/>
    <s v="Female"/>
    <s v="Medicare"/>
    <n v="2"/>
    <n v="3792.64"/>
    <n v="0"/>
    <n v="3.7"/>
    <n v="0.79"/>
    <x v="7"/>
  </r>
  <r>
    <s v="ENC100579"/>
    <s v="PT19150"/>
    <s v="Metro Regional"/>
    <s v="South"/>
    <d v="2025-09-07T00:00:00"/>
    <d v="2025-09-09T00:00:00"/>
    <x v="5"/>
    <s v="Urgent"/>
    <s v="Pediatric"/>
    <n v="75"/>
    <s v="75+"/>
    <s v="Female"/>
    <s v="Medicaid"/>
    <n v="1.9"/>
    <n v="4835.32"/>
    <n v="1"/>
    <n v="4"/>
    <n v="0.85"/>
    <x v="6"/>
  </r>
  <r>
    <s v="ENC100580"/>
    <s v="PT18398"/>
    <s v="Metro Regional"/>
    <s v="South"/>
    <d v="2025-01-18T00:00:00"/>
    <d v="2025-01-19T00:00:00"/>
    <x v="8"/>
    <s v="Elective"/>
    <s v="Cardiac"/>
    <n v="71"/>
    <s v="65-74"/>
    <s v="Male"/>
    <s v="Medicaid"/>
    <n v="0.7"/>
    <n v="1841.15"/>
    <n v="0"/>
    <n v="2.8"/>
    <n v="0.82"/>
    <x v="8"/>
  </r>
  <r>
    <s v="ENC100581"/>
    <s v="PT85010"/>
    <s v="Lakeside Health"/>
    <s v="Northeast"/>
    <d v="2025-05-04T00:00:00"/>
    <d v="2025-05-05T00:00:00"/>
    <x v="2"/>
    <s v="Emergency"/>
    <s v="GI"/>
    <n v="46"/>
    <s v="35-49"/>
    <s v="Female"/>
    <s v="Commercial"/>
    <n v="0.9"/>
    <n v="1814.68"/>
    <n v="0"/>
    <n v="2.2000000000000002"/>
    <n v="0.71"/>
    <x v="10"/>
  </r>
  <r>
    <s v="ENC100582"/>
    <s v="PT19606"/>
    <s v="Lakeside Health"/>
    <s v="Midwest"/>
    <d v="2025-01-09T00:00:00"/>
    <d v="2025-01-17T00:00:00"/>
    <x v="6"/>
    <s v="Emergency"/>
    <s v="Maternal"/>
    <n v="51"/>
    <s v="50-64"/>
    <s v="Female"/>
    <s v="Medicare"/>
    <n v="7.9"/>
    <n v="18300.21"/>
    <n v="0"/>
    <n v="3.1"/>
    <n v="0.8"/>
    <x v="8"/>
  </r>
  <r>
    <s v="ENC100583"/>
    <s v="PT14676"/>
    <s v="Riverside Medical Center"/>
    <s v="Northeast"/>
    <d v="2025-12-15T00:00:00"/>
    <d v="2025-12-16T00:00:00"/>
    <x v="3"/>
    <s v="Elective"/>
    <s v="Cardiac"/>
    <n v="29"/>
    <s v="18-34"/>
    <s v="Male"/>
    <s v="Medicare"/>
    <n v="0.8"/>
    <n v="1446.23"/>
    <n v="0"/>
    <n v="3.9"/>
    <n v="0.91"/>
    <x v="2"/>
  </r>
  <r>
    <s v="ENC100584"/>
    <s v="PT46367"/>
    <s v="St. Catherine Hospital"/>
    <s v="Midwest"/>
    <d v="2025-09-23T00:00:00"/>
    <d v="2025-09-28T00:00:00"/>
    <x v="8"/>
    <s v="Emergency"/>
    <s v="Cardiac"/>
    <n v="17"/>
    <s v="13-17"/>
    <s v="Male"/>
    <s v="Medicaid"/>
    <n v="4.5"/>
    <n v="11145.01"/>
    <n v="0"/>
    <n v="2"/>
    <n v="0.88"/>
    <x v="6"/>
  </r>
  <r>
    <s v="ENC100585"/>
    <s v="PT93234"/>
    <s v="Northgate General"/>
    <s v="West"/>
    <d v="2025-03-30T00:00:00"/>
    <d v="2025-04-03T00:00:00"/>
    <x v="1"/>
    <s v="Emergency"/>
    <s v="Maternal"/>
    <n v="1"/>
    <s v="0-12"/>
    <s v="Male"/>
    <s v="Medicaid"/>
    <n v="3.1"/>
    <n v="8192.9599999999991"/>
    <n v="0"/>
    <n v="3.4"/>
    <n v="0.81"/>
    <x v="11"/>
  </r>
  <r>
    <s v="ENC100586"/>
    <s v="PT72043"/>
    <s v="Riverside Medical Center"/>
    <s v="South"/>
    <d v="2025-03-14T00:00:00"/>
    <d v="2025-03-23T00:00:00"/>
    <x v="6"/>
    <s v="Emergency"/>
    <s v="Respiratory"/>
    <n v="61"/>
    <s v="50-64"/>
    <s v="Female"/>
    <s v="Commercial"/>
    <n v="8.1"/>
    <n v="21288.79"/>
    <n v="1"/>
    <n v="2.5"/>
    <n v="0.81"/>
    <x v="11"/>
  </r>
  <r>
    <s v="ENC100587"/>
    <s v="PT18920"/>
    <s v="Metro Regional"/>
    <s v="West"/>
    <d v="2025-02-06T00:00:00"/>
    <d v="2025-02-08T00:00:00"/>
    <x v="2"/>
    <s v="Emergency"/>
    <s v="Cardiac"/>
    <n v="3"/>
    <s v="0-12"/>
    <s v="Female"/>
    <s v="Commercial"/>
    <n v="1.5"/>
    <n v="3459.51"/>
    <n v="0"/>
    <n v="3.8"/>
    <n v="0.84"/>
    <x v="9"/>
  </r>
  <r>
    <s v="ENC100588"/>
    <s v="PT85340"/>
    <s v="Metro Regional"/>
    <s v="South"/>
    <d v="2025-06-22T00:00:00"/>
    <d v="2025-06-26T00:00:00"/>
    <x v="1"/>
    <s v="Emergency"/>
    <s v="Neurological"/>
    <n v="9"/>
    <s v="0-12"/>
    <s v="Male"/>
    <s v="Commercial"/>
    <n v="3.8"/>
    <n v="12202.3"/>
    <n v="0"/>
    <n v="5"/>
    <n v="0.86"/>
    <x v="1"/>
  </r>
  <r>
    <s v="ENC100589"/>
    <s v="PT85920"/>
    <s v="St. Catherine Hospital"/>
    <s v="Northeast"/>
    <d v="2025-10-03T00:00:00"/>
    <d v="2025-10-04T00:00:00"/>
    <x v="3"/>
    <s v="Elective"/>
    <s v="Other"/>
    <n v="72"/>
    <s v="65-74"/>
    <s v="Female"/>
    <s v="Medicare"/>
    <n v="0.6"/>
    <n v="1095.3399999999999"/>
    <n v="0"/>
    <n v="3.6"/>
    <n v="0.78"/>
    <x v="3"/>
  </r>
  <r>
    <s v="ENC100590"/>
    <s v="PT82061"/>
    <s v="Northgate General"/>
    <s v="South"/>
    <d v="2025-08-02T00:00:00"/>
    <d v="2025-08-08T00:00:00"/>
    <x v="2"/>
    <s v="Elective"/>
    <s v="Infectious"/>
    <n v="53"/>
    <s v="50-64"/>
    <s v="Male"/>
    <s v="Commercial"/>
    <n v="5.6"/>
    <n v="12872.32"/>
    <n v="0"/>
    <n v="3.8"/>
    <n v="0.83"/>
    <x v="4"/>
  </r>
  <r>
    <s v="ENC100591"/>
    <s v="PT91237"/>
    <s v="Lakeside Health"/>
    <s v="Midwest"/>
    <d v="2025-11-18T00:00:00"/>
    <d v="2025-11-22T00:00:00"/>
    <x v="6"/>
    <s v="Elective"/>
    <s v="Cancer"/>
    <n v="44"/>
    <s v="35-49"/>
    <s v="Female"/>
    <s v="Medicaid"/>
    <n v="3.3"/>
    <n v="8127.09"/>
    <n v="1"/>
    <n v="4.4000000000000004"/>
    <n v="0.67"/>
    <x v="0"/>
  </r>
  <r>
    <s v="ENC100592"/>
    <s v="PT31588"/>
    <s v="St. Catherine Hospital"/>
    <s v="Northeast"/>
    <d v="2025-05-06T00:00:00"/>
    <d v="2025-05-10T00:00:00"/>
    <x v="8"/>
    <s v="Emergency"/>
    <s v="Other"/>
    <n v="19"/>
    <s v="18-34"/>
    <s v="Male"/>
    <s v="Medicare"/>
    <n v="3.5"/>
    <n v="8931.83"/>
    <n v="0"/>
    <n v="3.9"/>
    <n v="0.79"/>
    <x v="10"/>
  </r>
  <r>
    <s v="ENC100593"/>
    <s v="PT98160"/>
    <s v="Metro Regional"/>
    <s v="Midwest"/>
    <d v="2025-04-12T00:00:00"/>
    <d v="2025-04-13T00:00:00"/>
    <x v="2"/>
    <s v="Emergency"/>
    <s v="Neurological"/>
    <n v="13"/>
    <s v="13-17"/>
    <s v="Male"/>
    <s v="Medicaid"/>
    <n v="1"/>
    <n v="2015.86"/>
    <n v="0"/>
    <n v="3.8"/>
    <n v="0.87"/>
    <x v="7"/>
  </r>
  <r>
    <s v="ENC100594"/>
    <s v="PT38862"/>
    <s v="Metro Regional"/>
    <s v="South"/>
    <d v="2025-06-24T00:00:00"/>
    <d v="2025-07-07T00:00:00"/>
    <x v="1"/>
    <s v="Elective"/>
    <s v="Cancer"/>
    <n v="42"/>
    <s v="35-49"/>
    <s v="Female"/>
    <s v="Commercial"/>
    <n v="12.3"/>
    <n v="44705.34"/>
    <n v="0"/>
    <n v="4.3"/>
    <n v="0.81"/>
    <x v="1"/>
  </r>
  <r>
    <s v="ENC100595"/>
    <s v="PT82181"/>
    <s v="Northgate General"/>
    <s v="South"/>
    <d v="2025-03-15T00:00:00"/>
    <d v="2025-03-18T00:00:00"/>
    <x v="6"/>
    <s v="Emergency"/>
    <s v="Cancer"/>
    <n v="32"/>
    <s v="18-34"/>
    <s v="Female"/>
    <s v="Medicare"/>
    <n v="2.5"/>
    <n v="6745.44"/>
    <n v="0"/>
    <n v="4.2"/>
    <n v="0.77"/>
    <x v="11"/>
  </r>
  <r>
    <s v="ENC100596"/>
    <s v="PT62142"/>
    <s v="Northgate General"/>
    <s v="Northeast"/>
    <d v="2025-12-23T00:00:00"/>
    <d v="2025-12-24T00:00:00"/>
    <x v="0"/>
    <s v="Elective"/>
    <s v="Injury"/>
    <n v="48"/>
    <s v="35-49"/>
    <s v="Female"/>
    <s v="Commercial"/>
    <n v="0.8"/>
    <n v="1590.67"/>
    <n v="0"/>
    <n v="4.0999999999999996"/>
    <n v="0.8"/>
    <x v="2"/>
  </r>
  <r>
    <s v="ENC100597"/>
    <s v="PT80152"/>
    <s v="Northgate General"/>
    <s v="West"/>
    <d v="2025-03-09T00:00:00"/>
    <d v="2025-03-10T00:00:00"/>
    <x v="6"/>
    <s v="Emergency"/>
    <s v="Injury"/>
    <n v="15"/>
    <s v="13-17"/>
    <s v="Female"/>
    <s v="Medicaid"/>
    <n v="0.6"/>
    <n v="1392.78"/>
    <n v="0"/>
    <n v="3.8"/>
    <n v="0.84"/>
    <x v="11"/>
  </r>
  <r>
    <s v="ENC100598"/>
    <s v="PT66503"/>
    <s v="Riverside Medical Center"/>
    <s v="Midwest"/>
    <d v="2025-06-24T00:00:00"/>
    <d v="2025-06-25T00:00:00"/>
    <x v="0"/>
    <s v="Urgent"/>
    <s v="GI"/>
    <n v="21"/>
    <s v="18-34"/>
    <s v="Male"/>
    <s v="Commercial"/>
    <n v="0.6"/>
    <n v="1231.18"/>
    <n v="0"/>
    <n v="3.7"/>
    <n v="0.77"/>
    <x v="1"/>
  </r>
  <r>
    <s v="ENC100599"/>
    <s v="PT67822"/>
    <s v="Northgate General"/>
    <s v="Northeast"/>
    <d v="2025-07-10T00:00:00"/>
    <d v="2025-07-17T00:00:00"/>
    <x v="4"/>
    <s v="Emergency"/>
    <s v="Respiratory"/>
    <n v="10"/>
    <s v="0-12"/>
    <s v="Male"/>
    <s v="Commercial"/>
    <n v="6.2"/>
    <n v="29213.23"/>
    <n v="0"/>
    <n v="4.4000000000000004"/>
    <n v="0.73"/>
    <x v="5"/>
  </r>
  <r>
    <s v="ENC100600"/>
    <s v="PT65464"/>
    <s v="Riverside Medical Center"/>
    <s v="Northeast"/>
    <d v="2025-01-21T00:00:00"/>
    <d v="2025-02-02T00:00:00"/>
    <x v="4"/>
    <s v="Elective"/>
    <s v="GI"/>
    <n v="38"/>
    <s v="35-49"/>
    <s v="Female"/>
    <s v="Commercial"/>
    <n v="11.3"/>
    <n v="51516.99"/>
    <n v="0"/>
    <n v="3.4"/>
    <n v="0.78"/>
    <x v="8"/>
  </r>
  <r>
    <s v="ENC100601"/>
    <s v="PT80108"/>
    <s v="Riverside Medical Center"/>
    <s v="West"/>
    <d v="2025-06-20T00:00:00"/>
    <d v="2025-06-27T00:00:00"/>
    <x v="4"/>
    <s v="Elective"/>
    <s v="Cardiac"/>
    <n v="25"/>
    <s v="18-34"/>
    <s v="Female"/>
    <s v="Medicaid"/>
    <n v="6.9"/>
    <n v="29509.94"/>
    <n v="0"/>
    <n v="4.5"/>
    <n v="0.76"/>
    <x v="1"/>
  </r>
  <r>
    <s v="ENC100602"/>
    <s v="PT76513"/>
    <s v="Northgate General"/>
    <s v="Midwest"/>
    <d v="2025-06-15T00:00:00"/>
    <d v="2025-06-16T00:00:00"/>
    <x v="3"/>
    <s v="Emergency"/>
    <s v="Cancer"/>
    <n v="20"/>
    <s v="18-34"/>
    <s v="Male"/>
    <s v="Commercial"/>
    <n v="0.2"/>
    <n v="370.19"/>
    <n v="0"/>
    <n v="3.1"/>
    <n v="0.72"/>
    <x v="1"/>
  </r>
  <r>
    <s v="ENC100603"/>
    <s v="PT22109"/>
    <s v="Riverside Medical Center"/>
    <s v="Midwest"/>
    <d v="2025-04-05T00:00:00"/>
    <d v="2025-04-08T00:00:00"/>
    <x v="2"/>
    <s v="Elective"/>
    <s v="Cardiac"/>
    <n v="50"/>
    <s v="50-64"/>
    <s v="Female"/>
    <s v="Medicare"/>
    <n v="2.8"/>
    <n v="6363.18"/>
    <n v="0"/>
    <n v="4.8"/>
    <n v="0.78"/>
    <x v="7"/>
  </r>
  <r>
    <s v="ENC100604"/>
    <s v="PT84344"/>
    <s v="Lakeside Health"/>
    <s v="Northeast"/>
    <d v="2025-02-16T00:00:00"/>
    <d v="2025-02-24T00:00:00"/>
    <x v="2"/>
    <s v="Emergency"/>
    <s v="Infectious"/>
    <n v="45"/>
    <s v="35-49"/>
    <s v="Female"/>
    <s v="Medicaid"/>
    <n v="7.6"/>
    <n v="14127.52"/>
    <n v="0"/>
    <n v="4"/>
    <n v="0.8"/>
    <x v="9"/>
  </r>
  <r>
    <s v="ENC100605"/>
    <s v="PT58245"/>
    <s v="Riverside Medical Center"/>
    <s v="South"/>
    <d v="2025-01-17T00:00:00"/>
    <d v="2025-01-20T00:00:00"/>
    <x v="2"/>
    <s v="Elective"/>
    <s v="GI"/>
    <n v="19"/>
    <s v="18-34"/>
    <s v="Male"/>
    <s v="Medicaid"/>
    <n v="2.1"/>
    <n v="4215.75"/>
    <n v="0"/>
    <n v="3.3"/>
    <n v="0.81"/>
    <x v="8"/>
  </r>
  <r>
    <s v="ENC100606"/>
    <s v="PT39077"/>
    <s v="Metro Regional"/>
    <s v="West"/>
    <d v="2025-01-04T00:00:00"/>
    <d v="2025-01-06T00:00:00"/>
    <x v="3"/>
    <s v="Elective"/>
    <s v="Injury"/>
    <n v="63"/>
    <s v="50-64"/>
    <s v="Female"/>
    <s v="Commercial"/>
    <n v="1.2"/>
    <n v="1900.71"/>
    <n v="0"/>
    <n v="4"/>
    <n v="0.84"/>
    <x v="8"/>
  </r>
  <r>
    <s v="ENC100607"/>
    <s v="PT56279"/>
    <s v="Northgate General"/>
    <s v="Midwest"/>
    <d v="2025-06-25T00:00:00"/>
    <d v="2025-06-28T00:00:00"/>
    <x v="5"/>
    <s v="Emergency"/>
    <s v="Cardiac"/>
    <n v="31"/>
    <s v="18-34"/>
    <s v="Female"/>
    <s v="Commercial"/>
    <n v="3"/>
    <n v="7953.73"/>
    <n v="0"/>
    <n v="3.5"/>
    <n v="0.74"/>
    <x v="1"/>
  </r>
  <r>
    <s v="ENC100608"/>
    <s v="PT97027"/>
    <s v="Riverside Medical Center"/>
    <s v="West"/>
    <d v="2025-02-02T00:00:00"/>
    <d v="2025-02-09T00:00:00"/>
    <x v="7"/>
    <s v="Emergency"/>
    <s v="Cardiac"/>
    <n v="31"/>
    <s v="18-34"/>
    <s v="Male"/>
    <s v="Medicare"/>
    <n v="6.8"/>
    <n v="23269.87"/>
    <n v="1"/>
    <n v="3.9"/>
    <n v="0.85"/>
    <x v="9"/>
  </r>
  <r>
    <s v="ENC100609"/>
    <s v="PT87180"/>
    <s v="Riverside Medical Center"/>
    <s v="Northeast"/>
    <d v="2025-12-17T00:00:00"/>
    <d v="2025-12-18T00:00:00"/>
    <x v="3"/>
    <s v="Elective"/>
    <s v="Pediatric"/>
    <n v="43"/>
    <s v="35-49"/>
    <s v="Female"/>
    <s v="Commercial"/>
    <n v="0.5"/>
    <n v="908.04"/>
    <n v="0"/>
    <n v="3.4"/>
    <n v="0.9"/>
    <x v="2"/>
  </r>
  <r>
    <s v="ENC100610"/>
    <s v="PT85032"/>
    <s v="Lakeside Health"/>
    <s v="Northeast"/>
    <d v="2025-03-31T00:00:00"/>
    <d v="2025-04-01T00:00:00"/>
    <x v="8"/>
    <s v="Emergency"/>
    <s v="Injury"/>
    <n v="12"/>
    <s v="0-12"/>
    <s v="Male"/>
    <s v="Medicare"/>
    <n v="0.2"/>
    <n v="507.5"/>
    <n v="0"/>
    <n v="3.8"/>
    <n v="0.71"/>
    <x v="11"/>
  </r>
  <r>
    <s v="ENC100611"/>
    <s v="PT51651"/>
    <s v="Northgate General"/>
    <s v="South"/>
    <d v="2025-08-27T00:00:00"/>
    <d v="2025-08-29T00:00:00"/>
    <x v="5"/>
    <s v="Urgent"/>
    <s v="Maternal"/>
    <n v="38"/>
    <s v="35-49"/>
    <s v="Male"/>
    <s v="Commercial"/>
    <n v="1.2"/>
    <n v="3004.45"/>
    <n v="0"/>
    <n v="4.5"/>
    <n v="0.85"/>
    <x v="4"/>
  </r>
  <r>
    <s v="ENC100612"/>
    <s v="PT80571"/>
    <s v="St. Catherine Hospital"/>
    <s v="South"/>
    <d v="2025-09-03T00:00:00"/>
    <d v="2025-09-05T00:00:00"/>
    <x v="2"/>
    <s v="Elective"/>
    <s v="Injury"/>
    <n v="52"/>
    <s v="50-64"/>
    <s v="Male"/>
    <s v="Medicare"/>
    <n v="1.9"/>
    <n v="3834.22"/>
    <n v="0"/>
    <n v="4.2"/>
    <n v="0.81"/>
    <x v="6"/>
  </r>
  <r>
    <s v="ENC100613"/>
    <s v="PT44657"/>
    <s v="Riverside Medical Center"/>
    <s v="Northeast"/>
    <d v="2025-06-30T00:00:00"/>
    <d v="2025-07-03T00:00:00"/>
    <x v="8"/>
    <s v="Elective"/>
    <s v="Cardiac"/>
    <n v="11"/>
    <s v="0-12"/>
    <s v="Female"/>
    <s v="Commercial"/>
    <n v="2.9"/>
    <n v="8580.02"/>
    <n v="0"/>
    <n v="3.2"/>
    <n v="0.82"/>
    <x v="1"/>
  </r>
  <r>
    <s v="ENC100614"/>
    <s v="PT71754"/>
    <s v="Metro Regional"/>
    <s v="South"/>
    <d v="2025-11-19T00:00:00"/>
    <d v="2025-11-22T00:00:00"/>
    <x v="1"/>
    <s v="Emergency"/>
    <s v="GI"/>
    <n v="51"/>
    <s v="50-64"/>
    <s v="Female"/>
    <s v="Medicare"/>
    <n v="2.5"/>
    <n v="7524.89"/>
    <n v="1"/>
    <n v="3.3"/>
    <n v="0.86"/>
    <x v="0"/>
  </r>
  <r>
    <s v="ENC100615"/>
    <s v="PT67560"/>
    <s v="Riverside Medical Center"/>
    <s v="Midwest"/>
    <d v="2025-02-10T00:00:00"/>
    <d v="2025-02-12T00:00:00"/>
    <x v="0"/>
    <s v="Elective"/>
    <s v="Neurological"/>
    <n v="3"/>
    <s v="0-12"/>
    <s v="Female"/>
    <s v="Commercial"/>
    <n v="1.3"/>
    <n v="3374.57"/>
    <n v="0"/>
    <n v="4.0999999999999996"/>
    <n v="0.84"/>
    <x v="9"/>
  </r>
  <r>
    <s v="ENC100616"/>
    <s v="PT32481"/>
    <s v="Northgate General"/>
    <s v="South"/>
    <d v="2025-03-27T00:00:00"/>
    <d v="2025-04-02T00:00:00"/>
    <x v="2"/>
    <s v="Urgent"/>
    <s v="Respiratory"/>
    <n v="54"/>
    <s v="50-64"/>
    <s v="Female"/>
    <s v="Medicare"/>
    <n v="6"/>
    <n v="12699.27"/>
    <n v="0"/>
    <n v="4.0999999999999996"/>
    <n v="0.85"/>
    <x v="11"/>
  </r>
  <r>
    <s v="ENC100617"/>
    <s v="PT33981"/>
    <s v="Metro Regional"/>
    <s v="South"/>
    <d v="2025-04-03T00:00:00"/>
    <d v="2025-04-05T00:00:00"/>
    <x v="5"/>
    <s v="Emergency"/>
    <s v="Other"/>
    <n v="3"/>
    <s v="0-12"/>
    <s v="Female"/>
    <s v="Commercial"/>
    <n v="1.5"/>
    <n v="4069.03"/>
    <n v="0"/>
    <n v="3.5"/>
    <n v="0.86"/>
    <x v="7"/>
  </r>
  <r>
    <s v="ENC100618"/>
    <s v="PT15501"/>
    <s v="Northgate General"/>
    <s v="West"/>
    <d v="2025-02-19T00:00:00"/>
    <d v="2025-02-23T00:00:00"/>
    <x v="5"/>
    <s v="Emergency"/>
    <s v="Cardiac"/>
    <n v="15"/>
    <s v="13-17"/>
    <s v="Male"/>
    <s v="Self-Pay"/>
    <n v="3.9"/>
    <n v="8911.0300000000007"/>
    <n v="0"/>
    <n v="4.9000000000000004"/>
    <n v="0.8"/>
    <x v="9"/>
  </r>
  <r>
    <s v="ENC100619"/>
    <s v="PT22579"/>
    <s v="Northgate General"/>
    <s v="Midwest"/>
    <d v="2025-04-18T00:00:00"/>
    <d v="2025-04-20T00:00:00"/>
    <x v="4"/>
    <s v="Emergency"/>
    <s v="Injury"/>
    <n v="31"/>
    <s v="18-34"/>
    <s v="Male"/>
    <s v="Medicare"/>
    <n v="1.5"/>
    <n v="6145.13"/>
    <n v="0"/>
    <n v="4.3"/>
    <n v="0.76"/>
    <x v="7"/>
  </r>
  <r>
    <s v="ENC100620"/>
    <s v="PT49025"/>
    <s v="Metro Regional"/>
    <s v="South"/>
    <d v="2025-04-25T00:00:00"/>
    <d v="2025-04-29T00:00:00"/>
    <x v="9"/>
    <s v="Emergency"/>
    <s v="Cancer"/>
    <n v="55"/>
    <s v="50-64"/>
    <s v="Female"/>
    <s v="Commercial"/>
    <n v="3.9"/>
    <n v="10734.47"/>
    <n v="1"/>
    <n v="3.5"/>
    <n v="0.87"/>
    <x v="7"/>
  </r>
  <r>
    <s v="ENC100621"/>
    <s v="PT53008"/>
    <s v="Northgate General"/>
    <s v="South"/>
    <d v="2025-10-07T00:00:00"/>
    <d v="2025-10-12T00:00:00"/>
    <x v="5"/>
    <s v="Elective"/>
    <s v="Neurological"/>
    <n v="65"/>
    <s v="65-74"/>
    <s v="Male"/>
    <s v="Commercial"/>
    <n v="4.3"/>
    <n v="12390.13"/>
    <n v="0"/>
    <n v="3.5"/>
    <n v="0.74"/>
    <x v="3"/>
  </r>
  <r>
    <s v="ENC100622"/>
    <s v="PT24860"/>
    <s v="Riverside Medical Center"/>
    <s v="Midwest"/>
    <d v="2025-04-21T00:00:00"/>
    <d v="2025-04-29T00:00:00"/>
    <x v="0"/>
    <s v="Emergency"/>
    <s v="Maternal"/>
    <n v="42"/>
    <s v="35-49"/>
    <s v="Male"/>
    <s v="Commercial"/>
    <n v="8"/>
    <n v="16147.32"/>
    <n v="0"/>
    <n v="3.6"/>
    <n v="0.82"/>
    <x v="7"/>
  </r>
  <r>
    <s v="ENC100623"/>
    <s v="PT47519"/>
    <s v="St. Catherine Hospital"/>
    <s v="Northeast"/>
    <d v="2025-11-16T00:00:00"/>
    <d v="2025-11-19T00:00:00"/>
    <x v="4"/>
    <s v="Elective"/>
    <s v="Respiratory"/>
    <n v="11"/>
    <s v="0-12"/>
    <s v="Male"/>
    <s v="Commercial"/>
    <n v="2.1"/>
    <n v="9503.2000000000007"/>
    <n v="0"/>
    <n v="3.6"/>
    <n v="0.92"/>
    <x v="0"/>
  </r>
  <r>
    <s v="ENC100624"/>
    <s v="PT64375"/>
    <s v="Riverside Medical Center"/>
    <s v="West"/>
    <d v="2025-10-10T00:00:00"/>
    <d v="2025-10-20T00:00:00"/>
    <x v="2"/>
    <s v="Emergency"/>
    <s v="Other"/>
    <n v="35"/>
    <s v="35-49"/>
    <s v="Male"/>
    <s v="Commercial"/>
    <n v="9.1"/>
    <n v="22446.14"/>
    <n v="0"/>
    <n v="4.5"/>
    <n v="0.72"/>
    <x v="3"/>
  </r>
  <r>
    <s v="ENC100625"/>
    <s v="PT30931"/>
    <s v="Metro Regional"/>
    <s v="Northeast"/>
    <d v="2025-11-26T00:00:00"/>
    <d v="2025-11-27T00:00:00"/>
    <x v="3"/>
    <s v="Emergency"/>
    <s v="GI"/>
    <n v="71"/>
    <s v="65-74"/>
    <s v="Male"/>
    <s v="Medicaid"/>
    <n v="0.5"/>
    <n v="833.23"/>
    <n v="0"/>
    <n v="4.3"/>
    <n v="0.85"/>
    <x v="0"/>
  </r>
  <r>
    <s v="ENC100626"/>
    <s v="PT40440"/>
    <s v="Lakeside Health"/>
    <s v="West"/>
    <d v="2025-02-08T00:00:00"/>
    <d v="2025-02-11T00:00:00"/>
    <x v="5"/>
    <s v="Emergency"/>
    <s v="Other"/>
    <n v="8"/>
    <s v="0-12"/>
    <s v="Female"/>
    <s v="Medicare"/>
    <n v="2.9"/>
    <n v="7948.45"/>
    <n v="0"/>
    <n v="3.9"/>
    <n v="0.76"/>
    <x v="9"/>
  </r>
  <r>
    <s v="ENC100627"/>
    <s v="PT43075"/>
    <s v="St. Catherine Hospital"/>
    <s v="Northeast"/>
    <d v="2025-12-26T00:00:00"/>
    <d v="2025-12-28T00:00:00"/>
    <x v="5"/>
    <s v="Urgent"/>
    <s v="Pediatric"/>
    <n v="65"/>
    <s v="65-74"/>
    <s v="Female"/>
    <s v="Commercial"/>
    <n v="1.1000000000000001"/>
    <n v="3055.34"/>
    <n v="1"/>
    <n v="4.3"/>
    <n v="0.79"/>
    <x v="2"/>
  </r>
  <r>
    <s v="ENC100628"/>
    <s v="PT55454"/>
    <s v="Riverside Medical Center"/>
    <s v="West"/>
    <d v="2025-08-13T00:00:00"/>
    <d v="2025-08-21T00:00:00"/>
    <x v="9"/>
    <s v="Elective"/>
    <s v="Other"/>
    <n v="35"/>
    <s v="35-49"/>
    <s v="Male"/>
    <s v="Medicare"/>
    <n v="7.8"/>
    <n v="18131.53"/>
    <n v="0"/>
    <n v="4.2"/>
    <n v="0.81"/>
    <x v="4"/>
  </r>
  <r>
    <s v="ENC100629"/>
    <s v="PT42974"/>
    <s v="Lakeside Health"/>
    <s v="Northeast"/>
    <d v="2025-12-25T00:00:00"/>
    <d v="2025-12-31T00:00:00"/>
    <x v="5"/>
    <s v="Emergency"/>
    <s v="Infectious"/>
    <n v="0"/>
    <s v="0-12"/>
    <s v="Male"/>
    <s v="Commercial"/>
    <n v="5.2"/>
    <n v="14156.47"/>
    <n v="0"/>
    <n v="3.9"/>
    <n v="0.75"/>
    <x v="2"/>
  </r>
  <r>
    <s v="ENC100630"/>
    <s v="PT76324"/>
    <s v="Lakeside Health"/>
    <s v="West"/>
    <d v="2025-05-10T00:00:00"/>
    <d v="2025-05-15T00:00:00"/>
    <x v="5"/>
    <s v="Elective"/>
    <s v="Injury"/>
    <n v="63"/>
    <s v="50-64"/>
    <s v="Male"/>
    <s v="Self-Pay"/>
    <n v="4.8"/>
    <n v="11700.33"/>
    <n v="0"/>
    <n v="4.0999999999999996"/>
    <n v="0.74"/>
    <x v="10"/>
  </r>
  <r>
    <s v="ENC100631"/>
    <s v="PT39474"/>
    <s v="Riverside Medical Center"/>
    <s v="South"/>
    <d v="2025-12-14T00:00:00"/>
    <d v="2025-12-16T00:00:00"/>
    <x v="9"/>
    <s v="Emergency"/>
    <s v="Cancer"/>
    <n v="2"/>
    <s v="0-12"/>
    <s v="Male"/>
    <s v="Commercial"/>
    <n v="1.1000000000000001"/>
    <n v="2936.97"/>
    <n v="0"/>
    <n v="4.3"/>
    <n v="0.83"/>
    <x v="2"/>
  </r>
  <r>
    <s v="ENC100632"/>
    <s v="PT49050"/>
    <s v="Metro Regional"/>
    <s v="Northeast"/>
    <d v="2025-08-03T00:00:00"/>
    <d v="2025-08-04T00:00:00"/>
    <x v="5"/>
    <s v="Emergency"/>
    <s v="GI"/>
    <n v="33"/>
    <s v="18-34"/>
    <s v="Female"/>
    <s v="Medicaid"/>
    <n v="0.3"/>
    <n v="773.71"/>
    <n v="0"/>
    <n v="4.2"/>
    <n v="0.82"/>
    <x v="4"/>
  </r>
  <r>
    <s v="ENC100633"/>
    <s v="PT44151"/>
    <s v="St. Catherine Hospital"/>
    <s v="South"/>
    <d v="2025-01-27T00:00:00"/>
    <d v="2025-01-30T00:00:00"/>
    <x v="8"/>
    <s v="Emergency"/>
    <s v="Cancer"/>
    <n v="17"/>
    <s v="13-17"/>
    <s v="Female"/>
    <s v="Medicaid"/>
    <n v="2.5"/>
    <n v="7177.48"/>
    <n v="0"/>
    <n v="3.4"/>
    <n v="0.88"/>
    <x v="8"/>
  </r>
  <r>
    <s v="ENC100634"/>
    <s v="PT26462"/>
    <s v="Metro Regional"/>
    <s v="South"/>
    <d v="2025-05-30T00:00:00"/>
    <d v="2025-06-01T00:00:00"/>
    <x v="8"/>
    <s v="Urgent"/>
    <s v="Maternal"/>
    <n v="53"/>
    <s v="50-64"/>
    <s v="Male"/>
    <s v="Commercial"/>
    <n v="2"/>
    <n v="5252.02"/>
    <n v="0"/>
    <n v="3.5"/>
    <n v="0.83"/>
    <x v="10"/>
  </r>
  <r>
    <s v="ENC100635"/>
    <s v="PT71716"/>
    <s v="Northgate General"/>
    <s v="Midwest"/>
    <d v="2025-02-20T00:00:00"/>
    <d v="2025-02-21T00:00:00"/>
    <x v="3"/>
    <s v="Elective"/>
    <s v="Respiratory"/>
    <n v="5"/>
    <s v="0-12"/>
    <s v="Female"/>
    <s v="Commercial"/>
    <n v="0.2"/>
    <n v="404.51"/>
    <n v="0"/>
    <n v="3.5"/>
    <n v="0.8"/>
    <x v="9"/>
  </r>
  <r>
    <s v="ENC100636"/>
    <s v="PT31189"/>
    <s v="Riverside Medical Center"/>
    <s v="Northeast"/>
    <d v="2025-12-10T00:00:00"/>
    <d v="2025-12-11T00:00:00"/>
    <x v="3"/>
    <s v="Elective"/>
    <s v="Pediatric"/>
    <n v="8"/>
    <s v="0-12"/>
    <s v="Male"/>
    <s v="Commercial"/>
    <n v="0.7"/>
    <n v="1179.1500000000001"/>
    <n v="1"/>
    <n v="3.3"/>
    <n v="0.79"/>
    <x v="2"/>
  </r>
  <r>
    <s v="ENC100637"/>
    <s v="PT36718"/>
    <s v="Lakeside Health"/>
    <s v="South"/>
    <d v="2025-04-22T00:00:00"/>
    <d v="2025-04-27T00:00:00"/>
    <x v="7"/>
    <s v="Emergency"/>
    <s v="Cardiac"/>
    <n v="48"/>
    <s v="35-49"/>
    <s v="Male"/>
    <s v="Medicaid"/>
    <n v="4.8"/>
    <n v="15197.91"/>
    <n v="0"/>
    <n v="3"/>
    <n v="0.79"/>
    <x v="7"/>
  </r>
  <r>
    <s v="ENC100638"/>
    <s v="PT81346"/>
    <s v="Metro Regional"/>
    <s v="South"/>
    <d v="2025-03-23T00:00:00"/>
    <d v="2025-03-28T00:00:00"/>
    <x v="2"/>
    <s v="Emergency"/>
    <s v="Other"/>
    <n v="90"/>
    <s v="75+"/>
    <s v="Male"/>
    <s v="Medicare"/>
    <n v="4.4000000000000004"/>
    <n v="9733.98"/>
    <n v="0"/>
    <n v="4.3"/>
    <n v="0.87"/>
    <x v="11"/>
  </r>
  <r>
    <s v="ENC100639"/>
    <s v="PT95396"/>
    <s v="Northgate General"/>
    <s v="Midwest"/>
    <d v="2025-07-21T00:00:00"/>
    <d v="2025-07-22T00:00:00"/>
    <x v="2"/>
    <s v="Elective"/>
    <s v="Cardiac"/>
    <n v="3"/>
    <s v="0-12"/>
    <s v="Female"/>
    <s v="Medicare"/>
    <n v="0.2"/>
    <n v="483.14"/>
    <n v="0"/>
    <n v="4.0999999999999996"/>
    <n v="0.8"/>
    <x v="5"/>
  </r>
  <r>
    <s v="ENC100640"/>
    <s v="PT70375"/>
    <s v="Riverside Medical Center"/>
    <s v="West"/>
    <d v="2025-06-05T00:00:00"/>
    <d v="2025-06-06T00:00:00"/>
    <x v="3"/>
    <s v="Emergency"/>
    <s v="Cardiac"/>
    <n v="41"/>
    <s v="35-49"/>
    <s v="Male"/>
    <s v="Medicaid"/>
    <n v="0.3"/>
    <n v="537.94000000000005"/>
    <n v="0"/>
    <n v="2.9"/>
    <n v="0.78"/>
    <x v="1"/>
  </r>
  <r>
    <s v="ENC100641"/>
    <s v="PT92470"/>
    <s v="Metro Regional"/>
    <s v="Northeast"/>
    <d v="2025-02-05T00:00:00"/>
    <d v="2025-02-06T00:00:00"/>
    <x v="0"/>
    <s v="Urgent"/>
    <s v="Pediatric"/>
    <n v="73"/>
    <s v="65-74"/>
    <s v="Female"/>
    <s v="Medicaid"/>
    <n v="1"/>
    <n v="1914.39"/>
    <n v="1"/>
    <n v="3.8"/>
    <n v="0.81"/>
    <x v="9"/>
  </r>
  <r>
    <s v="ENC100642"/>
    <s v="PT86876"/>
    <s v="Riverside Medical Center"/>
    <s v="Northeast"/>
    <d v="2025-10-26T00:00:00"/>
    <d v="2025-10-29T00:00:00"/>
    <x v="3"/>
    <s v="Elective"/>
    <s v="Pediatric"/>
    <n v="26"/>
    <s v="18-34"/>
    <s v="Male"/>
    <s v="Medicare"/>
    <n v="2.1"/>
    <n v="3198.7"/>
    <n v="0"/>
    <n v="3.6"/>
    <n v="0.89"/>
    <x v="3"/>
  </r>
  <r>
    <s v="ENC100643"/>
    <s v="PT53281"/>
    <s v="Northgate General"/>
    <s v="South"/>
    <d v="2025-11-05T00:00:00"/>
    <d v="2025-11-10T00:00:00"/>
    <x v="9"/>
    <s v="Emergency"/>
    <s v="Maternal"/>
    <n v="44"/>
    <s v="35-49"/>
    <s v="Female"/>
    <s v="Medicare"/>
    <n v="4.9000000000000004"/>
    <n v="10647.42"/>
    <n v="0"/>
    <n v="4"/>
    <n v="0.75"/>
    <x v="0"/>
  </r>
  <r>
    <s v="ENC100644"/>
    <s v="PT79325"/>
    <s v="Lakeside Health"/>
    <s v="Northeast"/>
    <d v="2025-09-29T00:00:00"/>
    <d v="2025-10-03T00:00:00"/>
    <x v="8"/>
    <s v="Elective"/>
    <s v="Other"/>
    <n v="76"/>
    <s v="75+"/>
    <s v="Male"/>
    <s v="Medicare"/>
    <n v="4"/>
    <n v="9904.52"/>
    <n v="0"/>
    <n v="3.3"/>
    <n v="0.78"/>
    <x v="6"/>
  </r>
  <r>
    <s v="ENC100645"/>
    <s v="PT39552"/>
    <s v="Riverside Medical Center"/>
    <s v="Northeast"/>
    <d v="2025-08-14T00:00:00"/>
    <d v="2025-08-19T00:00:00"/>
    <x v="4"/>
    <s v="Urgent"/>
    <s v="Injury"/>
    <n v="66"/>
    <s v="65-74"/>
    <s v="Female"/>
    <s v="Commercial"/>
    <n v="4.4000000000000004"/>
    <n v="17835.599999999999"/>
    <n v="0"/>
    <n v="3"/>
    <n v="0.78"/>
    <x v="4"/>
  </r>
  <r>
    <s v="ENC100646"/>
    <s v="PT51444"/>
    <s v="Riverside Medical Center"/>
    <s v="Midwest"/>
    <d v="2025-05-27T00:00:00"/>
    <d v="2025-06-03T00:00:00"/>
    <x v="6"/>
    <s v="Emergency"/>
    <s v="Pediatric"/>
    <n v="26"/>
    <s v="18-34"/>
    <s v="Female"/>
    <s v="Medicaid"/>
    <n v="6.2"/>
    <n v="13319.72"/>
    <n v="1"/>
    <n v="4.2"/>
    <n v="0.86"/>
    <x v="10"/>
  </r>
  <r>
    <s v="ENC100647"/>
    <s v="PT58188"/>
    <s v="Riverside Medical Center"/>
    <s v="Northeast"/>
    <d v="2025-07-17T00:00:00"/>
    <d v="2025-07-24T00:00:00"/>
    <x v="4"/>
    <s v="Elective"/>
    <s v="Injury"/>
    <n v="68"/>
    <s v="65-74"/>
    <s v="Female"/>
    <s v="Commercial"/>
    <n v="6.6"/>
    <n v="26946.67"/>
    <n v="0"/>
    <n v="2.9"/>
    <n v="0.79"/>
    <x v="5"/>
  </r>
  <r>
    <s v="ENC100648"/>
    <s v="PT96443"/>
    <s v="Metro Regional"/>
    <s v="Northeast"/>
    <d v="2025-07-10T00:00:00"/>
    <d v="2025-07-20T00:00:00"/>
    <x v="7"/>
    <s v="Urgent"/>
    <s v="Infectious"/>
    <n v="61"/>
    <s v="50-64"/>
    <s v="Female"/>
    <s v="Commercial"/>
    <n v="9.5"/>
    <n v="29175.81"/>
    <n v="0"/>
    <n v="3.6"/>
    <n v="0.8"/>
    <x v="5"/>
  </r>
  <r>
    <s v="ENC100649"/>
    <s v="PT86369"/>
    <s v="Northgate General"/>
    <s v="South"/>
    <d v="2025-03-02T00:00:00"/>
    <d v="2025-03-07T00:00:00"/>
    <x v="2"/>
    <s v="Emergency"/>
    <s v="Cancer"/>
    <n v="46"/>
    <s v="35-49"/>
    <s v="Female"/>
    <s v="Medicaid"/>
    <n v="4.0999999999999996"/>
    <n v="9396.16"/>
    <n v="0"/>
    <n v="3.7"/>
    <n v="0.75"/>
    <x v="11"/>
  </r>
  <r>
    <s v="ENC100650"/>
    <s v="PT54032"/>
    <s v="Lakeside Health"/>
    <s v="South"/>
    <d v="2025-01-30T00:00:00"/>
    <d v="2025-01-31T00:00:00"/>
    <x v="8"/>
    <s v="Urgent"/>
    <s v="Respiratory"/>
    <n v="40"/>
    <s v="35-49"/>
    <s v="Male"/>
    <s v="Commercial"/>
    <n v="0.6"/>
    <n v="1542.24"/>
    <n v="1"/>
    <n v="3.8"/>
    <n v="0.73"/>
    <x v="8"/>
  </r>
  <r>
    <s v="ENC100651"/>
    <s v="PT68732"/>
    <s v="Metro Regional"/>
    <s v="West"/>
    <d v="2025-04-03T00:00:00"/>
    <d v="2025-04-04T00:00:00"/>
    <x v="1"/>
    <s v="Emergency"/>
    <s v="Infectious"/>
    <n v="84"/>
    <s v="75+"/>
    <s v="Male"/>
    <s v="Commercial"/>
    <n v="0.2"/>
    <n v="682.88"/>
    <n v="0"/>
    <n v="4.0999999999999996"/>
    <n v="0.86"/>
    <x v="7"/>
  </r>
  <r>
    <s v="ENC100652"/>
    <s v="PT28211"/>
    <s v="Lakeside Health"/>
    <s v="South"/>
    <d v="2025-06-15T00:00:00"/>
    <d v="2025-06-18T00:00:00"/>
    <x v="5"/>
    <s v="Elective"/>
    <s v="Maternal"/>
    <n v="79"/>
    <s v="75+"/>
    <s v="Female"/>
    <s v="Commercial"/>
    <n v="2.4"/>
    <n v="6514.5"/>
    <n v="0"/>
    <n v="4.9000000000000004"/>
    <n v="0.75"/>
    <x v="1"/>
  </r>
  <r>
    <s v="ENC100653"/>
    <s v="PT82394"/>
    <s v="St. Catherine Hospital"/>
    <s v="Midwest"/>
    <d v="2025-02-28T00:00:00"/>
    <d v="2025-03-05T00:00:00"/>
    <x v="2"/>
    <s v="Elective"/>
    <s v="Cardiac"/>
    <n v="90"/>
    <s v="75+"/>
    <s v="Male"/>
    <s v="Medicare"/>
    <n v="5"/>
    <n v="10705.81"/>
    <n v="1"/>
    <n v="2.9"/>
    <n v="0.76"/>
    <x v="9"/>
  </r>
  <r>
    <s v="ENC100654"/>
    <s v="PT59772"/>
    <s v="St. Catherine Hospital"/>
    <s v="Northeast"/>
    <d v="2025-02-08T00:00:00"/>
    <d v="2025-02-10T00:00:00"/>
    <x v="1"/>
    <s v="Elective"/>
    <s v="Other"/>
    <n v="61"/>
    <s v="50-64"/>
    <s v="Male"/>
    <s v="Medicaid"/>
    <n v="2"/>
    <n v="5887.91"/>
    <n v="0"/>
    <n v="4.4000000000000004"/>
    <n v="0.8"/>
    <x v="9"/>
  </r>
  <r>
    <s v="ENC100655"/>
    <s v="PT57944"/>
    <s v="Northgate General"/>
    <s v="West"/>
    <d v="2025-11-07T00:00:00"/>
    <d v="2025-11-13T00:00:00"/>
    <x v="9"/>
    <s v="Emergency"/>
    <s v="Infectious"/>
    <n v="32"/>
    <s v="18-34"/>
    <s v="Male"/>
    <s v="Commercial"/>
    <n v="5.9"/>
    <n v="13504.86"/>
    <n v="1"/>
    <n v="2.4"/>
    <n v="0.73"/>
    <x v="0"/>
  </r>
  <r>
    <s v="ENC100656"/>
    <s v="PT78964"/>
    <s v="St. Catherine Hospital"/>
    <s v="Northeast"/>
    <d v="2025-05-17T00:00:00"/>
    <d v="2025-05-23T00:00:00"/>
    <x v="8"/>
    <s v="Elective"/>
    <s v="Cardiac"/>
    <n v="9"/>
    <s v="0-12"/>
    <s v="Female"/>
    <s v="Commercial"/>
    <n v="5.3"/>
    <n v="18258.53"/>
    <n v="0"/>
    <n v="4.7"/>
    <n v="0.83"/>
    <x v="10"/>
  </r>
  <r>
    <s v="ENC100657"/>
    <s v="PT66961"/>
    <s v="Metro Regional"/>
    <s v="Northeast"/>
    <d v="2025-08-02T00:00:00"/>
    <d v="2025-08-09T00:00:00"/>
    <x v="6"/>
    <s v="Emergency"/>
    <s v="GI"/>
    <n v="11"/>
    <s v="0-12"/>
    <s v="Female"/>
    <s v="Medicare"/>
    <n v="6.6"/>
    <n v="15186.27"/>
    <n v="0"/>
    <n v="2.7"/>
    <n v="0.87"/>
    <x v="4"/>
  </r>
  <r>
    <s v="ENC100658"/>
    <s v="PT16521"/>
    <s v="Metro Regional"/>
    <s v="West"/>
    <d v="2025-07-11T00:00:00"/>
    <d v="2025-07-14T00:00:00"/>
    <x v="8"/>
    <s v="Emergency"/>
    <s v="Cardiac"/>
    <n v="86"/>
    <s v="75+"/>
    <s v="Male"/>
    <s v="Self-Pay"/>
    <n v="2.4"/>
    <n v="5383.84"/>
    <n v="0"/>
    <n v="5"/>
    <n v="0.84"/>
    <x v="5"/>
  </r>
  <r>
    <s v="ENC100659"/>
    <s v="PT35933"/>
    <s v="St. Catherine Hospital"/>
    <s v="South"/>
    <d v="2025-09-26T00:00:00"/>
    <d v="2025-09-28T00:00:00"/>
    <x v="6"/>
    <s v="Emergency"/>
    <s v="Respiratory"/>
    <n v="33"/>
    <s v="18-34"/>
    <s v="Female"/>
    <s v="Commercial"/>
    <n v="1.1000000000000001"/>
    <n v="2553.71"/>
    <n v="0"/>
    <n v="3.7"/>
    <n v="0.81"/>
    <x v="6"/>
  </r>
  <r>
    <s v="ENC100660"/>
    <s v="PT25904"/>
    <s v="Northgate General"/>
    <s v="South"/>
    <d v="2025-09-28T00:00:00"/>
    <d v="2025-09-29T00:00:00"/>
    <x v="0"/>
    <s v="Elective"/>
    <s v="GI"/>
    <n v="10"/>
    <s v="0-12"/>
    <s v="Female"/>
    <s v="Self-Pay"/>
    <n v="0.7"/>
    <n v="1418.78"/>
    <n v="0"/>
    <n v="4.7"/>
    <n v="0.85"/>
    <x v="6"/>
  </r>
  <r>
    <s v="ENC100661"/>
    <s v="PT76139"/>
    <s v="Metro Regional"/>
    <s v="Northeast"/>
    <d v="2025-04-19T00:00:00"/>
    <d v="2025-04-23T00:00:00"/>
    <x v="9"/>
    <s v="Emergency"/>
    <s v="Respiratory"/>
    <n v="20"/>
    <s v="18-34"/>
    <s v="Male"/>
    <s v="Medicaid"/>
    <n v="3.4"/>
    <n v="6989.17"/>
    <n v="0"/>
    <n v="4.5999999999999996"/>
    <n v="0.83"/>
    <x v="7"/>
  </r>
  <r>
    <s v="ENC100662"/>
    <s v="PT13163"/>
    <s v="Riverside Medical Center"/>
    <s v="Northeast"/>
    <d v="2025-11-06T00:00:00"/>
    <d v="2025-11-07T00:00:00"/>
    <x v="9"/>
    <s v="Emergency"/>
    <s v="Respiratory"/>
    <n v="1"/>
    <s v="0-12"/>
    <s v="Female"/>
    <s v="Commercial"/>
    <n v="0.4"/>
    <n v="860.61"/>
    <n v="0"/>
    <n v="3.6"/>
    <n v="0.78"/>
    <x v="0"/>
  </r>
  <r>
    <s v="ENC100663"/>
    <s v="PT28216"/>
    <s v="Metro Regional"/>
    <s v="Midwest"/>
    <d v="2025-05-16T00:00:00"/>
    <d v="2025-05-17T00:00:00"/>
    <x v="0"/>
    <s v="Urgent"/>
    <s v="Maternal"/>
    <n v="48"/>
    <s v="35-49"/>
    <s v="Male"/>
    <s v="Medicaid"/>
    <n v="0.4"/>
    <n v="789.69"/>
    <n v="0"/>
    <n v="3.7"/>
    <n v="0.86"/>
    <x v="10"/>
  </r>
  <r>
    <s v="ENC100664"/>
    <s v="PT63769"/>
    <s v="Northgate General"/>
    <s v="South"/>
    <d v="2025-11-01T00:00:00"/>
    <d v="2025-11-05T00:00:00"/>
    <x v="4"/>
    <s v="Emergency"/>
    <s v="Respiratory"/>
    <n v="53"/>
    <s v="50-64"/>
    <s v="Female"/>
    <s v="Medicare"/>
    <n v="3.5"/>
    <n v="13877.32"/>
    <n v="0"/>
    <n v="3.3"/>
    <n v="0.73"/>
    <x v="0"/>
  </r>
  <r>
    <s v="ENC100665"/>
    <s v="PT72531"/>
    <s v="Lakeside Health"/>
    <s v="Midwest"/>
    <d v="2025-05-28T00:00:00"/>
    <d v="2025-06-02T00:00:00"/>
    <x v="1"/>
    <s v="Emergency"/>
    <s v="Pediatric"/>
    <n v="34"/>
    <s v="18-34"/>
    <s v="Male"/>
    <s v="Medicare"/>
    <n v="4.0999999999999996"/>
    <n v="12582.63"/>
    <n v="0"/>
    <n v="4.4000000000000004"/>
    <n v="0.74"/>
    <x v="10"/>
  </r>
  <r>
    <s v="ENC100666"/>
    <s v="PT55296"/>
    <s v="Metro Regional"/>
    <s v="Northeast"/>
    <d v="2025-02-10T00:00:00"/>
    <d v="2025-02-12T00:00:00"/>
    <x v="9"/>
    <s v="Emergency"/>
    <s v="Maternal"/>
    <n v="67"/>
    <s v="65-74"/>
    <s v="Male"/>
    <s v="Medicare"/>
    <n v="1.1000000000000001"/>
    <n v="2529"/>
    <n v="1"/>
    <n v="3.6"/>
    <n v="0.82"/>
    <x v="9"/>
  </r>
  <r>
    <s v="ENC100667"/>
    <s v="PT87463"/>
    <s v="St. Catherine Hospital"/>
    <s v="Northeast"/>
    <d v="2025-10-05T00:00:00"/>
    <d v="2025-10-13T00:00:00"/>
    <x v="8"/>
    <s v="Emergency"/>
    <s v="Cardiac"/>
    <n v="43"/>
    <s v="35-49"/>
    <s v="Male"/>
    <s v="Medicaid"/>
    <n v="7.2"/>
    <n v="18855.55"/>
    <n v="0"/>
    <n v="3.2"/>
    <n v="0.77"/>
    <x v="3"/>
  </r>
  <r>
    <s v="ENC100668"/>
    <s v="PT92703"/>
    <s v="Riverside Medical Center"/>
    <s v="South"/>
    <d v="2025-01-12T00:00:00"/>
    <d v="2025-01-17T00:00:00"/>
    <x v="0"/>
    <s v="Elective"/>
    <s v="Neurological"/>
    <n v="87"/>
    <s v="75+"/>
    <s v="Male"/>
    <s v="Medicaid"/>
    <n v="4.7"/>
    <n v="11385.43"/>
    <n v="1"/>
    <n v="4.2"/>
    <n v="0.81"/>
    <x v="8"/>
  </r>
  <r>
    <s v="ENC100669"/>
    <s v="PT21889"/>
    <s v="Metro Regional"/>
    <s v="South"/>
    <d v="2025-10-09T00:00:00"/>
    <d v="2025-10-10T00:00:00"/>
    <x v="1"/>
    <s v="Emergency"/>
    <s v="Respiratory"/>
    <n v="69"/>
    <s v="65-74"/>
    <s v="Male"/>
    <s v="Medicaid"/>
    <n v="0.2"/>
    <n v="509.76"/>
    <n v="0"/>
    <n v="3.4"/>
    <n v="0.88"/>
    <x v="3"/>
  </r>
  <r>
    <s v="ENC100670"/>
    <s v="PT95725"/>
    <s v="Northgate General"/>
    <s v="Northeast"/>
    <d v="2025-01-16T00:00:00"/>
    <d v="2025-01-20T00:00:00"/>
    <x v="6"/>
    <s v="Emergency"/>
    <s v="GI"/>
    <n v="6"/>
    <s v="0-12"/>
    <s v="Female"/>
    <s v="Self-Pay"/>
    <n v="3.8"/>
    <n v="7534.53"/>
    <n v="0"/>
    <n v="3.7"/>
    <n v="0.82"/>
    <x v="8"/>
  </r>
  <r>
    <s v="ENC100671"/>
    <s v="PT65293"/>
    <s v="Northgate General"/>
    <s v="Northeast"/>
    <d v="2025-03-17T00:00:00"/>
    <d v="2025-03-20T00:00:00"/>
    <x v="7"/>
    <s v="Urgent"/>
    <s v="Respiratory"/>
    <n v="24"/>
    <s v="18-34"/>
    <s v="Male"/>
    <s v="Medicare"/>
    <n v="2.7"/>
    <n v="7747.69"/>
    <n v="0"/>
    <n v="4"/>
    <n v="0.82"/>
    <x v="11"/>
  </r>
  <r>
    <s v="ENC100672"/>
    <s v="PT67259"/>
    <s v="St. Catherine Hospital"/>
    <s v="Northeast"/>
    <d v="2025-08-09T00:00:00"/>
    <d v="2025-08-13T00:00:00"/>
    <x v="9"/>
    <s v="Elective"/>
    <s v="Other"/>
    <n v="68"/>
    <s v="65-74"/>
    <s v="Male"/>
    <s v="Medicaid"/>
    <n v="4"/>
    <n v="9560.52"/>
    <n v="0"/>
    <n v="3.5"/>
    <n v="0.81"/>
    <x v="4"/>
  </r>
  <r>
    <s v="ENC100673"/>
    <s v="PT18558"/>
    <s v="St. Catherine Hospital"/>
    <s v="Northeast"/>
    <d v="2025-12-10T00:00:00"/>
    <d v="2025-12-13T00:00:00"/>
    <x v="9"/>
    <s v="Elective"/>
    <s v="Cardiac"/>
    <n v="48"/>
    <s v="35-49"/>
    <s v="Female"/>
    <s v="Medicaid"/>
    <n v="3"/>
    <n v="7778.85"/>
    <n v="0"/>
    <n v="3.6"/>
    <n v="0.79"/>
    <x v="2"/>
  </r>
  <r>
    <s v="ENC100674"/>
    <s v="PT65967"/>
    <s v="Lakeside Health"/>
    <s v="South"/>
    <d v="2025-05-30T00:00:00"/>
    <d v="2025-06-03T00:00:00"/>
    <x v="1"/>
    <s v="Urgent"/>
    <s v="GI"/>
    <n v="68"/>
    <s v="65-74"/>
    <s v="Female"/>
    <s v="Commercial"/>
    <n v="3.8"/>
    <n v="13950.18"/>
    <n v="0"/>
    <n v="4.8"/>
    <n v="0.66"/>
    <x v="10"/>
  </r>
  <r>
    <s v="ENC100675"/>
    <s v="PT75313"/>
    <s v="Riverside Medical Center"/>
    <s v="Northeast"/>
    <d v="2025-02-14T00:00:00"/>
    <d v="2025-02-17T00:00:00"/>
    <x v="2"/>
    <s v="Urgent"/>
    <s v="Cardiac"/>
    <n v="30"/>
    <s v="18-34"/>
    <s v="Female"/>
    <s v="Commercial"/>
    <n v="2.6"/>
    <n v="5999.4"/>
    <n v="0"/>
    <n v="3.8"/>
    <n v="0.83"/>
    <x v="9"/>
  </r>
  <r>
    <s v="ENC100676"/>
    <s v="PT62270"/>
    <s v="St. Catherine Hospital"/>
    <s v="South"/>
    <d v="2025-03-27T00:00:00"/>
    <d v="2025-03-28T00:00:00"/>
    <x v="6"/>
    <s v="Emergency"/>
    <s v="Cardiac"/>
    <n v="3"/>
    <s v="0-12"/>
    <s v="Male"/>
    <s v="Commercial"/>
    <n v="0.6"/>
    <n v="1525.38"/>
    <n v="0"/>
    <n v="3.7"/>
    <n v="0.71"/>
    <x v="11"/>
  </r>
  <r>
    <s v="ENC100677"/>
    <s v="PT17604"/>
    <s v="Metro Regional"/>
    <s v="South"/>
    <d v="2025-11-24T00:00:00"/>
    <d v="2025-12-05T00:00:00"/>
    <x v="6"/>
    <s v="Elective"/>
    <s v="Neurological"/>
    <n v="71"/>
    <s v="65-74"/>
    <s v="Male"/>
    <s v="Medicaid"/>
    <n v="10.3"/>
    <n v="22342.83"/>
    <n v="1"/>
    <n v="3.6"/>
    <n v="0.76"/>
    <x v="0"/>
  </r>
  <r>
    <s v="ENC100678"/>
    <s v="PT57089"/>
    <s v="Riverside Medical Center"/>
    <s v="West"/>
    <d v="2025-09-23T00:00:00"/>
    <d v="2025-09-24T00:00:00"/>
    <x v="0"/>
    <s v="Elective"/>
    <s v="Infectious"/>
    <n v="71"/>
    <s v="65-74"/>
    <s v="Female"/>
    <s v="Commercial"/>
    <n v="0.6"/>
    <n v="1251.8900000000001"/>
    <n v="1"/>
    <n v="4.2"/>
    <n v="0.81"/>
    <x v="6"/>
  </r>
  <r>
    <s v="ENC100679"/>
    <s v="PT94233"/>
    <s v="St. Catherine Hospital"/>
    <s v="West"/>
    <d v="2025-02-06T00:00:00"/>
    <d v="2025-02-13T00:00:00"/>
    <x v="0"/>
    <s v="Emergency"/>
    <s v="Other"/>
    <n v="58"/>
    <s v="50-64"/>
    <s v="Female"/>
    <s v="Medicare"/>
    <n v="6.5"/>
    <n v="14210.43"/>
    <n v="0"/>
    <n v="3.3"/>
    <n v="0.81"/>
    <x v="9"/>
  </r>
  <r>
    <s v="ENC100680"/>
    <s v="PT75106"/>
    <s v="Lakeside Health"/>
    <s v="Northeast"/>
    <d v="2025-05-21T00:00:00"/>
    <d v="2025-05-28T00:00:00"/>
    <x v="5"/>
    <s v="Emergency"/>
    <s v="Respiratory"/>
    <n v="36"/>
    <s v="35-49"/>
    <s v="Male"/>
    <s v="Commercial"/>
    <n v="6.2"/>
    <n v="17234.22"/>
    <n v="0"/>
    <n v="4.2"/>
    <n v="0.73"/>
    <x v="10"/>
  </r>
  <r>
    <s v="ENC100681"/>
    <s v="PT22366"/>
    <s v="Metro Regional"/>
    <s v="Northeast"/>
    <d v="2025-04-07T00:00:00"/>
    <d v="2025-04-11T00:00:00"/>
    <x v="4"/>
    <s v="Emergency"/>
    <s v="Respiratory"/>
    <n v="0"/>
    <s v="0-12"/>
    <s v="Female"/>
    <s v="Commercial"/>
    <n v="3.9"/>
    <n v="17045.59"/>
    <n v="0"/>
    <n v="4"/>
    <n v="0.9"/>
    <x v="7"/>
  </r>
  <r>
    <s v="ENC100682"/>
    <s v="PT96393"/>
    <s v="St. Catherine Hospital"/>
    <s v="Midwest"/>
    <d v="2025-03-06T00:00:00"/>
    <d v="2025-03-09T00:00:00"/>
    <x v="7"/>
    <s v="Elective"/>
    <s v="Injury"/>
    <n v="66"/>
    <s v="65-74"/>
    <s v="Male"/>
    <s v="Medicare"/>
    <n v="2.4"/>
    <n v="7679.69"/>
    <n v="0"/>
    <n v="2.8"/>
    <n v="0.82"/>
    <x v="11"/>
  </r>
  <r>
    <s v="ENC100683"/>
    <s v="PT96298"/>
    <s v="Metro Regional"/>
    <s v="South"/>
    <d v="2025-11-05T00:00:00"/>
    <d v="2025-11-06T00:00:00"/>
    <x v="2"/>
    <s v="Elective"/>
    <s v="Injury"/>
    <n v="60"/>
    <s v="50-64"/>
    <s v="Female"/>
    <s v="Commercial"/>
    <n v="0.5"/>
    <n v="1029.9000000000001"/>
    <n v="0"/>
    <n v="5"/>
    <n v="0.83"/>
    <x v="0"/>
  </r>
  <r>
    <s v="ENC100684"/>
    <s v="PT25245"/>
    <s v="Northgate General"/>
    <s v="Northeast"/>
    <d v="2025-08-14T00:00:00"/>
    <d v="2025-08-17T00:00:00"/>
    <x v="6"/>
    <s v="Elective"/>
    <s v="Other"/>
    <n v="60"/>
    <s v="50-64"/>
    <s v="Female"/>
    <s v="Medicaid"/>
    <n v="2.5"/>
    <n v="5302.24"/>
    <n v="0"/>
    <n v="4.8"/>
    <n v="0.84"/>
    <x v="4"/>
  </r>
  <r>
    <s v="ENC100685"/>
    <s v="PT82078"/>
    <s v="Northgate General"/>
    <s v="Midwest"/>
    <d v="2025-03-07T00:00:00"/>
    <d v="2025-03-08T00:00:00"/>
    <x v="6"/>
    <s v="Emergency"/>
    <s v="Other"/>
    <n v="15"/>
    <s v="13-17"/>
    <s v="Female"/>
    <s v="Commercial"/>
    <n v="0.5"/>
    <n v="1094.7"/>
    <n v="0"/>
    <n v="3.4"/>
    <n v="0.84"/>
    <x v="11"/>
  </r>
  <r>
    <s v="ENC100686"/>
    <s v="PT46604"/>
    <s v="Metro Regional"/>
    <s v="Northeast"/>
    <d v="2025-08-26T00:00:00"/>
    <d v="2025-08-29T00:00:00"/>
    <x v="3"/>
    <s v="Emergency"/>
    <s v="Other"/>
    <n v="66"/>
    <s v="65-74"/>
    <s v="Male"/>
    <s v="Medicaid"/>
    <n v="2.4"/>
    <n v="3712.06"/>
    <n v="0"/>
    <n v="3"/>
    <n v="0.86"/>
    <x v="4"/>
  </r>
  <r>
    <s v="ENC100687"/>
    <s v="PT63430"/>
    <s v="Metro Regional"/>
    <s v="Northeast"/>
    <d v="2025-05-31T00:00:00"/>
    <d v="2025-06-05T00:00:00"/>
    <x v="8"/>
    <s v="Emergency"/>
    <s v="Cardiac"/>
    <n v="65"/>
    <s v="65-74"/>
    <s v="Male"/>
    <s v="Commercial"/>
    <n v="4.0999999999999996"/>
    <n v="11379.09"/>
    <n v="0"/>
    <n v="4"/>
    <n v="0.81"/>
    <x v="10"/>
  </r>
  <r>
    <s v="ENC100688"/>
    <s v="PT50066"/>
    <s v="St. Catherine Hospital"/>
    <s v="South"/>
    <d v="2025-01-23T00:00:00"/>
    <d v="2025-01-27T00:00:00"/>
    <x v="1"/>
    <s v="Emergency"/>
    <s v="Cancer"/>
    <n v="78"/>
    <s v="75+"/>
    <s v="Female"/>
    <s v="Self-Pay"/>
    <n v="3.4"/>
    <n v="10355.68"/>
    <n v="1"/>
    <n v="3"/>
    <n v="0.78"/>
    <x v="8"/>
  </r>
  <r>
    <s v="ENC100689"/>
    <s v="PT80435"/>
    <s v="St. Catherine Hospital"/>
    <s v="South"/>
    <d v="2025-06-14T00:00:00"/>
    <d v="2025-06-18T00:00:00"/>
    <x v="5"/>
    <s v="Urgent"/>
    <s v="Maternal"/>
    <n v="51"/>
    <s v="50-64"/>
    <s v="Female"/>
    <s v="Medicare"/>
    <n v="3.9"/>
    <n v="9969.6299999999992"/>
    <n v="0"/>
    <n v="4.7"/>
    <n v="0.74"/>
    <x v="1"/>
  </r>
  <r>
    <s v="ENC100690"/>
    <s v="PT99698"/>
    <s v="St. Catherine Hospital"/>
    <s v="South"/>
    <d v="2025-03-09T00:00:00"/>
    <d v="2025-03-13T00:00:00"/>
    <x v="8"/>
    <s v="Urgent"/>
    <s v="Injury"/>
    <n v="66"/>
    <s v="65-74"/>
    <s v="Female"/>
    <s v="Commercial"/>
    <n v="4"/>
    <n v="11430.77"/>
    <n v="0"/>
    <n v="3.6"/>
    <n v="0.8"/>
    <x v="11"/>
  </r>
  <r>
    <s v="ENC100691"/>
    <s v="PT81559"/>
    <s v="Riverside Medical Center"/>
    <s v="West"/>
    <d v="2025-03-31T00:00:00"/>
    <d v="2025-04-03T00:00:00"/>
    <x v="2"/>
    <s v="Urgent"/>
    <s v="GI"/>
    <n v="36"/>
    <s v="35-49"/>
    <s v="Female"/>
    <s v="Commercial"/>
    <n v="2.1"/>
    <n v="4720.3"/>
    <n v="0"/>
    <n v="4.9000000000000004"/>
    <n v="0.78"/>
    <x v="11"/>
  </r>
  <r>
    <s v="ENC100692"/>
    <s v="PT93822"/>
    <s v="Metro Regional"/>
    <s v="Northeast"/>
    <d v="2025-11-17T00:00:00"/>
    <d v="2025-11-19T00:00:00"/>
    <x v="0"/>
    <s v="Urgent"/>
    <s v="Cardiac"/>
    <n v="63"/>
    <s v="50-64"/>
    <s v="Male"/>
    <s v="Commercial"/>
    <n v="1.7"/>
    <n v="4116.97"/>
    <n v="0"/>
    <n v="3.4"/>
    <n v="0.83"/>
    <x v="0"/>
  </r>
  <r>
    <s v="ENC100693"/>
    <s v="PT95141"/>
    <s v="Metro Regional"/>
    <s v="Northeast"/>
    <d v="2025-09-17T00:00:00"/>
    <d v="2025-09-21T00:00:00"/>
    <x v="3"/>
    <s v="Urgent"/>
    <s v="Injury"/>
    <n v="63"/>
    <s v="50-64"/>
    <s v="Female"/>
    <s v="Medicare"/>
    <n v="3.3"/>
    <n v="5551.55"/>
    <n v="0"/>
    <n v="3.6"/>
    <n v="0.85"/>
    <x v="6"/>
  </r>
  <r>
    <s v="ENC100694"/>
    <s v="PT18109"/>
    <s v="St. Catherine Hospital"/>
    <s v="Midwest"/>
    <d v="2025-02-18T00:00:00"/>
    <d v="2025-02-24T00:00:00"/>
    <x v="6"/>
    <s v="Emergency"/>
    <s v="Pediatric"/>
    <n v="70"/>
    <s v="65-74"/>
    <s v="Male"/>
    <s v="Medicaid"/>
    <n v="5.7"/>
    <n v="12440.92"/>
    <n v="0"/>
    <n v="4.7"/>
    <n v="0.72"/>
    <x v="9"/>
  </r>
  <r>
    <s v="ENC100695"/>
    <s v="PT32804"/>
    <s v="Northgate General"/>
    <s v="South"/>
    <d v="2025-11-07T00:00:00"/>
    <d v="2025-11-13T00:00:00"/>
    <x v="8"/>
    <s v="Emergency"/>
    <s v="Injury"/>
    <n v="77"/>
    <s v="75+"/>
    <s v="Female"/>
    <s v="Commercial"/>
    <n v="5.3"/>
    <n v="14636.9"/>
    <n v="0"/>
    <n v="3.7"/>
    <n v="0.73"/>
    <x v="0"/>
  </r>
  <r>
    <s v="ENC100696"/>
    <s v="PT74966"/>
    <s v="Northgate General"/>
    <s v="South"/>
    <d v="2025-07-29T00:00:00"/>
    <d v="2025-08-02T00:00:00"/>
    <x v="4"/>
    <s v="Emergency"/>
    <s v="Other"/>
    <n v="0"/>
    <s v="0-12"/>
    <s v="Female"/>
    <s v="Medicare"/>
    <n v="3.9"/>
    <n v="14643.97"/>
    <n v="0"/>
    <n v="4"/>
    <n v="0.76"/>
    <x v="5"/>
  </r>
  <r>
    <s v="ENC100697"/>
    <s v="PT63106"/>
    <s v="Riverside Medical Center"/>
    <s v="Northeast"/>
    <d v="2025-11-16T00:00:00"/>
    <d v="2025-11-17T00:00:00"/>
    <x v="6"/>
    <s v="Emergency"/>
    <s v="Injury"/>
    <n v="70"/>
    <s v="65-74"/>
    <s v="Female"/>
    <s v="Medicare"/>
    <n v="0.3"/>
    <n v="677.19"/>
    <n v="0"/>
    <n v="4.5999999999999996"/>
    <n v="0.82"/>
    <x v="0"/>
  </r>
  <r>
    <s v="ENC100698"/>
    <s v="PT14513"/>
    <s v="Lakeside Health"/>
    <s v="West"/>
    <d v="2025-09-30T00:00:00"/>
    <d v="2025-10-02T00:00:00"/>
    <x v="3"/>
    <s v="Emergency"/>
    <s v="Respiratory"/>
    <n v="72"/>
    <s v="65-74"/>
    <s v="Female"/>
    <s v="Medicare"/>
    <n v="1.5"/>
    <n v="2585.63"/>
    <n v="0"/>
    <n v="3.4"/>
    <n v="0.73"/>
    <x v="6"/>
  </r>
  <r>
    <s v="ENC100699"/>
    <s v="PT18554"/>
    <s v="St. Catherine Hospital"/>
    <s v="Midwest"/>
    <d v="2025-05-04T00:00:00"/>
    <d v="2025-05-06T00:00:00"/>
    <x v="3"/>
    <s v="Emergency"/>
    <s v="Injury"/>
    <n v="49"/>
    <s v="35-49"/>
    <s v="Female"/>
    <s v="Medicare"/>
    <n v="1.1000000000000001"/>
    <n v="2286.33"/>
    <n v="0"/>
    <n v="2.9"/>
    <n v="0.79"/>
    <x v="10"/>
  </r>
  <r>
    <s v="ENC100700"/>
    <s v="PT56848"/>
    <s v="Northgate General"/>
    <s v="Midwest"/>
    <d v="2025-07-15T00:00:00"/>
    <d v="2025-07-17T00:00:00"/>
    <x v="0"/>
    <s v="Urgent"/>
    <s v="Cardiac"/>
    <n v="47"/>
    <s v="35-49"/>
    <s v="Female"/>
    <s v="Medicare"/>
    <n v="1.7"/>
    <n v="3699.68"/>
    <n v="0"/>
    <n v="3"/>
    <n v="0.75"/>
    <x v="5"/>
  </r>
  <r>
    <s v="ENC100701"/>
    <s v="PT65454"/>
    <s v="Lakeside Health"/>
    <s v="South"/>
    <d v="2025-07-13T00:00:00"/>
    <d v="2025-07-14T00:00:00"/>
    <x v="3"/>
    <s v="Emergency"/>
    <s v="Neurological"/>
    <n v="65"/>
    <s v="65-74"/>
    <s v="Female"/>
    <s v="Medicare"/>
    <n v="1"/>
    <n v="1672.82"/>
    <n v="0"/>
    <n v="4.0999999999999996"/>
    <n v="0.69"/>
    <x v="5"/>
  </r>
  <r>
    <s v="ENC100702"/>
    <s v="PT25094"/>
    <s v="Metro Regional"/>
    <s v="West"/>
    <d v="2025-09-20T00:00:00"/>
    <d v="2025-09-22T00:00:00"/>
    <x v="1"/>
    <s v="Urgent"/>
    <s v="Respiratory"/>
    <n v="41"/>
    <s v="35-49"/>
    <s v="Male"/>
    <s v="Self-Pay"/>
    <n v="1.1000000000000001"/>
    <n v="3372.52"/>
    <n v="0"/>
    <n v="4.0999999999999996"/>
    <n v="0.82"/>
    <x v="6"/>
  </r>
  <r>
    <s v="ENC100703"/>
    <s v="PT25416"/>
    <s v="Riverside Medical Center"/>
    <s v="South"/>
    <d v="2025-04-01T00:00:00"/>
    <d v="2025-04-02T00:00:00"/>
    <x v="3"/>
    <s v="Elective"/>
    <s v="Infectious"/>
    <n v="37"/>
    <s v="35-49"/>
    <s v="Female"/>
    <s v="Commercial"/>
    <n v="0.4"/>
    <n v="734.39"/>
    <n v="0"/>
    <n v="4.3"/>
    <n v="0.81"/>
    <x v="7"/>
  </r>
  <r>
    <s v="ENC100704"/>
    <s v="PT21640"/>
    <s v="St. Catherine Hospital"/>
    <s v="West"/>
    <d v="2025-05-02T00:00:00"/>
    <d v="2025-05-14T00:00:00"/>
    <x v="4"/>
    <s v="Elective"/>
    <s v="Other"/>
    <n v="73"/>
    <s v="65-74"/>
    <s v="Female"/>
    <s v="Commercial"/>
    <n v="11.3"/>
    <n v="48537.38"/>
    <n v="1"/>
    <n v="3.4"/>
    <n v="0.79"/>
    <x v="10"/>
  </r>
  <r>
    <s v="ENC100705"/>
    <s v="PT60844"/>
    <s v="St. Catherine Hospital"/>
    <s v="Northeast"/>
    <d v="2025-03-31T00:00:00"/>
    <d v="2025-04-01T00:00:00"/>
    <x v="5"/>
    <s v="Elective"/>
    <s v="Injury"/>
    <n v="71"/>
    <s v="65-74"/>
    <s v="Female"/>
    <s v="Commercial"/>
    <n v="0.3"/>
    <n v="832.41"/>
    <n v="0"/>
    <n v="3"/>
    <n v="0.8"/>
    <x v="11"/>
  </r>
  <r>
    <s v="ENC100706"/>
    <s v="PT10706"/>
    <s v="Riverside Medical Center"/>
    <s v="South"/>
    <d v="2025-04-19T00:00:00"/>
    <d v="2025-04-27T00:00:00"/>
    <x v="5"/>
    <s v="Emergency"/>
    <s v="Cardiac"/>
    <n v="18"/>
    <s v="18-34"/>
    <s v="Male"/>
    <s v="Medicare"/>
    <n v="7.1"/>
    <n v="22013.38"/>
    <n v="1"/>
    <n v="2.2999999999999998"/>
    <n v="0.84"/>
    <x v="7"/>
  </r>
  <r>
    <s v="ENC100707"/>
    <s v="PT61518"/>
    <s v="St. Catherine Hospital"/>
    <s v="West"/>
    <d v="2025-02-28T00:00:00"/>
    <d v="2025-03-03T00:00:00"/>
    <x v="3"/>
    <s v="Elective"/>
    <s v="Cancer"/>
    <n v="75"/>
    <s v="75+"/>
    <s v="Male"/>
    <s v="Commercial"/>
    <n v="2.5"/>
    <n v="5059.05"/>
    <n v="0"/>
    <n v="5"/>
    <n v="0.83"/>
    <x v="9"/>
  </r>
  <r>
    <s v="ENC100708"/>
    <s v="PT52833"/>
    <s v="Lakeside Health"/>
    <s v="Midwest"/>
    <d v="2025-01-14T00:00:00"/>
    <d v="2025-01-19T00:00:00"/>
    <x v="1"/>
    <s v="Emergency"/>
    <s v="Maternal"/>
    <n v="29"/>
    <s v="18-34"/>
    <s v="Male"/>
    <s v="Self-Pay"/>
    <n v="5"/>
    <n v="15120.87"/>
    <n v="0"/>
    <n v="4.2"/>
    <n v="0.72"/>
    <x v="8"/>
  </r>
  <r>
    <s v="ENC100709"/>
    <s v="PT51938"/>
    <s v="Riverside Medical Center"/>
    <s v="Midwest"/>
    <d v="2025-12-10T00:00:00"/>
    <d v="2025-12-15T00:00:00"/>
    <x v="1"/>
    <s v="Urgent"/>
    <s v="Infectious"/>
    <n v="12"/>
    <s v="0-12"/>
    <s v="Male"/>
    <s v="Medicare"/>
    <n v="4.5999999999999996"/>
    <n v="13292.91"/>
    <n v="0"/>
    <n v="4"/>
    <n v="0.76"/>
    <x v="2"/>
  </r>
  <r>
    <s v="ENC100710"/>
    <s v="PT71134"/>
    <s v="Riverside Medical Center"/>
    <s v="West"/>
    <d v="2025-01-28T00:00:00"/>
    <d v="2025-01-29T00:00:00"/>
    <x v="3"/>
    <s v="Emergency"/>
    <s v="Respiratory"/>
    <n v="79"/>
    <s v="75+"/>
    <s v="Male"/>
    <s v="Medicare"/>
    <n v="0.5"/>
    <n v="858.26"/>
    <n v="0"/>
    <n v="3.9"/>
    <n v="0.87"/>
    <x v="8"/>
  </r>
  <r>
    <s v="ENC100711"/>
    <s v="PT57036"/>
    <s v="Metro Regional"/>
    <s v="Northeast"/>
    <d v="2025-11-21T00:00:00"/>
    <d v="2025-11-23T00:00:00"/>
    <x v="8"/>
    <s v="Emergency"/>
    <s v="Infectious"/>
    <n v="21"/>
    <s v="18-34"/>
    <s v="Female"/>
    <s v="Medicaid"/>
    <n v="1.7"/>
    <n v="4584.75"/>
    <n v="0"/>
    <n v="3"/>
    <n v="0.86"/>
    <x v="0"/>
  </r>
  <r>
    <s v="ENC100712"/>
    <s v="PT75496"/>
    <s v="Northgate General"/>
    <s v="Midwest"/>
    <d v="2025-01-02T00:00:00"/>
    <d v="2025-01-05T00:00:00"/>
    <x v="1"/>
    <s v="Elective"/>
    <s v="Neurological"/>
    <n v="18"/>
    <s v="18-34"/>
    <s v="Male"/>
    <s v="Commercial"/>
    <n v="2.2000000000000002"/>
    <n v="7848.19"/>
    <n v="0"/>
    <n v="3.4"/>
    <n v="0.74"/>
    <x v="8"/>
  </r>
  <r>
    <s v="ENC100713"/>
    <s v="PT78752"/>
    <s v="Lakeside Health"/>
    <s v="West"/>
    <d v="2025-10-11T00:00:00"/>
    <d v="2025-10-12T00:00:00"/>
    <x v="0"/>
    <s v="Elective"/>
    <s v="Injury"/>
    <n v="24"/>
    <s v="18-34"/>
    <s v="Male"/>
    <s v="Medicaid"/>
    <n v="0.5"/>
    <n v="1179.26"/>
    <n v="1"/>
    <n v="4.9000000000000004"/>
    <n v="0.76"/>
    <x v="3"/>
  </r>
  <r>
    <s v="ENC100714"/>
    <s v="PT92809"/>
    <s v="Lakeside Health"/>
    <s v="West"/>
    <d v="2025-04-30T00:00:00"/>
    <d v="2025-05-01T00:00:00"/>
    <x v="3"/>
    <s v="Emergency"/>
    <s v="Respiratory"/>
    <n v="44"/>
    <s v="35-49"/>
    <s v="Female"/>
    <s v="Commercial"/>
    <n v="0.5"/>
    <n v="924.65"/>
    <n v="0"/>
    <n v="4.0999999999999996"/>
    <n v="0.79"/>
    <x v="7"/>
  </r>
  <r>
    <s v="ENC100715"/>
    <s v="PT81931"/>
    <s v="Metro Regional"/>
    <s v="West"/>
    <d v="2025-07-08T00:00:00"/>
    <d v="2025-07-12T00:00:00"/>
    <x v="8"/>
    <s v="Elective"/>
    <s v="Other"/>
    <n v="15"/>
    <s v="13-17"/>
    <s v="Female"/>
    <s v="Medicare"/>
    <n v="3.2"/>
    <n v="7896.71"/>
    <n v="0"/>
    <n v="3.4"/>
    <n v="0.91"/>
    <x v="5"/>
  </r>
  <r>
    <s v="ENC100716"/>
    <s v="PT56593"/>
    <s v="Lakeside Health"/>
    <s v="West"/>
    <d v="2025-04-14T00:00:00"/>
    <d v="2025-04-18T00:00:00"/>
    <x v="4"/>
    <s v="Emergency"/>
    <s v="Cardiac"/>
    <n v="14"/>
    <s v="13-17"/>
    <s v="Female"/>
    <s v="Self-Pay"/>
    <n v="4"/>
    <n v="18431.22"/>
    <n v="0"/>
    <n v="3.1"/>
    <n v="0.76"/>
    <x v="7"/>
  </r>
  <r>
    <s v="ENC100717"/>
    <s v="PT54293"/>
    <s v="Metro Regional"/>
    <s v="Northeast"/>
    <d v="2025-06-29T00:00:00"/>
    <d v="2025-07-03T00:00:00"/>
    <x v="2"/>
    <s v="Elective"/>
    <s v="Cardiac"/>
    <n v="35"/>
    <s v="35-49"/>
    <s v="Female"/>
    <s v="Medicaid"/>
    <n v="3.1"/>
    <n v="5907.69"/>
    <n v="0"/>
    <n v="3.6"/>
    <n v="0.88"/>
    <x v="1"/>
  </r>
  <r>
    <s v="ENC100718"/>
    <s v="PT31213"/>
    <s v="Lakeside Health"/>
    <s v="West"/>
    <d v="2025-06-14T00:00:00"/>
    <d v="2025-06-27T00:00:00"/>
    <x v="4"/>
    <s v="Emergency"/>
    <s v="Cardiac"/>
    <n v="19"/>
    <s v="18-34"/>
    <s v="Male"/>
    <s v="Medicaid"/>
    <n v="12.4"/>
    <n v="44604.78"/>
    <n v="0"/>
    <n v="3.4"/>
    <n v="0.7"/>
    <x v="1"/>
  </r>
  <r>
    <s v="ENC100719"/>
    <s v="PT63962"/>
    <s v="St. Catherine Hospital"/>
    <s v="Midwest"/>
    <d v="2025-07-13T00:00:00"/>
    <d v="2025-07-16T00:00:00"/>
    <x v="9"/>
    <s v="Emergency"/>
    <s v="Infectious"/>
    <n v="17"/>
    <s v="13-17"/>
    <s v="Female"/>
    <s v="Commercial"/>
    <n v="2.6"/>
    <n v="5935.39"/>
    <n v="0"/>
    <n v="5"/>
    <n v="0.8"/>
    <x v="5"/>
  </r>
  <r>
    <s v="ENC100720"/>
    <s v="PT22522"/>
    <s v="Northgate General"/>
    <s v="South"/>
    <d v="2025-05-24T00:00:00"/>
    <d v="2025-05-30T00:00:00"/>
    <x v="5"/>
    <s v="Emergency"/>
    <s v="Cancer"/>
    <n v="83"/>
    <s v="75+"/>
    <s v="Male"/>
    <s v="Medicaid"/>
    <n v="5.3"/>
    <n v="15826.41"/>
    <n v="0"/>
    <n v="3.8"/>
    <n v="0.77"/>
    <x v="10"/>
  </r>
  <r>
    <s v="ENC100721"/>
    <s v="PT93810"/>
    <s v="Northgate General"/>
    <s v="Midwest"/>
    <d v="2025-07-15T00:00:00"/>
    <d v="2025-07-16T00:00:00"/>
    <x v="6"/>
    <s v="Emergency"/>
    <s v="Cardiac"/>
    <n v="54"/>
    <s v="50-64"/>
    <s v="Male"/>
    <s v="Medicare"/>
    <n v="0.5"/>
    <n v="1088.95"/>
    <n v="0"/>
    <n v="3.2"/>
    <n v="0.79"/>
    <x v="5"/>
  </r>
  <r>
    <s v="ENC100722"/>
    <s v="PT86053"/>
    <s v="Northgate General"/>
    <s v="West"/>
    <d v="2025-10-29T00:00:00"/>
    <d v="2025-11-06T00:00:00"/>
    <x v="5"/>
    <s v="Emergency"/>
    <s v="Cancer"/>
    <n v="1"/>
    <s v="0-12"/>
    <s v="Female"/>
    <s v="Medicare"/>
    <n v="7.8"/>
    <n v="24215.13"/>
    <n v="0"/>
    <n v="3.7"/>
    <n v="0.84"/>
    <x v="3"/>
  </r>
  <r>
    <s v="ENC100723"/>
    <s v="PT20775"/>
    <s v="Riverside Medical Center"/>
    <s v="South"/>
    <d v="2025-06-08T00:00:00"/>
    <d v="2025-06-09T00:00:00"/>
    <x v="6"/>
    <s v="Emergency"/>
    <s v="GI"/>
    <n v="9"/>
    <s v="0-12"/>
    <s v="Female"/>
    <s v="Commercial"/>
    <n v="0.5"/>
    <n v="1300.5899999999999"/>
    <n v="0"/>
    <n v="4.0999999999999996"/>
    <n v="0.83"/>
    <x v="1"/>
  </r>
  <r>
    <s v="ENC100724"/>
    <s v="PT80735"/>
    <s v="St. Catherine Hospital"/>
    <s v="West"/>
    <d v="2025-05-12T00:00:00"/>
    <d v="2025-05-15T00:00:00"/>
    <x v="8"/>
    <s v="Emergency"/>
    <s v="Injury"/>
    <n v="74"/>
    <s v="65-74"/>
    <s v="Male"/>
    <s v="Commercial"/>
    <n v="2.1"/>
    <n v="6847.08"/>
    <n v="0"/>
    <n v="3.1"/>
    <n v="0.76"/>
    <x v="10"/>
  </r>
  <r>
    <s v="ENC100725"/>
    <s v="PT20539"/>
    <s v="Northgate General"/>
    <s v="Northeast"/>
    <d v="2025-02-18T00:00:00"/>
    <d v="2025-02-19T00:00:00"/>
    <x v="3"/>
    <s v="Emergency"/>
    <s v="Other"/>
    <n v="24"/>
    <s v="18-34"/>
    <s v="Male"/>
    <s v="Medicare"/>
    <n v="0.4"/>
    <n v="725.6"/>
    <n v="0"/>
    <n v="3.9"/>
    <n v="0.73"/>
    <x v="9"/>
  </r>
  <r>
    <s v="ENC100726"/>
    <s v="PT74909"/>
    <s v="Riverside Medical Center"/>
    <s v="Northeast"/>
    <d v="2025-05-12T00:00:00"/>
    <d v="2025-05-13T00:00:00"/>
    <x v="6"/>
    <s v="Emergency"/>
    <s v="Injury"/>
    <n v="13"/>
    <s v="13-17"/>
    <s v="Female"/>
    <s v="Commercial"/>
    <n v="0.3"/>
    <n v="800.25"/>
    <n v="0"/>
    <n v="4.5999999999999996"/>
    <n v="0.89"/>
    <x v="10"/>
  </r>
  <r>
    <s v="ENC100727"/>
    <s v="PT17893"/>
    <s v="Northgate General"/>
    <s v="Midwest"/>
    <d v="2025-02-15T00:00:00"/>
    <d v="2025-02-19T00:00:00"/>
    <x v="2"/>
    <s v="Emergency"/>
    <s v="Cardiac"/>
    <n v="60"/>
    <s v="50-64"/>
    <s v="Female"/>
    <s v="Medicaid"/>
    <n v="3.3"/>
    <n v="7933.47"/>
    <n v="1"/>
    <n v="4"/>
    <n v="0.8"/>
    <x v="9"/>
  </r>
  <r>
    <s v="ENC100728"/>
    <s v="PT53936"/>
    <s v="Lakeside Health"/>
    <s v="Northeast"/>
    <d v="2025-03-08T00:00:00"/>
    <d v="2025-03-10T00:00:00"/>
    <x v="3"/>
    <s v="Elective"/>
    <s v="Other"/>
    <n v="76"/>
    <s v="75+"/>
    <s v="Male"/>
    <s v="Medicaid"/>
    <n v="1.4"/>
    <n v="2313.21"/>
    <n v="0"/>
    <n v="3.2"/>
    <n v="0.77"/>
    <x v="11"/>
  </r>
  <r>
    <s v="ENC100729"/>
    <s v="PT69207"/>
    <s v="St. Catherine Hospital"/>
    <s v="South"/>
    <d v="2025-12-14T00:00:00"/>
    <d v="2025-12-26T00:00:00"/>
    <x v="7"/>
    <s v="Urgent"/>
    <s v="Pediatric"/>
    <n v="36"/>
    <s v="35-49"/>
    <s v="Male"/>
    <s v="Self-Pay"/>
    <n v="11.8"/>
    <n v="28402.87"/>
    <n v="0"/>
    <n v="3.4"/>
    <n v="0.79"/>
    <x v="2"/>
  </r>
  <r>
    <s v="ENC100730"/>
    <s v="PT75592"/>
    <s v="Metro Regional"/>
    <s v="Northeast"/>
    <d v="2025-02-02T00:00:00"/>
    <d v="2025-02-10T00:00:00"/>
    <x v="4"/>
    <s v="Emergency"/>
    <s v="Injury"/>
    <n v="67"/>
    <s v="65-74"/>
    <s v="Female"/>
    <s v="Commercial"/>
    <n v="7.3"/>
    <n v="30080.71"/>
    <n v="0"/>
    <n v="2.6"/>
    <n v="0.85"/>
    <x v="9"/>
  </r>
  <r>
    <s v="ENC100731"/>
    <s v="PT47674"/>
    <s v="St. Catherine Hospital"/>
    <s v="South"/>
    <d v="2025-06-25T00:00:00"/>
    <d v="2025-06-28T00:00:00"/>
    <x v="4"/>
    <s v="Urgent"/>
    <s v="Pediatric"/>
    <n v="38"/>
    <s v="35-49"/>
    <s v="Female"/>
    <s v="Self-Pay"/>
    <n v="2.6"/>
    <n v="8682.0300000000007"/>
    <n v="0"/>
    <n v="3.7"/>
    <n v="0.76"/>
    <x v="1"/>
  </r>
  <r>
    <s v="ENC100732"/>
    <s v="PT92945"/>
    <s v="Metro Regional"/>
    <s v="Northeast"/>
    <d v="2025-11-01T00:00:00"/>
    <d v="2025-11-03T00:00:00"/>
    <x v="2"/>
    <s v="Emergency"/>
    <s v="Neurological"/>
    <n v="9"/>
    <s v="0-12"/>
    <s v="Male"/>
    <s v="Commercial"/>
    <n v="1.9"/>
    <n v="4583.26"/>
    <n v="0"/>
    <n v="4.0999999999999996"/>
    <n v="0.86"/>
    <x v="0"/>
  </r>
  <r>
    <s v="ENC100733"/>
    <s v="PT79688"/>
    <s v="Metro Regional"/>
    <s v="Northeast"/>
    <d v="2025-12-14T00:00:00"/>
    <d v="2025-12-15T00:00:00"/>
    <x v="1"/>
    <s v="Emergency"/>
    <s v="Injury"/>
    <n v="72"/>
    <s v="65-74"/>
    <s v="Female"/>
    <s v="Medicare"/>
    <n v="0.5"/>
    <n v="1629.54"/>
    <n v="0"/>
    <n v="3.4"/>
    <n v="0.79"/>
    <x v="2"/>
  </r>
  <r>
    <s v="ENC100734"/>
    <s v="PT28743"/>
    <s v="Riverside Medical Center"/>
    <s v="South"/>
    <d v="2025-02-23T00:00:00"/>
    <d v="2025-02-25T00:00:00"/>
    <x v="2"/>
    <s v="Elective"/>
    <s v="Pediatric"/>
    <n v="83"/>
    <s v="75+"/>
    <s v="Female"/>
    <s v="Medicaid"/>
    <n v="1.9"/>
    <n v="2989.07"/>
    <n v="0"/>
    <n v="5"/>
    <n v="0.81"/>
    <x v="9"/>
  </r>
  <r>
    <s v="ENC100735"/>
    <s v="PT70410"/>
    <s v="Metro Regional"/>
    <s v="Midwest"/>
    <d v="2025-03-01T00:00:00"/>
    <d v="2025-03-02T00:00:00"/>
    <x v="3"/>
    <s v="Elective"/>
    <s v="Maternal"/>
    <n v="89"/>
    <s v="75+"/>
    <s v="Male"/>
    <s v="Commercial"/>
    <n v="0.9"/>
    <n v="1591.54"/>
    <n v="1"/>
    <n v="4.2"/>
    <n v="0.81"/>
    <x v="11"/>
  </r>
  <r>
    <s v="ENC100736"/>
    <s v="PT75747"/>
    <s v="Riverside Medical Center"/>
    <s v="Northeast"/>
    <d v="2025-05-16T00:00:00"/>
    <d v="2025-05-21T00:00:00"/>
    <x v="5"/>
    <s v="Elective"/>
    <s v="Injury"/>
    <n v="9"/>
    <s v="0-12"/>
    <s v="Female"/>
    <s v="Commercial"/>
    <n v="4.9000000000000004"/>
    <n v="14321.07"/>
    <n v="0"/>
    <n v="2.8"/>
    <n v="0.69"/>
    <x v="10"/>
  </r>
  <r>
    <s v="ENC100737"/>
    <s v="PT40027"/>
    <s v="St. Catherine Hospital"/>
    <s v="Northeast"/>
    <d v="2025-07-22T00:00:00"/>
    <d v="2025-08-02T00:00:00"/>
    <x v="4"/>
    <s v="Emergency"/>
    <s v="Infectious"/>
    <n v="51"/>
    <s v="50-64"/>
    <s v="Female"/>
    <s v="Commercial"/>
    <n v="10.4"/>
    <n v="48328.91"/>
    <n v="1"/>
    <n v="2.5"/>
    <n v="0.79"/>
    <x v="5"/>
  </r>
  <r>
    <s v="ENC100738"/>
    <s v="PT76440"/>
    <s v="Metro Regional"/>
    <s v="Northeast"/>
    <d v="2025-12-17T00:00:00"/>
    <d v="2025-12-22T00:00:00"/>
    <x v="8"/>
    <s v="Elective"/>
    <s v="Injury"/>
    <n v="56"/>
    <s v="50-64"/>
    <s v="Male"/>
    <s v="Medicare"/>
    <n v="4.2"/>
    <n v="12395.47"/>
    <n v="0"/>
    <n v="3.3"/>
    <n v="0.8"/>
    <x v="2"/>
  </r>
  <r>
    <s v="ENC100739"/>
    <s v="PT90852"/>
    <s v="Northgate General"/>
    <s v="South"/>
    <d v="2025-03-17T00:00:00"/>
    <d v="2025-03-18T00:00:00"/>
    <x v="3"/>
    <s v="Emergency"/>
    <s v="Respiratory"/>
    <n v="7"/>
    <s v="0-12"/>
    <s v="Male"/>
    <s v="Medicaid"/>
    <n v="0.4"/>
    <n v="675.16"/>
    <n v="0"/>
    <n v="4.5999999999999996"/>
    <n v="0.77"/>
    <x v="11"/>
  </r>
  <r>
    <s v="ENC100740"/>
    <s v="PT83539"/>
    <s v="St. Catherine Hospital"/>
    <s v="Northeast"/>
    <d v="2025-03-02T00:00:00"/>
    <d v="2025-03-03T00:00:00"/>
    <x v="8"/>
    <s v="Emergency"/>
    <s v="Other"/>
    <n v="86"/>
    <s v="75+"/>
    <s v="Female"/>
    <s v="Commercial"/>
    <n v="1"/>
    <n v="2410.81"/>
    <n v="0"/>
    <n v="4.4000000000000004"/>
    <n v="0.8"/>
    <x v="11"/>
  </r>
  <r>
    <s v="ENC100741"/>
    <s v="PT78627"/>
    <s v="Northgate General"/>
    <s v="Midwest"/>
    <d v="2025-04-03T00:00:00"/>
    <d v="2025-04-10T00:00:00"/>
    <x v="5"/>
    <s v="Emergency"/>
    <s v="Infectious"/>
    <n v="9"/>
    <s v="0-12"/>
    <s v="Female"/>
    <s v="Commercial"/>
    <n v="6.2"/>
    <n v="15163.54"/>
    <n v="0"/>
    <n v="4.9000000000000004"/>
    <n v="0.85"/>
    <x v="7"/>
  </r>
  <r>
    <s v="ENC100742"/>
    <s v="PT67104"/>
    <s v="Riverside Medical Center"/>
    <s v="South"/>
    <d v="2025-11-16T00:00:00"/>
    <d v="2025-11-17T00:00:00"/>
    <x v="7"/>
    <s v="Urgent"/>
    <s v="Infectious"/>
    <n v="24"/>
    <s v="18-34"/>
    <s v="Male"/>
    <s v="Medicare"/>
    <n v="0.5"/>
    <n v="1559.97"/>
    <n v="0"/>
    <n v="3.9"/>
    <n v="0.83"/>
    <x v="0"/>
  </r>
  <r>
    <s v="ENC100743"/>
    <s v="PT34347"/>
    <s v="Riverside Medical Center"/>
    <s v="Midwest"/>
    <d v="2025-01-11T00:00:00"/>
    <d v="2025-01-24T00:00:00"/>
    <x v="8"/>
    <s v="Emergency"/>
    <s v="Infectious"/>
    <n v="88"/>
    <s v="75+"/>
    <s v="Male"/>
    <s v="Commercial"/>
    <n v="12.1"/>
    <n v="31029.040000000001"/>
    <n v="0"/>
    <n v="3.6"/>
    <n v="0.83"/>
    <x v="8"/>
  </r>
  <r>
    <s v="ENC100744"/>
    <s v="PT81569"/>
    <s v="Riverside Medical Center"/>
    <s v="South"/>
    <d v="2025-05-19T00:00:00"/>
    <d v="2025-05-21T00:00:00"/>
    <x v="1"/>
    <s v="Elective"/>
    <s v="Infectious"/>
    <n v="50"/>
    <s v="50-64"/>
    <s v="Male"/>
    <s v="Medicaid"/>
    <n v="1.6"/>
    <n v="5107.13"/>
    <n v="0"/>
    <n v="3.2"/>
    <n v="0.84"/>
    <x v="10"/>
  </r>
  <r>
    <s v="ENC100745"/>
    <s v="PT42776"/>
    <s v="Riverside Medical Center"/>
    <s v="Northeast"/>
    <d v="2025-02-13T00:00:00"/>
    <d v="2025-02-18T00:00:00"/>
    <x v="9"/>
    <s v="Elective"/>
    <s v="Injury"/>
    <n v="61"/>
    <s v="50-64"/>
    <s v="Male"/>
    <s v="Self-Pay"/>
    <n v="4.7"/>
    <n v="11032.97"/>
    <n v="0"/>
    <n v="4.0999999999999996"/>
    <n v="0.85"/>
    <x v="9"/>
  </r>
  <r>
    <s v="ENC100746"/>
    <s v="PT57897"/>
    <s v="Lakeside Health"/>
    <s v="West"/>
    <d v="2025-02-27T00:00:00"/>
    <d v="2025-03-01T00:00:00"/>
    <x v="8"/>
    <s v="Elective"/>
    <s v="Other"/>
    <n v="44"/>
    <s v="35-49"/>
    <s v="Male"/>
    <s v="Medicaid"/>
    <n v="1.8"/>
    <n v="3609.67"/>
    <n v="0"/>
    <n v="3.8"/>
    <n v="0.77"/>
    <x v="9"/>
  </r>
  <r>
    <s v="ENC100747"/>
    <s v="PT38299"/>
    <s v="St. Catherine Hospital"/>
    <s v="Midwest"/>
    <d v="2025-12-01T00:00:00"/>
    <d v="2025-12-05T00:00:00"/>
    <x v="9"/>
    <s v="Elective"/>
    <s v="Infectious"/>
    <n v="68"/>
    <s v="65-74"/>
    <s v="Male"/>
    <s v="Medicaid"/>
    <n v="3.1"/>
    <n v="6945.57"/>
    <n v="0"/>
    <n v="3.8"/>
    <n v="0.81"/>
    <x v="2"/>
  </r>
  <r>
    <s v="ENC100748"/>
    <s v="PT38171"/>
    <s v="St. Catherine Hospital"/>
    <s v="Northeast"/>
    <d v="2025-01-01T00:00:00"/>
    <d v="2025-01-02T00:00:00"/>
    <x v="3"/>
    <s v="Urgent"/>
    <s v="GI"/>
    <n v="7"/>
    <s v="0-12"/>
    <s v="Male"/>
    <s v="Medicare"/>
    <n v="0.3"/>
    <n v="576.29999999999995"/>
    <n v="0"/>
    <n v="4.7"/>
    <n v="0.83"/>
    <x v="8"/>
  </r>
  <r>
    <s v="ENC100749"/>
    <s v="PT24184"/>
    <s v="Lakeside Health"/>
    <s v="West"/>
    <d v="2025-04-28T00:00:00"/>
    <d v="2025-05-01T00:00:00"/>
    <x v="9"/>
    <s v="Emergency"/>
    <s v="Neurological"/>
    <n v="61"/>
    <s v="50-64"/>
    <s v="Female"/>
    <s v="Medicaid"/>
    <n v="2.2999999999999998"/>
    <n v="5538.18"/>
    <n v="0"/>
    <n v="3.8"/>
    <n v="0.65"/>
    <x v="7"/>
  </r>
  <r>
    <s v="ENC100750"/>
    <s v="PT96515"/>
    <s v="Riverside Medical Center"/>
    <s v="South"/>
    <d v="2025-12-01T00:00:00"/>
    <d v="2025-12-02T00:00:00"/>
    <x v="9"/>
    <s v="Emergency"/>
    <s v="Injury"/>
    <n v="6"/>
    <s v="0-12"/>
    <s v="Male"/>
    <s v="Commercial"/>
    <n v="0.4"/>
    <n v="826.96"/>
    <n v="1"/>
    <n v="4.7"/>
    <n v="0.9"/>
    <x v="2"/>
  </r>
  <r>
    <s v="ENC100751"/>
    <s v="PT23300"/>
    <s v="Northgate General"/>
    <s v="South"/>
    <d v="2025-08-10T00:00:00"/>
    <d v="2025-08-12T00:00:00"/>
    <x v="3"/>
    <s v="Elective"/>
    <s v="Respiratory"/>
    <n v="16"/>
    <s v="13-17"/>
    <s v="Male"/>
    <s v="Commercial"/>
    <n v="1.2"/>
    <n v="2113.11"/>
    <n v="0"/>
    <n v="2.7"/>
    <n v="0.84"/>
    <x v="4"/>
  </r>
  <r>
    <s v="ENC100752"/>
    <s v="PT17763"/>
    <s v="Lakeside Health"/>
    <s v="West"/>
    <d v="2025-01-27T00:00:00"/>
    <d v="2025-01-28T00:00:00"/>
    <x v="2"/>
    <s v="Emergency"/>
    <s v="Injury"/>
    <n v="46"/>
    <s v="35-49"/>
    <s v="Female"/>
    <s v="Medicare"/>
    <n v="0.9"/>
    <n v="1785.04"/>
    <n v="0"/>
    <n v="5"/>
    <n v="0.76"/>
    <x v="8"/>
  </r>
  <r>
    <s v="ENC100753"/>
    <s v="PT94250"/>
    <s v="Metro Regional"/>
    <s v="Northeast"/>
    <d v="2025-06-19T00:00:00"/>
    <d v="2025-06-20T00:00:00"/>
    <x v="9"/>
    <s v="Emergency"/>
    <s v="Cardiac"/>
    <n v="40"/>
    <s v="35-49"/>
    <s v="Female"/>
    <s v="Commercial"/>
    <n v="0.8"/>
    <n v="2147.1"/>
    <n v="0"/>
    <n v="3.7"/>
    <n v="0.78"/>
    <x v="1"/>
  </r>
  <r>
    <s v="ENC100754"/>
    <s v="PT59950"/>
    <s v="St. Catherine Hospital"/>
    <s v="West"/>
    <d v="2025-12-21T00:00:00"/>
    <d v="2025-12-24T00:00:00"/>
    <x v="1"/>
    <s v="Emergency"/>
    <s v="GI"/>
    <n v="13"/>
    <s v="13-17"/>
    <s v="Male"/>
    <s v="Medicaid"/>
    <n v="2.4"/>
    <n v="7261.15"/>
    <n v="0"/>
    <n v="4.3"/>
    <n v="0.85"/>
    <x v="2"/>
  </r>
  <r>
    <s v="ENC100755"/>
    <s v="PT49410"/>
    <s v="Riverside Medical Center"/>
    <s v="South"/>
    <d v="2025-05-27T00:00:00"/>
    <d v="2025-05-29T00:00:00"/>
    <x v="9"/>
    <s v="Emergency"/>
    <s v="Other"/>
    <n v="72"/>
    <s v="65-74"/>
    <s v="Female"/>
    <s v="Medicare"/>
    <n v="1.8"/>
    <n v="3019.21"/>
    <n v="0"/>
    <n v="4.4000000000000004"/>
    <n v="0.79"/>
    <x v="10"/>
  </r>
  <r>
    <s v="ENC100756"/>
    <s v="PT76373"/>
    <s v="Metro Regional"/>
    <s v="Midwest"/>
    <d v="2025-07-12T00:00:00"/>
    <d v="2025-07-15T00:00:00"/>
    <x v="0"/>
    <s v="Emergency"/>
    <s v="Injury"/>
    <n v="27"/>
    <s v="18-34"/>
    <s v="Male"/>
    <s v="Self-Pay"/>
    <n v="3"/>
    <n v="5644.21"/>
    <n v="0"/>
    <n v="3.6"/>
    <n v="0.86"/>
    <x v="5"/>
  </r>
  <r>
    <s v="ENC100757"/>
    <s v="PT44498"/>
    <s v="Metro Regional"/>
    <s v="Northeast"/>
    <d v="2025-07-14T00:00:00"/>
    <d v="2025-07-16T00:00:00"/>
    <x v="3"/>
    <s v="Emergency"/>
    <s v="Injury"/>
    <n v="78"/>
    <s v="75+"/>
    <s v="Female"/>
    <s v="Commercial"/>
    <n v="1.4"/>
    <n v="2895.94"/>
    <n v="1"/>
    <n v="4.2"/>
    <n v="0.79"/>
    <x v="5"/>
  </r>
  <r>
    <s v="ENC100758"/>
    <s v="PT21512"/>
    <s v="Northgate General"/>
    <s v="Northeast"/>
    <d v="2025-08-30T00:00:00"/>
    <d v="2025-09-03T00:00:00"/>
    <x v="1"/>
    <s v="Urgent"/>
    <s v="GI"/>
    <n v="1"/>
    <s v="0-12"/>
    <s v="Female"/>
    <s v="Medicare"/>
    <n v="3.7"/>
    <n v="11587.21"/>
    <n v="0"/>
    <n v="4.4000000000000004"/>
    <n v="0.87"/>
    <x v="4"/>
  </r>
  <r>
    <s v="ENC100759"/>
    <s v="PT75670"/>
    <s v="Northgate General"/>
    <s v="West"/>
    <d v="2025-03-10T00:00:00"/>
    <d v="2025-03-22T00:00:00"/>
    <x v="4"/>
    <s v="Emergency"/>
    <s v="Cardiac"/>
    <n v="21"/>
    <s v="18-34"/>
    <s v="Female"/>
    <s v="Medicaid"/>
    <n v="11.2"/>
    <n v="46905.13"/>
    <n v="1"/>
    <n v="3.2"/>
    <n v="0.72"/>
    <x v="11"/>
  </r>
  <r>
    <s v="ENC100760"/>
    <s v="PT25839"/>
    <s v="Riverside Medical Center"/>
    <s v="Northeast"/>
    <d v="2025-11-03T00:00:00"/>
    <d v="2025-11-11T00:00:00"/>
    <x v="4"/>
    <s v="Urgent"/>
    <s v="Other"/>
    <n v="27"/>
    <s v="18-34"/>
    <s v="Male"/>
    <s v="Commercial"/>
    <n v="7.5"/>
    <n v="30580.22"/>
    <n v="0"/>
    <n v="3.2"/>
    <n v="0.82"/>
    <x v="0"/>
  </r>
  <r>
    <s v="ENC100761"/>
    <s v="PT59768"/>
    <s v="St. Catherine Hospital"/>
    <s v="Northeast"/>
    <d v="2025-12-27T00:00:00"/>
    <d v="2026-01-02T00:00:00"/>
    <x v="7"/>
    <s v="Urgent"/>
    <s v="Injury"/>
    <n v="54"/>
    <s v="50-64"/>
    <s v="Female"/>
    <s v="Medicare"/>
    <n v="6"/>
    <n v="16547.62"/>
    <n v="0"/>
    <n v="3.9"/>
    <n v="0.72"/>
    <x v="2"/>
  </r>
  <r>
    <s v="ENC100762"/>
    <s v="PT95415"/>
    <s v="Metro Regional"/>
    <s v="South"/>
    <d v="2025-02-22T00:00:00"/>
    <d v="2025-02-23T00:00:00"/>
    <x v="0"/>
    <s v="Emergency"/>
    <s v="Respiratory"/>
    <n v="36"/>
    <s v="35-49"/>
    <s v="Male"/>
    <s v="Medicare"/>
    <n v="0.8"/>
    <n v="1638.28"/>
    <n v="0"/>
    <n v="3.8"/>
    <n v="0.84"/>
    <x v="9"/>
  </r>
  <r>
    <s v="ENC100763"/>
    <s v="PT94251"/>
    <s v="Lakeside Health"/>
    <s v="South"/>
    <d v="2025-10-26T00:00:00"/>
    <d v="2025-10-28T00:00:00"/>
    <x v="3"/>
    <s v="Elective"/>
    <s v="Cardiac"/>
    <n v="14"/>
    <s v="13-17"/>
    <s v="Female"/>
    <s v="Self-Pay"/>
    <n v="1.9"/>
    <n v="3269.41"/>
    <n v="0"/>
    <n v="4.5"/>
    <n v="0.73"/>
    <x v="3"/>
  </r>
  <r>
    <s v="ENC100764"/>
    <s v="PT42470"/>
    <s v="Northgate General"/>
    <s v="Northeast"/>
    <d v="2025-10-26T00:00:00"/>
    <d v="2025-10-31T00:00:00"/>
    <x v="2"/>
    <s v="Elective"/>
    <s v="Other"/>
    <n v="51"/>
    <s v="50-64"/>
    <s v="Female"/>
    <s v="Medicaid"/>
    <n v="4.9000000000000004"/>
    <n v="9953.32"/>
    <n v="0"/>
    <n v="4.3"/>
    <n v="0.83"/>
    <x v="3"/>
  </r>
  <r>
    <s v="ENC100765"/>
    <s v="PT80226"/>
    <s v="Lakeside Health"/>
    <s v="West"/>
    <d v="2025-09-28T00:00:00"/>
    <d v="2025-09-30T00:00:00"/>
    <x v="3"/>
    <s v="Elective"/>
    <s v="Cardiac"/>
    <n v="87"/>
    <s v="75+"/>
    <s v="Female"/>
    <s v="Commercial"/>
    <n v="1.1000000000000001"/>
    <n v="2341.16"/>
    <n v="0"/>
    <n v="3.7"/>
    <n v="0.73"/>
    <x v="6"/>
  </r>
  <r>
    <s v="ENC100766"/>
    <s v="PT65140"/>
    <s v="Metro Regional"/>
    <s v="Midwest"/>
    <d v="2025-05-16T00:00:00"/>
    <d v="2025-05-22T00:00:00"/>
    <x v="2"/>
    <s v="Emergency"/>
    <s v="GI"/>
    <n v="12"/>
    <s v="0-12"/>
    <s v="Female"/>
    <s v="Medicare"/>
    <n v="5.3"/>
    <n v="11355.02"/>
    <n v="0"/>
    <n v="4.3"/>
    <n v="0.89"/>
    <x v="10"/>
  </r>
  <r>
    <s v="ENC100767"/>
    <s v="PT53142"/>
    <s v="St. Catherine Hospital"/>
    <s v="West"/>
    <d v="2025-06-21T00:00:00"/>
    <d v="2025-06-25T00:00:00"/>
    <x v="1"/>
    <s v="Emergency"/>
    <s v="Cardiac"/>
    <n v="22"/>
    <s v="18-34"/>
    <s v="Male"/>
    <s v="Medicare"/>
    <n v="3.3"/>
    <n v="11962.75"/>
    <n v="0"/>
    <n v="2.7"/>
    <n v="0.76"/>
    <x v="1"/>
  </r>
  <r>
    <s v="ENC100768"/>
    <s v="PT22593"/>
    <s v="Metro Regional"/>
    <s v="Northeast"/>
    <d v="2025-11-03T00:00:00"/>
    <d v="2025-11-14T00:00:00"/>
    <x v="5"/>
    <s v="Emergency"/>
    <s v="Cardiac"/>
    <n v="43"/>
    <s v="35-49"/>
    <s v="Male"/>
    <s v="Commercial"/>
    <n v="10.6"/>
    <n v="31092.959999999999"/>
    <n v="1"/>
    <n v="3.3"/>
    <n v="0.83"/>
    <x v="0"/>
  </r>
  <r>
    <s v="ENC100769"/>
    <s v="PT43871"/>
    <s v="Northgate General"/>
    <s v="Northeast"/>
    <d v="2025-02-25T00:00:00"/>
    <d v="2025-03-01T00:00:00"/>
    <x v="5"/>
    <s v="Elective"/>
    <s v="Other"/>
    <n v="66"/>
    <s v="65-74"/>
    <s v="Female"/>
    <s v="Medicare"/>
    <n v="3.6"/>
    <n v="7995.33"/>
    <n v="0"/>
    <n v="4.0999999999999996"/>
    <n v="0.77"/>
    <x v="9"/>
  </r>
  <r>
    <s v="ENC100770"/>
    <s v="PT68671"/>
    <s v="Northgate General"/>
    <s v="South"/>
    <d v="2025-10-30T00:00:00"/>
    <d v="2025-11-02T00:00:00"/>
    <x v="6"/>
    <s v="Urgent"/>
    <s v="Cardiac"/>
    <n v="12"/>
    <s v="0-12"/>
    <s v="Female"/>
    <s v="Commercial"/>
    <n v="2.4"/>
    <n v="6697.41"/>
    <n v="0"/>
    <n v="4.5999999999999996"/>
    <n v="0.8"/>
    <x v="3"/>
  </r>
  <r>
    <s v="ENC100771"/>
    <s v="PT98795"/>
    <s v="St. Catherine Hospital"/>
    <s v="Northeast"/>
    <d v="2025-12-03T00:00:00"/>
    <d v="2025-12-06T00:00:00"/>
    <x v="9"/>
    <s v="Elective"/>
    <s v="Respiratory"/>
    <n v="21"/>
    <s v="18-34"/>
    <s v="Male"/>
    <s v="Commercial"/>
    <n v="2.7"/>
    <n v="6586.42"/>
    <n v="0"/>
    <n v="4"/>
    <n v="0.81"/>
    <x v="2"/>
  </r>
  <r>
    <s v="ENC100772"/>
    <s v="PT10440"/>
    <s v="St. Catherine Hospital"/>
    <s v="South"/>
    <d v="2025-09-06T00:00:00"/>
    <d v="2025-09-15T00:00:00"/>
    <x v="2"/>
    <s v="Elective"/>
    <s v="Neurological"/>
    <n v="21"/>
    <s v="18-34"/>
    <s v="Male"/>
    <s v="Medicare"/>
    <n v="8.6"/>
    <n v="20124.62"/>
    <n v="0"/>
    <n v="4.5999999999999996"/>
    <n v="0.83"/>
    <x v="6"/>
  </r>
  <r>
    <s v="ENC100773"/>
    <s v="PT74597"/>
    <s v="Metro Regional"/>
    <s v="Northeast"/>
    <d v="2025-05-05T00:00:00"/>
    <d v="2025-05-08T00:00:00"/>
    <x v="7"/>
    <s v="Urgent"/>
    <s v="Pediatric"/>
    <n v="56"/>
    <s v="50-64"/>
    <s v="Male"/>
    <s v="Commercial"/>
    <n v="2.6"/>
    <n v="6870.76"/>
    <n v="0"/>
    <n v="4.4000000000000004"/>
    <n v="0.85"/>
    <x v="10"/>
  </r>
  <r>
    <s v="ENC100774"/>
    <s v="PT86169"/>
    <s v="St. Catherine Hospital"/>
    <s v="South"/>
    <d v="2025-07-24T00:00:00"/>
    <d v="2025-07-28T00:00:00"/>
    <x v="8"/>
    <s v="Elective"/>
    <s v="Injury"/>
    <n v="7"/>
    <s v="0-12"/>
    <s v="Male"/>
    <s v="Medicare"/>
    <n v="3.8"/>
    <n v="11345.15"/>
    <n v="0"/>
    <n v="3.6"/>
    <n v="0.83"/>
    <x v="5"/>
  </r>
  <r>
    <s v="ENC100775"/>
    <s v="PT95606"/>
    <s v="Northgate General"/>
    <s v="West"/>
    <d v="2025-01-19T00:00:00"/>
    <d v="2025-01-22T00:00:00"/>
    <x v="8"/>
    <s v="Emergency"/>
    <s v="Cardiac"/>
    <n v="59"/>
    <s v="50-64"/>
    <s v="Female"/>
    <s v="Commercial"/>
    <n v="2.1"/>
    <n v="6462.79"/>
    <n v="1"/>
    <n v="3.8"/>
    <n v="0.74"/>
    <x v="8"/>
  </r>
  <r>
    <s v="ENC100776"/>
    <s v="PT48141"/>
    <s v="Northgate General"/>
    <s v="West"/>
    <d v="2025-12-07T00:00:00"/>
    <d v="2025-12-11T00:00:00"/>
    <x v="5"/>
    <s v="Urgent"/>
    <s v="Other"/>
    <n v="38"/>
    <s v="35-49"/>
    <s v="Female"/>
    <s v="Medicaid"/>
    <n v="3.3"/>
    <n v="7660.15"/>
    <n v="0"/>
    <n v="4.0999999999999996"/>
    <n v="0.8"/>
    <x v="2"/>
  </r>
  <r>
    <s v="ENC100777"/>
    <s v="PT20662"/>
    <s v="St. Catherine Hospital"/>
    <s v="West"/>
    <d v="2025-05-05T00:00:00"/>
    <d v="2025-05-06T00:00:00"/>
    <x v="9"/>
    <s v="Emergency"/>
    <s v="GI"/>
    <n v="29"/>
    <s v="18-34"/>
    <s v="Male"/>
    <s v="Commercial"/>
    <n v="1"/>
    <n v="2212.9899999999998"/>
    <n v="0"/>
    <n v="3.6"/>
    <n v="0.86"/>
    <x v="10"/>
  </r>
  <r>
    <s v="ENC100778"/>
    <s v="PT34386"/>
    <s v="Northgate General"/>
    <s v="West"/>
    <d v="2025-01-21T00:00:00"/>
    <d v="2025-01-25T00:00:00"/>
    <x v="2"/>
    <s v="Emergency"/>
    <s v="Pediatric"/>
    <n v="78"/>
    <s v="75+"/>
    <s v="Male"/>
    <s v="Medicaid"/>
    <n v="4"/>
    <n v="8243.09"/>
    <n v="0"/>
    <n v="4.8"/>
    <n v="0.71"/>
    <x v="8"/>
  </r>
  <r>
    <s v="ENC100779"/>
    <s v="PT86547"/>
    <s v="Lakeside Health"/>
    <s v="Midwest"/>
    <d v="2025-10-17T00:00:00"/>
    <d v="2025-10-21T00:00:00"/>
    <x v="8"/>
    <s v="Emergency"/>
    <s v="Maternal"/>
    <n v="74"/>
    <s v="65-74"/>
    <s v="Male"/>
    <s v="Commercial"/>
    <n v="3.3"/>
    <n v="7823.75"/>
    <n v="0"/>
    <n v="3.2"/>
    <n v="0.77"/>
    <x v="3"/>
  </r>
  <r>
    <s v="ENC100780"/>
    <s v="PT89013"/>
    <s v="Northgate General"/>
    <s v="Midwest"/>
    <d v="2025-08-29T00:00:00"/>
    <d v="2025-09-04T00:00:00"/>
    <x v="1"/>
    <s v="Urgent"/>
    <s v="GI"/>
    <n v="73"/>
    <s v="65-74"/>
    <s v="Female"/>
    <s v="Medicare"/>
    <n v="5.8"/>
    <n v="21198.77"/>
    <n v="0"/>
    <n v="4.0999999999999996"/>
    <n v="0.81"/>
    <x v="4"/>
  </r>
  <r>
    <s v="ENC100781"/>
    <s v="PT67336"/>
    <s v="Northgate General"/>
    <s v="West"/>
    <d v="2025-08-16T00:00:00"/>
    <d v="2025-08-26T00:00:00"/>
    <x v="7"/>
    <s v="Emergency"/>
    <s v="Cancer"/>
    <n v="80"/>
    <s v="75+"/>
    <s v="Female"/>
    <s v="Commercial"/>
    <n v="9.5"/>
    <n v="31980.23"/>
    <n v="0"/>
    <n v="4.0999999999999996"/>
    <n v="0.84"/>
    <x v="4"/>
  </r>
  <r>
    <s v="ENC100782"/>
    <s v="PT21046"/>
    <s v="Lakeside Health"/>
    <s v="West"/>
    <d v="2025-01-20T00:00:00"/>
    <d v="2025-01-29T00:00:00"/>
    <x v="1"/>
    <s v="Emergency"/>
    <s v="Injury"/>
    <n v="21"/>
    <s v="18-34"/>
    <s v="Male"/>
    <s v="Commercial"/>
    <n v="8.1"/>
    <n v="31846.65"/>
    <n v="0"/>
    <n v="3.5"/>
    <n v="0.78"/>
    <x v="8"/>
  </r>
  <r>
    <s v="ENC100783"/>
    <s v="PT20972"/>
    <s v="Riverside Medical Center"/>
    <s v="West"/>
    <d v="2025-10-02T00:00:00"/>
    <d v="2025-10-05T00:00:00"/>
    <x v="8"/>
    <s v="Emergency"/>
    <s v="GI"/>
    <n v="77"/>
    <s v="75+"/>
    <s v="Female"/>
    <s v="Medicare"/>
    <n v="2.2000000000000002"/>
    <n v="5450.74"/>
    <n v="0"/>
    <n v="3.6"/>
    <n v="0.82"/>
    <x v="3"/>
  </r>
  <r>
    <s v="ENC100784"/>
    <s v="PT53035"/>
    <s v="Lakeside Health"/>
    <s v="South"/>
    <d v="2025-08-21T00:00:00"/>
    <d v="2025-08-29T00:00:00"/>
    <x v="4"/>
    <s v="Emergency"/>
    <s v="GI"/>
    <n v="16"/>
    <s v="13-17"/>
    <s v="Female"/>
    <s v="Medicaid"/>
    <n v="7.9"/>
    <n v="34206.449999999997"/>
    <n v="0"/>
    <n v="3.6"/>
    <n v="0.77"/>
    <x v="4"/>
  </r>
  <r>
    <s v="ENC100785"/>
    <s v="PT62942"/>
    <s v="St. Catherine Hospital"/>
    <s v="Northeast"/>
    <d v="2025-10-17T00:00:00"/>
    <d v="2025-10-23T00:00:00"/>
    <x v="9"/>
    <s v="Emergency"/>
    <s v="Other"/>
    <n v="30"/>
    <s v="18-34"/>
    <s v="Male"/>
    <s v="Medicaid"/>
    <n v="5.5"/>
    <n v="10477.56"/>
    <n v="1"/>
    <n v="4.4000000000000004"/>
    <n v="0.77"/>
    <x v="3"/>
  </r>
  <r>
    <s v="ENC100786"/>
    <s v="PT12914"/>
    <s v="St. Catherine Hospital"/>
    <s v="West"/>
    <d v="2025-10-29T00:00:00"/>
    <d v="2025-10-31T00:00:00"/>
    <x v="8"/>
    <s v="Elective"/>
    <s v="Infectious"/>
    <n v="50"/>
    <s v="50-64"/>
    <s v="Female"/>
    <s v="Commercial"/>
    <n v="1.4"/>
    <n v="3864.21"/>
    <n v="0"/>
    <n v="3.6"/>
    <n v="0.78"/>
    <x v="3"/>
  </r>
  <r>
    <s v="ENC100787"/>
    <s v="PT71747"/>
    <s v="Lakeside Health"/>
    <s v="West"/>
    <d v="2025-03-19T00:00:00"/>
    <d v="2025-03-23T00:00:00"/>
    <x v="2"/>
    <s v="Urgent"/>
    <s v="Injury"/>
    <n v="67"/>
    <s v="65-74"/>
    <s v="Female"/>
    <s v="Commercial"/>
    <n v="3.1"/>
    <n v="7839.8"/>
    <n v="0"/>
    <n v="3.3"/>
    <n v="0.7"/>
    <x v="11"/>
  </r>
  <r>
    <s v="ENC100788"/>
    <s v="PT59005"/>
    <s v="Lakeside Health"/>
    <s v="South"/>
    <d v="2025-03-18T00:00:00"/>
    <d v="2025-03-20T00:00:00"/>
    <x v="9"/>
    <s v="Emergency"/>
    <s v="Neurological"/>
    <n v="52"/>
    <s v="50-64"/>
    <s v="Female"/>
    <s v="Medicaid"/>
    <n v="1.1000000000000001"/>
    <n v="2578.7600000000002"/>
    <n v="0"/>
    <n v="4.5999999999999996"/>
    <n v="0.81"/>
    <x v="11"/>
  </r>
  <r>
    <s v="ENC100789"/>
    <s v="PT11107"/>
    <s v="Metro Regional"/>
    <s v="West"/>
    <d v="2025-12-04T00:00:00"/>
    <d v="2025-12-08T00:00:00"/>
    <x v="3"/>
    <s v="Emergency"/>
    <s v="Infectious"/>
    <n v="50"/>
    <s v="50-64"/>
    <s v="Male"/>
    <s v="Medicare"/>
    <n v="3.3"/>
    <n v="6371.31"/>
    <n v="0"/>
    <n v="3.9"/>
    <n v="0.86"/>
    <x v="2"/>
  </r>
  <r>
    <s v="ENC100790"/>
    <s v="PT18610"/>
    <s v="Northgate General"/>
    <s v="South"/>
    <d v="2025-07-13T00:00:00"/>
    <d v="2025-07-16T00:00:00"/>
    <x v="3"/>
    <s v="Emergency"/>
    <s v="Cancer"/>
    <n v="34"/>
    <s v="18-34"/>
    <s v="Female"/>
    <s v="Commercial"/>
    <n v="2.5"/>
    <n v="5102.92"/>
    <n v="1"/>
    <n v="4.3"/>
    <n v="0.74"/>
    <x v="5"/>
  </r>
  <r>
    <s v="ENC100791"/>
    <s v="PT50888"/>
    <s v="Northgate General"/>
    <s v="West"/>
    <d v="2025-06-09T00:00:00"/>
    <d v="2025-06-14T00:00:00"/>
    <x v="2"/>
    <s v="Emergency"/>
    <s v="Maternal"/>
    <n v="53"/>
    <s v="50-64"/>
    <s v="Female"/>
    <s v="Medicaid"/>
    <n v="4.5"/>
    <n v="8771.11"/>
    <n v="0"/>
    <n v="4.4000000000000004"/>
    <n v="0.79"/>
    <x v="1"/>
  </r>
  <r>
    <s v="ENC100792"/>
    <s v="PT75031"/>
    <s v="Lakeside Health"/>
    <s v="Northeast"/>
    <d v="2025-04-15T00:00:00"/>
    <d v="2025-04-19T00:00:00"/>
    <x v="6"/>
    <s v="Elective"/>
    <s v="Infectious"/>
    <n v="43"/>
    <s v="35-49"/>
    <s v="Female"/>
    <s v="Medicare"/>
    <n v="3.6"/>
    <n v="9367.9500000000007"/>
    <n v="1"/>
    <n v="5"/>
    <n v="0.8"/>
    <x v="7"/>
  </r>
  <r>
    <s v="ENC100793"/>
    <s v="PT84285"/>
    <s v="St. Catherine Hospital"/>
    <s v="West"/>
    <d v="2025-08-22T00:00:00"/>
    <d v="2025-08-23T00:00:00"/>
    <x v="3"/>
    <s v="Elective"/>
    <s v="Respiratory"/>
    <n v="43"/>
    <s v="35-49"/>
    <s v="Female"/>
    <s v="Medicare"/>
    <n v="0.5"/>
    <n v="829.26"/>
    <n v="0"/>
    <n v="4.4000000000000004"/>
    <n v="0.84"/>
    <x v="4"/>
  </r>
  <r>
    <s v="ENC100794"/>
    <s v="PT48816"/>
    <s v="Lakeside Health"/>
    <s v="Northeast"/>
    <d v="2025-10-03T00:00:00"/>
    <d v="2025-10-12T00:00:00"/>
    <x v="5"/>
    <s v="Elective"/>
    <s v="Infectious"/>
    <n v="53"/>
    <s v="50-64"/>
    <s v="Female"/>
    <s v="Commercial"/>
    <n v="8.9"/>
    <n v="26638.49"/>
    <n v="0"/>
    <n v="3.3"/>
    <n v="0.71"/>
    <x v="3"/>
  </r>
  <r>
    <s v="ENC100795"/>
    <s v="PT36582"/>
    <s v="St. Catherine Hospital"/>
    <s v="Midwest"/>
    <d v="2025-01-01T00:00:00"/>
    <d v="2025-01-04T00:00:00"/>
    <x v="2"/>
    <s v="Emergency"/>
    <s v="GI"/>
    <n v="54"/>
    <s v="50-64"/>
    <s v="Male"/>
    <s v="Medicare"/>
    <n v="2.2999999999999998"/>
    <n v="4808.2299999999996"/>
    <n v="0"/>
    <n v="4.2"/>
    <n v="0.67"/>
    <x v="8"/>
  </r>
  <r>
    <s v="ENC100796"/>
    <s v="PT97146"/>
    <s v="Lakeside Health"/>
    <s v="Northeast"/>
    <d v="2025-07-21T00:00:00"/>
    <d v="2025-07-23T00:00:00"/>
    <x v="6"/>
    <s v="Elective"/>
    <s v="Other"/>
    <n v="30"/>
    <s v="18-34"/>
    <s v="Female"/>
    <s v="Commercial"/>
    <n v="1.4"/>
    <n v="3415.34"/>
    <n v="0"/>
    <n v="3.6"/>
    <n v="0.77"/>
    <x v="5"/>
  </r>
  <r>
    <s v="ENC100797"/>
    <s v="PT51268"/>
    <s v="Riverside Medical Center"/>
    <s v="Midwest"/>
    <d v="2025-12-29T00:00:00"/>
    <d v="2026-01-04T00:00:00"/>
    <x v="6"/>
    <s v="Emergency"/>
    <s v="Cancer"/>
    <n v="12"/>
    <s v="0-12"/>
    <s v="Female"/>
    <s v="Medicaid"/>
    <n v="5.9"/>
    <n v="14803.2"/>
    <n v="0"/>
    <n v="3.6"/>
    <n v="0.78"/>
    <x v="2"/>
  </r>
  <r>
    <s v="ENC100798"/>
    <s v="PT38384"/>
    <s v="St. Catherine Hospital"/>
    <s v="Northeast"/>
    <d v="2025-04-13T00:00:00"/>
    <d v="2025-04-16T00:00:00"/>
    <x v="1"/>
    <s v="Emergency"/>
    <s v="Infectious"/>
    <n v="27"/>
    <s v="18-34"/>
    <s v="Female"/>
    <s v="Commercial"/>
    <n v="2.5"/>
    <n v="7945.23"/>
    <n v="0"/>
    <n v="3.1"/>
    <n v="0.82"/>
    <x v="7"/>
  </r>
  <r>
    <s v="ENC100799"/>
    <s v="PT49807"/>
    <s v="Riverside Medical Center"/>
    <s v="West"/>
    <d v="2025-04-13T00:00:00"/>
    <d v="2025-04-15T00:00:00"/>
    <x v="0"/>
    <s v="Urgent"/>
    <s v="Neurological"/>
    <n v="37"/>
    <s v="35-49"/>
    <s v="Female"/>
    <s v="Medicaid"/>
    <n v="1.2"/>
    <n v="2388.4899999999998"/>
    <n v="0"/>
    <n v="3.7"/>
    <n v="0.86"/>
    <x v="7"/>
  </r>
  <r>
    <s v="ENC100800"/>
    <s v="PT11088"/>
    <s v="Northgate General"/>
    <s v="South"/>
    <d v="2025-11-17T00:00:00"/>
    <d v="2025-11-23T00:00:00"/>
    <x v="1"/>
    <s v="Elective"/>
    <s v="Infectious"/>
    <n v="14"/>
    <s v="13-17"/>
    <s v="Female"/>
    <s v="Medicaid"/>
    <n v="5.8"/>
    <n v="17513.5"/>
    <n v="0"/>
    <n v="4.2"/>
    <n v="0.82"/>
    <x v="0"/>
  </r>
  <r>
    <s v="ENC100801"/>
    <s v="PT37173"/>
    <s v="Lakeside Health"/>
    <s v="West"/>
    <d v="2025-01-23T00:00:00"/>
    <d v="2025-01-25T00:00:00"/>
    <x v="5"/>
    <s v="Urgent"/>
    <s v="Respiratory"/>
    <n v="16"/>
    <s v="13-17"/>
    <s v="Male"/>
    <s v="Medicaid"/>
    <n v="1.2"/>
    <n v="2969.16"/>
    <n v="0"/>
    <n v="3.9"/>
    <n v="0.82"/>
    <x v="8"/>
  </r>
  <r>
    <s v="ENC100802"/>
    <s v="PT56399"/>
    <s v="St. Catherine Hospital"/>
    <s v="Northeast"/>
    <d v="2025-05-26T00:00:00"/>
    <d v="2025-05-30T00:00:00"/>
    <x v="9"/>
    <s v="Urgent"/>
    <s v="Other"/>
    <n v="86"/>
    <s v="75+"/>
    <s v="Male"/>
    <s v="Commercial"/>
    <n v="3.3"/>
    <n v="8544.9699999999993"/>
    <n v="1"/>
    <n v="3.2"/>
    <n v="0.85"/>
    <x v="10"/>
  </r>
  <r>
    <s v="ENC100803"/>
    <s v="PT92658"/>
    <s v="Northgate General"/>
    <s v="Northeast"/>
    <d v="2025-06-17T00:00:00"/>
    <d v="2025-06-23T00:00:00"/>
    <x v="4"/>
    <s v="Elective"/>
    <s v="Other"/>
    <n v="25"/>
    <s v="18-34"/>
    <s v="Male"/>
    <s v="Commercial"/>
    <n v="5.9"/>
    <n v="26782.14"/>
    <n v="0"/>
    <n v="2.9"/>
    <n v="0.85"/>
    <x v="1"/>
  </r>
  <r>
    <s v="ENC100804"/>
    <s v="PT76439"/>
    <s v="Metro Regional"/>
    <s v="South"/>
    <d v="2025-10-19T00:00:00"/>
    <d v="2025-10-21T00:00:00"/>
    <x v="3"/>
    <s v="Urgent"/>
    <s v="Infectious"/>
    <n v="67"/>
    <s v="65-74"/>
    <s v="Female"/>
    <s v="Medicare"/>
    <n v="1.7"/>
    <n v="3086.53"/>
    <n v="0"/>
    <n v="5"/>
    <n v="0.9"/>
    <x v="3"/>
  </r>
  <r>
    <s v="ENC100805"/>
    <s v="PT80315"/>
    <s v="Lakeside Health"/>
    <s v="South"/>
    <d v="2025-02-17T00:00:00"/>
    <d v="2025-02-22T00:00:00"/>
    <x v="1"/>
    <s v="Emergency"/>
    <s v="Infectious"/>
    <n v="11"/>
    <s v="0-12"/>
    <s v="Male"/>
    <s v="Medicare"/>
    <n v="4.9000000000000004"/>
    <n v="14513.65"/>
    <n v="1"/>
    <n v="4.0999999999999996"/>
    <n v="0.81"/>
    <x v="9"/>
  </r>
  <r>
    <s v="ENC100806"/>
    <s v="PT59040"/>
    <s v="St. Catherine Hospital"/>
    <s v="South"/>
    <d v="2025-06-08T00:00:00"/>
    <d v="2025-06-26T00:00:00"/>
    <x v="5"/>
    <s v="Emergency"/>
    <s v="Respiratory"/>
    <n v="88"/>
    <s v="75+"/>
    <s v="Male"/>
    <s v="Medicaid"/>
    <n v="17.2"/>
    <n v="40081.82"/>
    <n v="0"/>
    <n v="3.2"/>
    <n v="0.8"/>
    <x v="1"/>
  </r>
  <r>
    <s v="ENC100807"/>
    <s v="PT19952"/>
    <s v="Metro Regional"/>
    <s v="West"/>
    <d v="2025-02-25T00:00:00"/>
    <d v="2025-02-27T00:00:00"/>
    <x v="3"/>
    <s v="Emergency"/>
    <s v="Infectious"/>
    <n v="19"/>
    <s v="18-34"/>
    <s v="Female"/>
    <s v="Commercial"/>
    <n v="1.2"/>
    <n v="2651.14"/>
    <n v="0"/>
    <n v="4"/>
    <n v="0.79"/>
    <x v="9"/>
  </r>
  <r>
    <s v="ENC100808"/>
    <s v="PT45182"/>
    <s v="St. Catherine Hospital"/>
    <s v="West"/>
    <d v="2025-10-15T00:00:00"/>
    <d v="2025-10-16T00:00:00"/>
    <x v="3"/>
    <s v="Emergency"/>
    <s v="Cancer"/>
    <n v="35"/>
    <s v="35-49"/>
    <s v="Female"/>
    <s v="Medicaid"/>
    <n v="0.8"/>
    <n v="1374.49"/>
    <n v="0"/>
    <n v="5"/>
    <n v="0.9"/>
    <x v="3"/>
  </r>
  <r>
    <s v="ENC100809"/>
    <s v="PT99732"/>
    <s v="Metro Regional"/>
    <s v="South"/>
    <d v="2025-08-19T00:00:00"/>
    <d v="2025-08-22T00:00:00"/>
    <x v="2"/>
    <s v="Emergency"/>
    <s v="GI"/>
    <n v="71"/>
    <s v="65-74"/>
    <s v="Male"/>
    <s v="Commercial"/>
    <n v="3"/>
    <n v="6926.52"/>
    <n v="1"/>
    <n v="4.3"/>
    <n v="0.84"/>
    <x v="4"/>
  </r>
  <r>
    <s v="ENC100810"/>
    <s v="PT13975"/>
    <s v="Riverside Medical Center"/>
    <s v="West"/>
    <d v="2025-07-01T00:00:00"/>
    <d v="2025-07-03T00:00:00"/>
    <x v="3"/>
    <s v="Emergency"/>
    <s v="Respiratory"/>
    <n v="18"/>
    <s v="18-34"/>
    <s v="Female"/>
    <s v="Commercial"/>
    <n v="1.4"/>
    <n v="2722.41"/>
    <n v="0"/>
    <n v="2"/>
    <n v="0.87"/>
    <x v="5"/>
  </r>
  <r>
    <s v="ENC100811"/>
    <s v="PT89127"/>
    <s v="Northgate General"/>
    <s v="South"/>
    <d v="2025-05-24T00:00:00"/>
    <d v="2025-06-01T00:00:00"/>
    <x v="6"/>
    <s v="Elective"/>
    <s v="GI"/>
    <n v="50"/>
    <s v="50-64"/>
    <s v="Female"/>
    <s v="Commercial"/>
    <n v="7.5"/>
    <n v="18253.759999999998"/>
    <n v="0"/>
    <n v="5"/>
    <n v="0.76"/>
    <x v="10"/>
  </r>
  <r>
    <s v="ENC100812"/>
    <s v="PT71603"/>
    <s v="Northgate General"/>
    <s v="South"/>
    <d v="2025-02-25T00:00:00"/>
    <d v="2025-02-27T00:00:00"/>
    <x v="3"/>
    <s v="Elective"/>
    <s v="Injury"/>
    <n v="71"/>
    <s v="65-74"/>
    <s v="Male"/>
    <s v="Medicaid"/>
    <n v="1.5"/>
    <n v="2360.34"/>
    <n v="0"/>
    <n v="2.6"/>
    <n v="0.82"/>
    <x v="9"/>
  </r>
  <r>
    <s v="ENC100813"/>
    <s v="PT35551"/>
    <s v="Riverside Medical Center"/>
    <s v="Midwest"/>
    <d v="2025-12-03T00:00:00"/>
    <d v="2025-12-05T00:00:00"/>
    <x v="5"/>
    <s v="Elective"/>
    <s v="GI"/>
    <n v="2"/>
    <s v="0-12"/>
    <s v="Female"/>
    <s v="Commercial"/>
    <n v="1.7"/>
    <n v="4473.8599999999997"/>
    <n v="0"/>
    <n v="3.8"/>
    <n v="0.72"/>
    <x v="2"/>
  </r>
  <r>
    <s v="ENC100814"/>
    <s v="PT80018"/>
    <s v="St. Catherine Hospital"/>
    <s v="Northeast"/>
    <d v="2025-08-25T00:00:00"/>
    <d v="2025-09-15T00:00:00"/>
    <x v="7"/>
    <s v="Emergency"/>
    <s v="Infectious"/>
    <n v="2"/>
    <s v="0-12"/>
    <s v="Male"/>
    <s v="Commercial"/>
    <n v="21"/>
    <n v="63860.35"/>
    <n v="0"/>
    <n v="3"/>
    <n v="0.78"/>
    <x v="4"/>
  </r>
  <r>
    <s v="ENC100815"/>
    <s v="PT85319"/>
    <s v="Riverside Medical Center"/>
    <s v="Northeast"/>
    <d v="2025-04-27T00:00:00"/>
    <d v="2025-05-01T00:00:00"/>
    <x v="0"/>
    <s v="Elective"/>
    <s v="Cardiac"/>
    <n v="71"/>
    <s v="65-74"/>
    <s v="Female"/>
    <s v="Medicaid"/>
    <n v="3.9"/>
    <n v="7613.9"/>
    <n v="0"/>
    <n v="3.5"/>
    <n v="0.82"/>
    <x v="7"/>
  </r>
  <r>
    <s v="ENC100816"/>
    <s v="PT13889"/>
    <s v="Lakeside Health"/>
    <s v="South"/>
    <d v="2025-06-01T00:00:00"/>
    <d v="2025-06-03T00:00:00"/>
    <x v="6"/>
    <s v="Emergency"/>
    <s v="Cancer"/>
    <n v="23"/>
    <s v="18-34"/>
    <s v="Female"/>
    <s v="Medicare"/>
    <n v="1.3"/>
    <n v="3787.57"/>
    <n v="1"/>
    <n v="4.0999999999999996"/>
    <n v="0.77"/>
    <x v="1"/>
  </r>
  <r>
    <s v="ENC100817"/>
    <s v="PT19577"/>
    <s v="Riverside Medical Center"/>
    <s v="South"/>
    <d v="2025-09-23T00:00:00"/>
    <d v="2025-09-24T00:00:00"/>
    <x v="3"/>
    <s v="Emergency"/>
    <s v="Pediatric"/>
    <n v="82"/>
    <s v="75+"/>
    <s v="Female"/>
    <s v="Commercial"/>
    <n v="0.4"/>
    <n v="705.08"/>
    <n v="0"/>
    <n v="2.5"/>
    <n v="0.86"/>
    <x v="6"/>
  </r>
  <r>
    <s v="ENC100818"/>
    <s v="PT69916"/>
    <s v="Riverside Medical Center"/>
    <s v="Midwest"/>
    <d v="2025-09-20T00:00:00"/>
    <d v="2025-09-22T00:00:00"/>
    <x v="4"/>
    <s v="Emergency"/>
    <s v="Infectious"/>
    <n v="84"/>
    <s v="75+"/>
    <s v="Female"/>
    <s v="Commercial"/>
    <n v="1.8"/>
    <n v="7677.8"/>
    <n v="0"/>
    <n v="3.7"/>
    <n v="0.78"/>
    <x v="6"/>
  </r>
  <r>
    <s v="ENC100819"/>
    <s v="PT99918"/>
    <s v="Metro Regional"/>
    <s v="South"/>
    <d v="2025-06-18T00:00:00"/>
    <d v="2025-06-23T00:00:00"/>
    <x v="7"/>
    <s v="Emergency"/>
    <s v="Respiratory"/>
    <n v="80"/>
    <s v="75+"/>
    <s v="Male"/>
    <s v="Medicare"/>
    <n v="4.4000000000000004"/>
    <n v="13000.09"/>
    <n v="0"/>
    <n v="4.5999999999999996"/>
    <n v="0.87"/>
    <x v="1"/>
  </r>
  <r>
    <s v="ENC100820"/>
    <s v="PT12156"/>
    <s v="Lakeside Health"/>
    <s v="Northeast"/>
    <d v="2025-04-21T00:00:00"/>
    <d v="2025-04-27T00:00:00"/>
    <x v="4"/>
    <s v="Emergency"/>
    <s v="Cancer"/>
    <n v="90"/>
    <s v="75+"/>
    <s v="Male"/>
    <s v="Commercial"/>
    <n v="5.9"/>
    <n v="30802.9"/>
    <n v="0"/>
    <n v="3.3"/>
    <n v="0.8"/>
    <x v="7"/>
  </r>
  <r>
    <s v="ENC100821"/>
    <s v="PT69910"/>
    <s v="Metro Regional"/>
    <s v="Northeast"/>
    <d v="2025-08-29T00:00:00"/>
    <d v="2025-08-30T00:00:00"/>
    <x v="3"/>
    <s v="Elective"/>
    <s v="Injury"/>
    <n v="74"/>
    <s v="65-74"/>
    <s v="Male"/>
    <s v="Commercial"/>
    <n v="0.5"/>
    <n v="945.2"/>
    <n v="0"/>
    <n v="2.9"/>
    <n v="0.93"/>
    <x v="4"/>
  </r>
  <r>
    <s v="ENC100822"/>
    <s v="PT22287"/>
    <s v="St. Catherine Hospital"/>
    <s v="West"/>
    <d v="2025-08-29T00:00:00"/>
    <d v="2025-08-30T00:00:00"/>
    <x v="3"/>
    <s v="Elective"/>
    <s v="GI"/>
    <n v="34"/>
    <s v="18-34"/>
    <s v="Female"/>
    <s v="Medicare"/>
    <n v="0.2"/>
    <n v="373.32"/>
    <n v="0"/>
    <n v="3.6"/>
    <n v="0.83"/>
    <x v="4"/>
  </r>
  <r>
    <s v="ENC100823"/>
    <s v="PT68510"/>
    <s v="Riverside Medical Center"/>
    <s v="Midwest"/>
    <d v="2025-08-07T00:00:00"/>
    <d v="2025-08-09T00:00:00"/>
    <x v="8"/>
    <s v="Elective"/>
    <s v="Infectious"/>
    <n v="90"/>
    <s v="75+"/>
    <s v="Female"/>
    <s v="Commercial"/>
    <n v="1.1000000000000001"/>
    <n v="2723.31"/>
    <n v="0"/>
    <n v="3.7"/>
    <n v="0.8"/>
    <x v="4"/>
  </r>
  <r>
    <s v="ENC100824"/>
    <s v="PT66097"/>
    <s v="St. Catherine Hospital"/>
    <s v="Northeast"/>
    <d v="2025-01-27T00:00:00"/>
    <d v="2025-02-02T00:00:00"/>
    <x v="5"/>
    <s v="Emergency"/>
    <s v="Respiratory"/>
    <n v="31"/>
    <s v="18-34"/>
    <s v="Female"/>
    <s v="Medicare"/>
    <n v="6"/>
    <n v="17301.64"/>
    <n v="0"/>
    <n v="3.5"/>
    <n v="0.75"/>
    <x v="8"/>
  </r>
  <r>
    <s v="ENC100825"/>
    <s v="PT18139"/>
    <s v="St. Catherine Hospital"/>
    <s v="Midwest"/>
    <d v="2025-06-22T00:00:00"/>
    <d v="2025-06-26T00:00:00"/>
    <x v="7"/>
    <s v="Elective"/>
    <s v="Infectious"/>
    <n v="53"/>
    <s v="50-64"/>
    <s v="Female"/>
    <s v="Commercial"/>
    <n v="3.2"/>
    <n v="10168.709999999999"/>
    <n v="0"/>
    <n v="3.2"/>
    <n v="0.87"/>
    <x v="1"/>
  </r>
  <r>
    <s v="ENC100826"/>
    <s v="PT71264"/>
    <s v="Riverside Medical Center"/>
    <s v="Midwest"/>
    <d v="2025-08-13T00:00:00"/>
    <d v="2025-08-15T00:00:00"/>
    <x v="1"/>
    <s v="Elective"/>
    <s v="Maternal"/>
    <n v="0"/>
    <s v="0-12"/>
    <s v="Male"/>
    <s v="Commercial"/>
    <n v="1.3"/>
    <n v="4144.0200000000004"/>
    <n v="0"/>
    <n v="4.2"/>
    <n v="0.85"/>
    <x v="4"/>
  </r>
  <r>
    <s v="ENC100827"/>
    <s v="PT90732"/>
    <s v="Metro Regional"/>
    <s v="South"/>
    <d v="2025-12-13T00:00:00"/>
    <d v="2025-12-18T00:00:00"/>
    <x v="7"/>
    <s v="Emergency"/>
    <s v="Maternal"/>
    <n v="87"/>
    <s v="75+"/>
    <s v="Female"/>
    <s v="Commercial"/>
    <n v="4.9000000000000004"/>
    <n v="13885.02"/>
    <n v="0"/>
    <n v="4.3"/>
    <n v="0.84"/>
    <x v="2"/>
  </r>
  <r>
    <s v="ENC100828"/>
    <s v="PT87709"/>
    <s v="Lakeside Health"/>
    <s v="West"/>
    <d v="2025-07-11T00:00:00"/>
    <d v="2025-07-14T00:00:00"/>
    <x v="0"/>
    <s v="Elective"/>
    <s v="Respiratory"/>
    <n v="53"/>
    <s v="50-64"/>
    <s v="Female"/>
    <s v="Commercial"/>
    <n v="2.4"/>
    <n v="4772.18"/>
    <n v="0"/>
    <n v="3.3"/>
    <n v="0.69"/>
    <x v="5"/>
  </r>
  <r>
    <s v="ENC100829"/>
    <s v="PT12609"/>
    <s v="Lakeside Health"/>
    <s v="South"/>
    <d v="2025-05-06T00:00:00"/>
    <d v="2025-05-14T00:00:00"/>
    <x v="4"/>
    <s v="Emergency"/>
    <s v="Injury"/>
    <n v="86"/>
    <s v="75+"/>
    <s v="Female"/>
    <s v="Commercial"/>
    <n v="8"/>
    <n v="31449.58"/>
    <n v="1"/>
    <n v="3"/>
    <n v="0.71"/>
    <x v="10"/>
  </r>
  <r>
    <s v="ENC100830"/>
    <s v="PT32132"/>
    <s v="St. Catherine Hospital"/>
    <s v="South"/>
    <d v="2025-07-22T00:00:00"/>
    <d v="2025-07-24T00:00:00"/>
    <x v="3"/>
    <s v="Emergency"/>
    <s v="Cancer"/>
    <n v="32"/>
    <s v="18-34"/>
    <s v="Male"/>
    <s v="Commercial"/>
    <n v="1.1000000000000001"/>
    <n v="2193.83"/>
    <n v="0"/>
    <n v="3.8"/>
    <n v="0.83"/>
    <x v="5"/>
  </r>
  <r>
    <s v="ENC100831"/>
    <s v="PT31674"/>
    <s v="Lakeside Health"/>
    <s v="Midwest"/>
    <d v="2025-03-06T00:00:00"/>
    <d v="2025-03-10T00:00:00"/>
    <x v="5"/>
    <s v="Emergency"/>
    <s v="Cardiac"/>
    <n v="28"/>
    <s v="18-34"/>
    <s v="Female"/>
    <s v="Medicaid"/>
    <n v="3.5"/>
    <n v="9751.7999999999993"/>
    <n v="0"/>
    <n v="3.3"/>
    <n v="0.76"/>
    <x v="11"/>
  </r>
  <r>
    <s v="ENC100832"/>
    <s v="PT50795"/>
    <s v="Northgate General"/>
    <s v="South"/>
    <d v="2025-02-03T00:00:00"/>
    <d v="2025-02-10T00:00:00"/>
    <x v="6"/>
    <s v="Emergency"/>
    <s v="Cancer"/>
    <n v="47"/>
    <s v="35-49"/>
    <s v="Male"/>
    <s v="Medicaid"/>
    <n v="6.3"/>
    <n v="14493.2"/>
    <n v="0"/>
    <n v="4"/>
    <n v="0.7"/>
    <x v="9"/>
  </r>
  <r>
    <s v="ENC100833"/>
    <s v="PT22871"/>
    <s v="Metro Regional"/>
    <s v="Midwest"/>
    <d v="2025-09-05T00:00:00"/>
    <d v="2025-09-07T00:00:00"/>
    <x v="7"/>
    <s v="Emergency"/>
    <s v="Respiratory"/>
    <n v="78"/>
    <s v="75+"/>
    <s v="Male"/>
    <s v="Commercial"/>
    <n v="1.8"/>
    <n v="4967.62"/>
    <n v="0"/>
    <n v="4.8"/>
    <n v="0.87"/>
    <x v="6"/>
  </r>
  <r>
    <s v="ENC100834"/>
    <s v="PT86890"/>
    <s v="Northgate General"/>
    <s v="Northeast"/>
    <d v="2025-12-26T00:00:00"/>
    <d v="2025-12-27T00:00:00"/>
    <x v="3"/>
    <s v="Emergency"/>
    <s v="Respiratory"/>
    <n v="49"/>
    <s v="35-49"/>
    <s v="Male"/>
    <s v="Medicare"/>
    <n v="0.9"/>
    <n v="1466.88"/>
    <n v="0"/>
    <n v="3.7"/>
    <n v="0.72"/>
    <x v="2"/>
  </r>
  <r>
    <s v="ENC100835"/>
    <s v="PT79908"/>
    <s v="Riverside Medical Center"/>
    <s v="West"/>
    <d v="2025-11-05T00:00:00"/>
    <d v="2025-11-06T00:00:00"/>
    <x v="2"/>
    <s v="Emergency"/>
    <s v="GI"/>
    <n v="72"/>
    <s v="65-74"/>
    <s v="Female"/>
    <s v="Medicare"/>
    <n v="0.4"/>
    <n v="824.93"/>
    <n v="0"/>
    <n v="3.2"/>
    <n v="0.87"/>
    <x v="0"/>
  </r>
  <r>
    <s v="ENC100836"/>
    <s v="PT82750"/>
    <s v="Riverside Medical Center"/>
    <s v="Midwest"/>
    <d v="2025-08-02T00:00:00"/>
    <d v="2025-08-04T00:00:00"/>
    <x v="9"/>
    <s v="Urgent"/>
    <s v="Injury"/>
    <n v="19"/>
    <s v="18-34"/>
    <s v="Female"/>
    <s v="Medicaid"/>
    <n v="1.6"/>
    <n v="3400.8"/>
    <n v="0"/>
    <n v="4.0999999999999996"/>
    <n v="0.83"/>
    <x v="4"/>
  </r>
  <r>
    <s v="ENC100837"/>
    <s v="PT27838"/>
    <s v="Lakeside Health"/>
    <s v="Midwest"/>
    <d v="2025-01-15T00:00:00"/>
    <d v="2025-01-17T00:00:00"/>
    <x v="3"/>
    <s v="Emergency"/>
    <s v="GI"/>
    <n v="70"/>
    <s v="65-74"/>
    <s v="Female"/>
    <s v="Commercial"/>
    <n v="1.2"/>
    <n v="2223.2399999999998"/>
    <n v="0"/>
    <n v="3.6"/>
    <n v="0.73"/>
    <x v="8"/>
  </r>
  <r>
    <s v="ENC100838"/>
    <s v="PT11311"/>
    <s v="Metro Regional"/>
    <s v="Northeast"/>
    <d v="2025-12-27T00:00:00"/>
    <d v="2026-01-07T00:00:00"/>
    <x v="4"/>
    <s v="Emergency"/>
    <s v="Respiratory"/>
    <n v="66"/>
    <s v="65-74"/>
    <s v="Male"/>
    <s v="Commercial"/>
    <n v="10.7"/>
    <n v="51085.05"/>
    <n v="1"/>
    <n v="3.5"/>
    <n v="0.88"/>
    <x v="2"/>
  </r>
  <r>
    <s v="ENC100839"/>
    <s v="PT91956"/>
    <s v="Metro Regional"/>
    <s v="West"/>
    <d v="2025-06-14T00:00:00"/>
    <d v="2025-06-15T00:00:00"/>
    <x v="2"/>
    <s v="Emergency"/>
    <s v="Infectious"/>
    <n v="81"/>
    <s v="75+"/>
    <s v="Male"/>
    <s v="Commercial"/>
    <n v="0.4"/>
    <n v="1026.02"/>
    <n v="0"/>
    <n v="4.2"/>
    <n v="0.85"/>
    <x v="1"/>
  </r>
  <r>
    <s v="ENC100840"/>
    <s v="PT36001"/>
    <s v="Lakeside Health"/>
    <s v="Northeast"/>
    <d v="2025-04-16T00:00:00"/>
    <d v="2025-04-19T00:00:00"/>
    <x v="6"/>
    <s v="Urgent"/>
    <s v="Cancer"/>
    <n v="5"/>
    <s v="0-12"/>
    <s v="Male"/>
    <s v="Commercial"/>
    <n v="2.9"/>
    <n v="9530.44"/>
    <n v="0"/>
    <n v="4.3"/>
    <n v="0.8"/>
    <x v="7"/>
  </r>
  <r>
    <s v="ENC100841"/>
    <s v="PT69063"/>
    <s v="Metro Regional"/>
    <s v="Midwest"/>
    <d v="2025-11-22T00:00:00"/>
    <d v="2025-12-02T00:00:00"/>
    <x v="2"/>
    <s v="Elective"/>
    <s v="Maternal"/>
    <n v="34"/>
    <s v="18-34"/>
    <s v="Female"/>
    <s v="Commercial"/>
    <n v="9.1"/>
    <n v="17417.55"/>
    <n v="0"/>
    <n v="3.7"/>
    <n v="0.84"/>
    <x v="0"/>
  </r>
  <r>
    <s v="ENC100842"/>
    <s v="PT91848"/>
    <s v="Lakeside Health"/>
    <s v="West"/>
    <d v="2025-09-30T00:00:00"/>
    <d v="2025-10-09T00:00:00"/>
    <x v="4"/>
    <s v="Urgent"/>
    <s v="Maternal"/>
    <n v="8"/>
    <s v="0-12"/>
    <s v="Female"/>
    <s v="Medicaid"/>
    <n v="8.1"/>
    <n v="27887.75"/>
    <n v="0"/>
    <n v="3.6"/>
    <n v="0.76"/>
    <x v="6"/>
  </r>
  <r>
    <s v="ENC100843"/>
    <s v="PT13254"/>
    <s v="Northgate General"/>
    <s v="Midwest"/>
    <d v="2025-10-01T00:00:00"/>
    <d v="2025-10-02T00:00:00"/>
    <x v="9"/>
    <s v="Emergency"/>
    <s v="Cancer"/>
    <n v="36"/>
    <s v="35-49"/>
    <s v="Male"/>
    <s v="Medicaid"/>
    <n v="0.7"/>
    <n v="1765.24"/>
    <n v="0"/>
    <n v="5"/>
    <n v="0.77"/>
    <x v="3"/>
  </r>
  <r>
    <s v="ENC100844"/>
    <s v="PT10492"/>
    <s v="Lakeside Health"/>
    <s v="West"/>
    <d v="2025-04-12T00:00:00"/>
    <d v="2025-04-14T00:00:00"/>
    <x v="9"/>
    <s v="Emergency"/>
    <s v="Infectious"/>
    <n v="69"/>
    <s v="65-74"/>
    <s v="Female"/>
    <s v="Commercial"/>
    <n v="1.7"/>
    <n v="3994.06"/>
    <n v="0"/>
    <n v="4.5999999999999996"/>
    <n v="0.76"/>
    <x v="7"/>
  </r>
  <r>
    <s v="ENC100845"/>
    <s v="PT10488"/>
    <s v="Riverside Medical Center"/>
    <s v="Northeast"/>
    <d v="2025-12-29T00:00:00"/>
    <d v="2025-12-31T00:00:00"/>
    <x v="3"/>
    <s v="Elective"/>
    <s v="Cardiac"/>
    <n v="58"/>
    <s v="50-64"/>
    <s v="Male"/>
    <s v="Medicare"/>
    <n v="1.4"/>
    <n v="2805.59"/>
    <n v="0"/>
    <n v="4.2"/>
    <n v="0.89"/>
    <x v="2"/>
  </r>
  <r>
    <s v="ENC100846"/>
    <s v="PT24069"/>
    <s v="Northgate General"/>
    <s v="South"/>
    <d v="2025-06-15T00:00:00"/>
    <d v="2025-06-18T00:00:00"/>
    <x v="5"/>
    <s v="Emergency"/>
    <s v="Infectious"/>
    <n v="68"/>
    <s v="65-74"/>
    <s v="Male"/>
    <s v="Commercial"/>
    <n v="2.2000000000000002"/>
    <n v="6400.73"/>
    <n v="0"/>
    <n v="4"/>
    <n v="0.76"/>
    <x v="1"/>
  </r>
  <r>
    <s v="ENC100847"/>
    <s v="PT14649"/>
    <s v="Northgate General"/>
    <s v="West"/>
    <d v="2025-07-13T00:00:00"/>
    <d v="2025-07-16T00:00:00"/>
    <x v="0"/>
    <s v="Elective"/>
    <s v="Respiratory"/>
    <n v="67"/>
    <s v="65-74"/>
    <s v="Female"/>
    <s v="Medicare"/>
    <n v="2.2999999999999998"/>
    <n v="5312.36"/>
    <n v="0"/>
    <n v="3.3"/>
    <n v="0.81"/>
    <x v="5"/>
  </r>
  <r>
    <s v="ENC100848"/>
    <s v="PT83797"/>
    <s v="Riverside Medical Center"/>
    <s v="South"/>
    <d v="2025-10-02T00:00:00"/>
    <d v="2025-10-04T00:00:00"/>
    <x v="3"/>
    <s v="Urgent"/>
    <s v="Cancer"/>
    <n v="90"/>
    <s v="75+"/>
    <s v="Female"/>
    <s v="Medicare"/>
    <n v="1.2"/>
    <n v="2568.12"/>
    <n v="1"/>
    <n v="4.4000000000000004"/>
    <n v="0.78"/>
    <x v="3"/>
  </r>
  <r>
    <s v="ENC100849"/>
    <s v="PT64532"/>
    <s v="Metro Regional"/>
    <s v="South"/>
    <d v="2025-08-29T00:00:00"/>
    <d v="2025-09-01T00:00:00"/>
    <x v="6"/>
    <s v="Emergency"/>
    <s v="Cardiac"/>
    <n v="80"/>
    <s v="75+"/>
    <s v="Female"/>
    <s v="Commercial"/>
    <n v="2.6"/>
    <n v="7582.02"/>
    <n v="0"/>
    <n v="4"/>
    <n v="0.76"/>
    <x v="4"/>
  </r>
  <r>
    <s v="ENC100850"/>
    <s v="PT98203"/>
    <s v="Metro Regional"/>
    <s v="Midwest"/>
    <d v="2025-03-04T00:00:00"/>
    <d v="2025-03-05T00:00:00"/>
    <x v="9"/>
    <s v="Urgent"/>
    <s v="Other"/>
    <n v="53"/>
    <s v="50-64"/>
    <s v="Female"/>
    <s v="Medicaid"/>
    <n v="0.6"/>
    <n v="1174.3900000000001"/>
    <n v="1"/>
    <n v="3.6"/>
    <n v="0.85"/>
    <x v="11"/>
  </r>
  <r>
    <s v="ENC100851"/>
    <s v="PT82132"/>
    <s v="Northgate General"/>
    <s v="South"/>
    <d v="2025-04-21T00:00:00"/>
    <d v="2025-04-22T00:00:00"/>
    <x v="3"/>
    <s v="Elective"/>
    <s v="Cancer"/>
    <n v="79"/>
    <s v="75+"/>
    <s v="Male"/>
    <s v="Self-Pay"/>
    <n v="0.5"/>
    <n v="895.66"/>
    <n v="0"/>
    <n v="3.6"/>
    <n v="0.79"/>
    <x v="7"/>
  </r>
  <r>
    <s v="ENC100852"/>
    <s v="PT96685"/>
    <s v="Lakeside Health"/>
    <s v="West"/>
    <d v="2025-05-12T00:00:00"/>
    <d v="2025-05-26T00:00:00"/>
    <x v="5"/>
    <s v="Emergency"/>
    <s v="Infectious"/>
    <n v="4"/>
    <s v="0-12"/>
    <s v="Female"/>
    <s v="Medicare"/>
    <n v="13.6"/>
    <n v="35314.6"/>
    <n v="0"/>
    <n v="3.1"/>
    <n v="0.75"/>
    <x v="10"/>
  </r>
  <r>
    <s v="ENC100853"/>
    <s v="PT31469"/>
    <s v="Northgate General"/>
    <s v="South"/>
    <d v="2025-12-12T00:00:00"/>
    <d v="2025-12-15T00:00:00"/>
    <x v="1"/>
    <s v="Emergency"/>
    <s v="Injury"/>
    <n v="65"/>
    <s v="65-74"/>
    <s v="Female"/>
    <s v="Medicare"/>
    <n v="2.5"/>
    <n v="7067.19"/>
    <n v="1"/>
    <n v="4.5"/>
    <n v="0.72"/>
    <x v="2"/>
  </r>
  <r>
    <s v="ENC100854"/>
    <s v="PT35901"/>
    <s v="Riverside Medical Center"/>
    <s v="West"/>
    <d v="2025-09-18T00:00:00"/>
    <d v="2025-09-21T00:00:00"/>
    <x v="6"/>
    <s v="Emergency"/>
    <s v="Injury"/>
    <n v="47"/>
    <s v="35-49"/>
    <s v="Female"/>
    <s v="Medicare"/>
    <n v="2.1"/>
    <n v="5658.2"/>
    <n v="0"/>
    <n v="4.3"/>
    <n v="0.83"/>
    <x v="6"/>
  </r>
  <r>
    <s v="ENC100855"/>
    <s v="PT86445"/>
    <s v="Northgate General"/>
    <s v="South"/>
    <d v="2025-05-14T00:00:00"/>
    <d v="2025-05-17T00:00:00"/>
    <x v="5"/>
    <s v="Elective"/>
    <s v="Cardiac"/>
    <n v="87"/>
    <s v="75+"/>
    <s v="Female"/>
    <s v="Commercial"/>
    <n v="2.7"/>
    <n v="8651.68"/>
    <n v="1"/>
    <n v="4"/>
    <n v="0.79"/>
    <x v="10"/>
  </r>
  <r>
    <s v="ENC100856"/>
    <s v="PT32039"/>
    <s v="Northgate General"/>
    <s v="South"/>
    <d v="2025-09-26T00:00:00"/>
    <d v="2025-09-30T00:00:00"/>
    <x v="9"/>
    <s v="Emergency"/>
    <s v="Other"/>
    <n v="45"/>
    <s v="35-49"/>
    <s v="Male"/>
    <s v="Commercial"/>
    <n v="4"/>
    <n v="8946.06"/>
    <n v="0"/>
    <n v="3.9"/>
    <n v="0.74"/>
    <x v="6"/>
  </r>
  <r>
    <s v="ENC100857"/>
    <s v="PT15150"/>
    <s v="Northgate General"/>
    <s v="Midwest"/>
    <d v="2025-09-27T00:00:00"/>
    <d v="2025-10-01T00:00:00"/>
    <x v="5"/>
    <s v="Emergency"/>
    <s v="Maternal"/>
    <n v="16"/>
    <s v="13-17"/>
    <s v="Male"/>
    <s v="Medicare"/>
    <n v="3.1"/>
    <n v="8596.51"/>
    <n v="0"/>
    <n v="3.5"/>
    <n v="0.73"/>
    <x v="6"/>
  </r>
  <r>
    <s v="ENC100858"/>
    <s v="PT70221"/>
    <s v="Riverside Medical Center"/>
    <s v="South"/>
    <d v="2025-05-24T00:00:00"/>
    <d v="2025-05-25T00:00:00"/>
    <x v="3"/>
    <s v="Elective"/>
    <s v="Cardiac"/>
    <n v="65"/>
    <s v="65-74"/>
    <s v="Female"/>
    <s v="Commercial"/>
    <n v="0.9"/>
    <n v="1722.9"/>
    <n v="1"/>
    <n v="2.4"/>
    <n v="0.81"/>
    <x v="10"/>
  </r>
  <r>
    <s v="ENC100859"/>
    <s v="PT82085"/>
    <s v="Riverside Medical Center"/>
    <s v="West"/>
    <d v="2025-05-28T00:00:00"/>
    <d v="2025-05-30T00:00:00"/>
    <x v="3"/>
    <s v="Emergency"/>
    <s v="Maternal"/>
    <n v="86"/>
    <s v="75+"/>
    <s v="Female"/>
    <s v="Medicaid"/>
    <n v="1.2"/>
    <n v="1621.29"/>
    <n v="0"/>
    <n v="2.9"/>
    <n v="0.85"/>
    <x v="10"/>
  </r>
  <r>
    <s v="ENC100860"/>
    <s v="PT97136"/>
    <s v="Riverside Medical Center"/>
    <s v="South"/>
    <d v="2025-11-23T00:00:00"/>
    <d v="2025-11-28T00:00:00"/>
    <x v="9"/>
    <s v="Emergency"/>
    <s v="Cancer"/>
    <n v="1"/>
    <s v="0-12"/>
    <s v="Female"/>
    <s v="Medicare"/>
    <n v="4.4000000000000004"/>
    <n v="12000.69"/>
    <n v="0"/>
    <n v="3.5"/>
    <n v="0.84"/>
    <x v="0"/>
  </r>
  <r>
    <s v="ENC100861"/>
    <s v="PT93500"/>
    <s v="Metro Regional"/>
    <s v="Northeast"/>
    <d v="2025-07-25T00:00:00"/>
    <d v="2025-07-28T00:00:00"/>
    <x v="6"/>
    <s v="Elective"/>
    <s v="Respiratory"/>
    <n v="5"/>
    <s v="0-12"/>
    <s v="Female"/>
    <s v="Commercial"/>
    <n v="2.4"/>
    <n v="5429.38"/>
    <n v="0"/>
    <n v="3.4"/>
    <n v="0.8"/>
    <x v="5"/>
  </r>
  <r>
    <s v="ENC100862"/>
    <s v="PT20820"/>
    <s v="Riverside Medical Center"/>
    <s v="South"/>
    <d v="2025-02-24T00:00:00"/>
    <d v="2025-02-28T00:00:00"/>
    <x v="5"/>
    <s v="Emergency"/>
    <s v="Neurological"/>
    <n v="60"/>
    <s v="50-64"/>
    <s v="Female"/>
    <s v="Commercial"/>
    <n v="3.9"/>
    <n v="11401.59"/>
    <n v="1"/>
    <n v="4.0999999999999996"/>
    <n v="0.83"/>
    <x v="9"/>
  </r>
  <r>
    <s v="ENC100863"/>
    <s v="PT79488"/>
    <s v="Northgate General"/>
    <s v="South"/>
    <d v="2025-09-20T00:00:00"/>
    <d v="2025-09-21T00:00:00"/>
    <x v="3"/>
    <s v="Emergency"/>
    <s v="Cardiac"/>
    <n v="50"/>
    <s v="50-64"/>
    <s v="Male"/>
    <s v="Self-Pay"/>
    <n v="0.6"/>
    <n v="1045.1099999999999"/>
    <n v="0"/>
    <n v="4.2"/>
    <n v="0.82"/>
    <x v="6"/>
  </r>
  <r>
    <s v="ENC100864"/>
    <s v="PT86150"/>
    <s v="St. Catherine Hospital"/>
    <s v="West"/>
    <d v="2025-08-04T00:00:00"/>
    <d v="2025-08-10T00:00:00"/>
    <x v="7"/>
    <s v="Emergency"/>
    <s v="Cardiac"/>
    <n v="49"/>
    <s v="35-49"/>
    <s v="Female"/>
    <s v="Commercial"/>
    <n v="5.6"/>
    <n v="19396.23"/>
    <n v="0"/>
    <n v="3.8"/>
    <n v="0.75"/>
    <x v="4"/>
  </r>
  <r>
    <s v="ENC100865"/>
    <s v="PT72830"/>
    <s v="Northgate General"/>
    <s v="Northeast"/>
    <d v="2025-07-05T00:00:00"/>
    <d v="2025-07-09T00:00:00"/>
    <x v="9"/>
    <s v="Emergency"/>
    <s v="GI"/>
    <n v="8"/>
    <s v="0-12"/>
    <s v="Female"/>
    <s v="Commercial"/>
    <n v="3.4"/>
    <n v="8684.7900000000009"/>
    <n v="0"/>
    <n v="4.7"/>
    <n v="0.78"/>
    <x v="5"/>
  </r>
  <r>
    <s v="ENC100866"/>
    <s v="PT83781"/>
    <s v="St. Catherine Hospital"/>
    <s v="Northeast"/>
    <d v="2025-09-22T00:00:00"/>
    <d v="2025-09-28T00:00:00"/>
    <x v="5"/>
    <s v="Emergency"/>
    <s v="Injury"/>
    <n v="52"/>
    <s v="50-64"/>
    <s v="Female"/>
    <s v="Commercial"/>
    <n v="6"/>
    <n v="18309.009999999998"/>
    <n v="0"/>
    <n v="3.4"/>
    <n v="0.85"/>
    <x v="6"/>
  </r>
  <r>
    <s v="ENC100867"/>
    <s v="PT85417"/>
    <s v="Riverside Medical Center"/>
    <s v="Midwest"/>
    <d v="2025-11-28T00:00:00"/>
    <d v="2025-12-05T00:00:00"/>
    <x v="9"/>
    <s v="Elective"/>
    <s v="Other"/>
    <n v="51"/>
    <s v="50-64"/>
    <s v="Male"/>
    <s v="Medicare"/>
    <n v="6.7"/>
    <n v="14961.75"/>
    <n v="0"/>
    <n v="3.8"/>
    <n v="0.77"/>
    <x v="0"/>
  </r>
  <r>
    <s v="ENC100868"/>
    <s v="PT50189"/>
    <s v="Lakeside Health"/>
    <s v="Northeast"/>
    <d v="2025-05-01T00:00:00"/>
    <d v="2025-05-03T00:00:00"/>
    <x v="8"/>
    <s v="Urgent"/>
    <s v="GI"/>
    <n v="77"/>
    <s v="75+"/>
    <s v="Female"/>
    <s v="Self-Pay"/>
    <n v="1.6"/>
    <n v="3444.8"/>
    <n v="0"/>
    <n v="3.9"/>
    <n v="0.8"/>
    <x v="10"/>
  </r>
  <r>
    <s v="ENC100869"/>
    <s v="PT13613"/>
    <s v="St. Catherine Hospital"/>
    <s v="West"/>
    <d v="2025-06-03T00:00:00"/>
    <d v="2025-06-07T00:00:00"/>
    <x v="5"/>
    <s v="Emergency"/>
    <s v="Pediatric"/>
    <n v="35"/>
    <s v="35-49"/>
    <s v="Male"/>
    <s v="Commercial"/>
    <n v="3.8"/>
    <n v="10291.48"/>
    <n v="0"/>
    <n v="4.5999999999999996"/>
    <n v="0.86"/>
    <x v="1"/>
  </r>
  <r>
    <s v="ENC100870"/>
    <s v="PT51057"/>
    <s v="Lakeside Health"/>
    <s v="Midwest"/>
    <d v="2025-03-11T00:00:00"/>
    <d v="2025-03-14T00:00:00"/>
    <x v="1"/>
    <s v="Urgent"/>
    <s v="Infectious"/>
    <n v="31"/>
    <s v="18-34"/>
    <s v="Female"/>
    <s v="Medicaid"/>
    <n v="2.7"/>
    <n v="7088.69"/>
    <n v="0"/>
    <n v="4"/>
    <n v="0.74"/>
    <x v="11"/>
  </r>
  <r>
    <s v="ENC100871"/>
    <s v="PT28160"/>
    <s v="St. Catherine Hospital"/>
    <s v="South"/>
    <d v="2025-08-25T00:00:00"/>
    <d v="2025-09-04T00:00:00"/>
    <x v="5"/>
    <s v="Elective"/>
    <s v="Pediatric"/>
    <n v="7"/>
    <s v="0-12"/>
    <s v="Male"/>
    <s v="Commercial"/>
    <n v="9.6999999999999993"/>
    <n v="28873.73"/>
    <n v="0"/>
    <n v="3.8"/>
    <n v="0.79"/>
    <x v="4"/>
  </r>
  <r>
    <s v="ENC100872"/>
    <s v="PT20235"/>
    <s v="St. Catherine Hospital"/>
    <s v="Northeast"/>
    <d v="2025-05-27T00:00:00"/>
    <d v="2025-05-31T00:00:00"/>
    <x v="6"/>
    <s v="Elective"/>
    <s v="Injury"/>
    <n v="51"/>
    <s v="50-64"/>
    <s v="Male"/>
    <s v="Medicare"/>
    <n v="4"/>
    <n v="8560.33"/>
    <n v="0"/>
    <n v="2.9"/>
    <n v="0.84"/>
    <x v="10"/>
  </r>
  <r>
    <s v="ENC100873"/>
    <s v="PT21243"/>
    <s v="Northgate General"/>
    <s v="Midwest"/>
    <d v="2025-05-05T00:00:00"/>
    <d v="2025-05-06T00:00:00"/>
    <x v="1"/>
    <s v="Elective"/>
    <s v="Infectious"/>
    <n v="58"/>
    <s v="50-64"/>
    <s v="Female"/>
    <s v="Commercial"/>
    <n v="0.7"/>
    <n v="2308.59"/>
    <n v="1"/>
    <n v="3.4"/>
    <n v="0.77"/>
    <x v="10"/>
  </r>
  <r>
    <s v="ENC100874"/>
    <s v="PT72762"/>
    <s v="Northgate General"/>
    <s v="West"/>
    <d v="2025-09-12T00:00:00"/>
    <d v="2025-09-15T00:00:00"/>
    <x v="7"/>
    <s v="Elective"/>
    <s v="Neurological"/>
    <n v="25"/>
    <s v="18-34"/>
    <s v="Female"/>
    <s v="Medicare"/>
    <n v="2.2999999999999998"/>
    <n v="6313.94"/>
    <n v="1"/>
    <n v="4.5999999999999996"/>
    <n v="0.69"/>
    <x v="6"/>
  </r>
  <r>
    <s v="ENC100875"/>
    <s v="PT55407"/>
    <s v="St. Catherine Hospital"/>
    <s v="Midwest"/>
    <d v="2025-05-29T00:00:00"/>
    <d v="2025-05-31T00:00:00"/>
    <x v="0"/>
    <s v="Elective"/>
    <s v="Other"/>
    <n v="66"/>
    <s v="65-74"/>
    <s v="Female"/>
    <s v="Medicare"/>
    <n v="1.4"/>
    <n v="2574.4899999999998"/>
    <n v="0"/>
    <n v="2.7"/>
    <n v="0.8"/>
    <x v="10"/>
  </r>
  <r>
    <s v="ENC100876"/>
    <s v="PT58584"/>
    <s v="Riverside Medical Center"/>
    <s v="Northeast"/>
    <d v="2025-06-19T00:00:00"/>
    <d v="2025-06-20T00:00:00"/>
    <x v="9"/>
    <s v="Emergency"/>
    <s v="Cardiac"/>
    <n v="85"/>
    <s v="75+"/>
    <s v="Male"/>
    <s v="Medicare"/>
    <n v="0.6"/>
    <n v="1438.95"/>
    <n v="0"/>
    <n v="4.7"/>
    <n v="0.84"/>
    <x v="1"/>
  </r>
  <r>
    <s v="ENC100877"/>
    <s v="PT77066"/>
    <s v="Northgate General"/>
    <s v="Northeast"/>
    <d v="2025-06-10T00:00:00"/>
    <d v="2025-06-14T00:00:00"/>
    <x v="8"/>
    <s v="Emergency"/>
    <s v="Infectious"/>
    <n v="15"/>
    <s v="13-17"/>
    <s v="Male"/>
    <s v="Commercial"/>
    <n v="3.5"/>
    <n v="9237.9699999999993"/>
    <n v="0"/>
    <n v="4.2"/>
    <n v="0.81"/>
    <x v="1"/>
  </r>
  <r>
    <s v="ENC100878"/>
    <s v="PT59343"/>
    <s v="Lakeside Health"/>
    <s v="West"/>
    <d v="2025-04-05T00:00:00"/>
    <d v="2025-04-07T00:00:00"/>
    <x v="6"/>
    <s v="Emergency"/>
    <s v="Maternal"/>
    <n v="52"/>
    <s v="50-64"/>
    <s v="Female"/>
    <s v="Medicaid"/>
    <n v="1.7"/>
    <n v="3919.06"/>
    <n v="0"/>
    <n v="3.5"/>
    <n v="0.71"/>
    <x v="7"/>
  </r>
  <r>
    <s v="ENC100879"/>
    <s v="PT66700"/>
    <s v="Riverside Medical Center"/>
    <s v="West"/>
    <d v="2025-02-15T00:00:00"/>
    <d v="2025-02-19T00:00:00"/>
    <x v="3"/>
    <s v="Emergency"/>
    <s v="Cancer"/>
    <n v="63"/>
    <s v="50-64"/>
    <s v="Female"/>
    <s v="Self-Pay"/>
    <n v="3.5"/>
    <n v="6433.6"/>
    <n v="0"/>
    <n v="3.2"/>
    <n v="0.81"/>
    <x v="9"/>
  </r>
  <r>
    <s v="ENC100880"/>
    <s v="PT17742"/>
    <s v="Riverside Medical Center"/>
    <s v="Northeast"/>
    <d v="2025-10-29T00:00:00"/>
    <d v="2025-11-04T00:00:00"/>
    <x v="7"/>
    <s v="Elective"/>
    <s v="Pediatric"/>
    <n v="1"/>
    <s v="0-12"/>
    <s v="Female"/>
    <s v="Medicare"/>
    <n v="5.0999999999999996"/>
    <n v="13428.02"/>
    <n v="0"/>
    <n v="5"/>
    <n v="0.86"/>
    <x v="3"/>
  </r>
  <r>
    <s v="ENC100881"/>
    <s v="PT86600"/>
    <s v="Lakeside Health"/>
    <s v="South"/>
    <d v="2025-02-03T00:00:00"/>
    <d v="2025-02-06T00:00:00"/>
    <x v="8"/>
    <s v="Emergency"/>
    <s v="Cancer"/>
    <n v="16"/>
    <s v="13-17"/>
    <s v="Female"/>
    <s v="Medicare"/>
    <n v="2.4"/>
    <n v="6774.6"/>
    <n v="0"/>
    <n v="4.7"/>
    <n v="0.75"/>
    <x v="9"/>
  </r>
  <r>
    <s v="ENC100882"/>
    <s v="PT50389"/>
    <s v="Northgate General"/>
    <s v="Northeast"/>
    <d v="2025-04-29T00:00:00"/>
    <d v="2025-05-01T00:00:00"/>
    <x v="2"/>
    <s v="Emergency"/>
    <s v="Cardiac"/>
    <n v="36"/>
    <s v="35-49"/>
    <s v="Male"/>
    <s v="Medicaid"/>
    <n v="1.2"/>
    <n v="2855.88"/>
    <n v="0"/>
    <n v="3.8"/>
    <n v="0.72"/>
    <x v="7"/>
  </r>
  <r>
    <s v="ENC100883"/>
    <s v="PT23969"/>
    <s v="Metro Regional"/>
    <s v="South"/>
    <d v="2025-09-01T00:00:00"/>
    <d v="2025-09-05T00:00:00"/>
    <x v="8"/>
    <s v="Emergency"/>
    <s v="Infectious"/>
    <n v="12"/>
    <s v="0-12"/>
    <s v="Female"/>
    <s v="Commercial"/>
    <n v="3.1"/>
    <n v="9164.7999999999993"/>
    <n v="0"/>
    <n v="4"/>
    <n v="0.89"/>
    <x v="6"/>
  </r>
  <r>
    <s v="ENC100884"/>
    <s v="PT83198"/>
    <s v="Metro Regional"/>
    <s v="Northeast"/>
    <d v="2025-02-17T00:00:00"/>
    <d v="2025-02-25T00:00:00"/>
    <x v="2"/>
    <s v="Emergency"/>
    <s v="Cancer"/>
    <n v="32"/>
    <s v="18-34"/>
    <s v="Female"/>
    <s v="Medicaid"/>
    <n v="8"/>
    <n v="16610.88"/>
    <n v="0"/>
    <n v="3.3"/>
    <n v="0.83"/>
    <x v="9"/>
  </r>
  <r>
    <s v="ENC100885"/>
    <s v="PT76115"/>
    <s v="Metro Regional"/>
    <s v="West"/>
    <d v="2025-08-28T00:00:00"/>
    <d v="2025-08-30T00:00:00"/>
    <x v="6"/>
    <s v="Elective"/>
    <s v="Respiratory"/>
    <n v="13"/>
    <s v="13-17"/>
    <s v="Male"/>
    <s v="Commercial"/>
    <n v="2"/>
    <n v="4765.5600000000004"/>
    <n v="0"/>
    <n v="4"/>
    <n v="0.88"/>
    <x v="4"/>
  </r>
  <r>
    <s v="ENC100886"/>
    <s v="PT14772"/>
    <s v="St. Catherine Hospital"/>
    <s v="West"/>
    <d v="2025-09-25T00:00:00"/>
    <d v="2025-09-28T00:00:00"/>
    <x v="6"/>
    <s v="Elective"/>
    <s v="Respiratory"/>
    <n v="81"/>
    <s v="75+"/>
    <s v="Male"/>
    <s v="Medicaid"/>
    <n v="2.2999999999999998"/>
    <n v="5294.21"/>
    <n v="1"/>
    <n v="3.5"/>
    <n v="0.74"/>
    <x v="6"/>
  </r>
  <r>
    <s v="ENC100887"/>
    <s v="PT27373"/>
    <s v="Northgate General"/>
    <s v="Northeast"/>
    <d v="2025-08-30T00:00:00"/>
    <d v="2025-09-05T00:00:00"/>
    <x v="6"/>
    <s v="Emergency"/>
    <s v="Cardiac"/>
    <n v="54"/>
    <s v="50-64"/>
    <s v="Male"/>
    <s v="Commercial"/>
    <n v="5.7"/>
    <n v="15754.73"/>
    <n v="0"/>
    <n v="3.9"/>
    <n v="0.78"/>
    <x v="4"/>
  </r>
  <r>
    <s v="ENC100888"/>
    <s v="PT11417"/>
    <s v="Lakeside Health"/>
    <s v="Midwest"/>
    <d v="2025-04-22T00:00:00"/>
    <d v="2025-04-26T00:00:00"/>
    <x v="2"/>
    <s v="Emergency"/>
    <s v="Maternal"/>
    <n v="29"/>
    <s v="18-34"/>
    <s v="Female"/>
    <s v="Commercial"/>
    <n v="3.6"/>
    <n v="7254.48"/>
    <n v="0"/>
    <n v="5"/>
    <n v="0.77"/>
    <x v="7"/>
  </r>
  <r>
    <s v="ENC100889"/>
    <s v="PT34368"/>
    <s v="Lakeside Health"/>
    <s v="Northeast"/>
    <d v="2025-01-08T00:00:00"/>
    <d v="2025-01-15T00:00:00"/>
    <x v="5"/>
    <s v="Emergency"/>
    <s v="Other"/>
    <n v="70"/>
    <s v="65-74"/>
    <s v="Male"/>
    <s v="Medicare"/>
    <n v="6.6"/>
    <n v="17565.8"/>
    <n v="0"/>
    <n v="3.8"/>
    <n v="0.75"/>
    <x v="8"/>
  </r>
  <r>
    <s v="ENC100890"/>
    <s v="PT18998"/>
    <s v="Lakeside Health"/>
    <s v="Midwest"/>
    <d v="2025-11-20T00:00:00"/>
    <d v="2025-11-26T00:00:00"/>
    <x v="7"/>
    <s v="Emergency"/>
    <s v="Infectious"/>
    <n v="1"/>
    <s v="0-12"/>
    <s v="Male"/>
    <s v="Medicare"/>
    <n v="5.9"/>
    <n v="16205.1"/>
    <n v="0"/>
    <n v="3.3"/>
    <n v="0.7"/>
    <x v="0"/>
  </r>
  <r>
    <s v="ENC100891"/>
    <s v="PT73890"/>
    <s v="Northgate General"/>
    <s v="Northeast"/>
    <d v="2025-04-30T00:00:00"/>
    <d v="2025-05-04T00:00:00"/>
    <x v="1"/>
    <s v="Elective"/>
    <s v="Respiratory"/>
    <n v="54"/>
    <s v="50-64"/>
    <s v="Female"/>
    <s v="Medicaid"/>
    <n v="3.9"/>
    <n v="12734.33"/>
    <n v="0"/>
    <n v="3.1"/>
    <n v="0.68"/>
    <x v="7"/>
  </r>
  <r>
    <s v="ENC100892"/>
    <s v="PT57029"/>
    <s v="Riverside Medical Center"/>
    <s v="Northeast"/>
    <d v="2025-10-21T00:00:00"/>
    <d v="2025-10-22T00:00:00"/>
    <x v="0"/>
    <s v="Elective"/>
    <s v="Infectious"/>
    <n v="62"/>
    <s v="50-64"/>
    <s v="Female"/>
    <s v="Self-Pay"/>
    <n v="0.4"/>
    <n v="788.9"/>
    <n v="0"/>
    <n v="4"/>
    <n v="0.88"/>
    <x v="3"/>
  </r>
  <r>
    <s v="ENC100893"/>
    <s v="PT98217"/>
    <s v="Riverside Medical Center"/>
    <s v="West"/>
    <d v="2025-03-14T00:00:00"/>
    <d v="2025-03-16T00:00:00"/>
    <x v="8"/>
    <s v="Emergency"/>
    <s v="Pediatric"/>
    <n v="73"/>
    <s v="65-74"/>
    <s v="Male"/>
    <s v="Commercial"/>
    <n v="1.2"/>
    <n v="2780.72"/>
    <n v="0"/>
    <n v="3.4"/>
    <n v="0.83"/>
    <x v="11"/>
  </r>
  <r>
    <s v="ENC100894"/>
    <s v="PT77447"/>
    <s v="Riverside Medical Center"/>
    <s v="Northeast"/>
    <d v="2025-03-01T00:00:00"/>
    <d v="2025-03-05T00:00:00"/>
    <x v="1"/>
    <s v="Emergency"/>
    <s v="Maternal"/>
    <n v="20"/>
    <s v="18-34"/>
    <s v="Male"/>
    <s v="Commercial"/>
    <n v="3.9"/>
    <n v="11951.77"/>
    <n v="0"/>
    <n v="4"/>
    <n v="0.87"/>
    <x v="11"/>
  </r>
  <r>
    <s v="ENC100895"/>
    <s v="PT65038"/>
    <s v="Riverside Medical Center"/>
    <s v="West"/>
    <d v="2025-10-12T00:00:00"/>
    <d v="2025-10-14T00:00:00"/>
    <x v="6"/>
    <s v="Urgent"/>
    <s v="Injury"/>
    <n v="53"/>
    <s v="50-64"/>
    <s v="Male"/>
    <s v="Commercial"/>
    <n v="1.2"/>
    <n v="2974.42"/>
    <n v="0"/>
    <n v="2.9"/>
    <n v="0.86"/>
    <x v="3"/>
  </r>
  <r>
    <s v="ENC100896"/>
    <s v="PT55837"/>
    <s v="Metro Regional"/>
    <s v="Northeast"/>
    <d v="2025-12-10T00:00:00"/>
    <d v="2025-12-11T00:00:00"/>
    <x v="3"/>
    <s v="Elective"/>
    <s v="Cardiac"/>
    <n v="69"/>
    <s v="65-74"/>
    <s v="Male"/>
    <s v="Medicare"/>
    <n v="0.9"/>
    <n v="1708.97"/>
    <n v="0"/>
    <n v="4.0999999999999996"/>
    <n v="0.86"/>
    <x v="2"/>
  </r>
  <r>
    <s v="ENC100897"/>
    <s v="PT14904"/>
    <s v="Riverside Medical Center"/>
    <s v="South"/>
    <d v="2025-11-11T00:00:00"/>
    <d v="2025-11-13T00:00:00"/>
    <x v="5"/>
    <s v="Emergency"/>
    <s v="Other"/>
    <n v="72"/>
    <s v="65-74"/>
    <s v="Male"/>
    <s v="Medicare"/>
    <n v="1.2"/>
    <n v="2964.03"/>
    <n v="0"/>
    <n v="3.3"/>
    <n v="0.81"/>
    <x v="0"/>
  </r>
  <r>
    <s v="ENC100898"/>
    <s v="PT16318"/>
    <s v="Lakeside Health"/>
    <s v="Midwest"/>
    <d v="2025-10-02T00:00:00"/>
    <d v="2025-10-05T00:00:00"/>
    <x v="3"/>
    <s v="Emergency"/>
    <s v="Pediatric"/>
    <n v="15"/>
    <s v="13-17"/>
    <s v="Male"/>
    <s v="Medicaid"/>
    <n v="2.2000000000000002"/>
    <n v="3102.15"/>
    <n v="0"/>
    <n v="3.7"/>
    <n v="0.77"/>
    <x v="3"/>
  </r>
  <r>
    <s v="ENC100899"/>
    <s v="PT65467"/>
    <s v="Metro Regional"/>
    <s v="West"/>
    <d v="2025-04-01T00:00:00"/>
    <d v="2025-04-03T00:00:00"/>
    <x v="8"/>
    <s v="Emergency"/>
    <s v="Respiratory"/>
    <n v="88"/>
    <s v="75+"/>
    <s v="Male"/>
    <s v="Medicaid"/>
    <n v="1.7"/>
    <n v="3628.54"/>
    <n v="0"/>
    <n v="3.7"/>
    <n v="0.9"/>
    <x v="7"/>
  </r>
  <r>
    <s v="ENC100900"/>
    <s v="PT10394"/>
    <s v="Northgate General"/>
    <s v="Northeast"/>
    <d v="2025-11-30T00:00:00"/>
    <d v="2025-12-02T00:00:00"/>
    <x v="2"/>
    <s v="Urgent"/>
    <s v="Pediatric"/>
    <n v="24"/>
    <s v="18-34"/>
    <s v="Female"/>
    <s v="Commercial"/>
    <n v="1.2"/>
    <n v="2700.83"/>
    <n v="0"/>
    <n v="4.9000000000000004"/>
    <n v="0.78"/>
    <x v="0"/>
  </r>
  <r>
    <s v="ENC100901"/>
    <s v="PT13811"/>
    <s v="St. Catherine Hospital"/>
    <s v="Northeast"/>
    <d v="2025-09-01T00:00:00"/>
    <d v="2025-09-02T00:00:00"/>
    <x v="3"/>
    <s v="Emergency"/>
    <s v="Respiratory"/>
    <n v="35"/>
    <s v="35-49"/>
    <s v="Female"/>
    <s v="Medicare"/>
    <n v="0.3"/>
    <n v="539.38"/>
    <n v="0"/>
    <n v="3.8"/>
    <n v="0.88"/>
    <x v="6"/>
  </r>
  <r>
    <s v="ENC100902"/>
    <s v="PT29721"/>
    <s v="Lakeside Health"/>
    <s v="South"/>
    <d v="2025-03-04T00:00:00"/>
    <d v="2025-03-10T00:00:00"/>
    <x v="1"/>
    <s v="Emergency"/>
    <s v="Respiratory"/>
    <n v="17"/>
    <s v="13-17"/>
    <s v="Male"/>
    <s v="Medicare"/>
    <n v="5.5"/>
    <n v="17331.5"/>
    <n v="0"/>
    <n v="5"/>
    <n v="0.69"/>
    <x v="11"/>
  </r>
  <r>
    <s v="ENC100903"/>
    <s v="PT89572"/>
    <s v="Northgate General"/>
    <s v="South"/>
    <d v="2025-02-17T00:00:00"/>
    <d v="2025-02-19T00:00:00"/>
    <x v="9"/>
    <s v="Urgent"/>
    <s v="Maternal"/>
    <n v="13"/>
    <s v="13-17"/>
    <s v="Female"/>
    <s v="Medicare"/>
    <n v="2"/>
    <n v="4370.66"/>
    <n v="0"/>
    <n v="4.2"/>
    <n v="0.72"/>
    <x v="9"/>
  </r>
  <r>
    <s v="ENC100904"/>
    <s v="PT51303"/>
    <s v="St. Catherine Hospital"/>
    <s v="South"/>
    <d v="2025-11-14T00:00:00"/>
    <d v="2025-11-26T00:00:00"/>
    <x v="4"/>
    <s v="Elective"/>
    <s v="Infectious"/>
    <n v="23"/>
    <s v="18-34"/>
    <s v="Male"/>
    <s v="Commercial"/>
    <n v="11.1"/>
    <n v="46970.38"/>
    <n v="0"/>
    <n v="4.5"/>
    <n v="0.84"/>
    <x v="0"/>
  </r>
  <r>
    <s v="ENC100905"/>
    <s v="PT73861"/>
    <s v="Metro Regional"/>
    <s v="Northeast"/>
    <d v="2025-04-11T00:00:00"/>
    <d v="2025-04-13T00:00:00"/>
    <x v="2"/>
    <s v="Emergency"/>
    <s v="Cancer"/>
    <n v="12"/>
    <s v="0-12"/>
    <s v="Male"/>
    <s v="Commercial"/>
    <n v="1.8"/>
    <n v="4741.58"/>
    <n v="0"/>
    <n v="3.8"/>
    <n v="0.81"/>
    <x v="7"/>
  </r>
  <r>
    <s v="ENC100906"/>
    <s v="PT47040"/>
    <s v="Lakeside Health"/>
    <s v="Northeast"/>
    <d v="2025-10-07T00:00:00"/>
    <d v="2025-10-08T00:00:00"/>
    <x v="2"/>
    <s v="Emergency"/>
    <s v="Other"/>
    <n v="66"/>
    <s v="65-74"/>
    <s v="Male"/>
    <s v="Commercial"/>
    <n v="1"/>
    <n v="2646.78"/>
    <n v="0"/>
    <n v="4.0999999999999996"/>
    <n v="0.83"/>
    <x v="3"/>
  </r>
  <r>
    <s v="ENC100907"/>
    <s v="PT25581"/>
    <s v="Metro Regional"/>
    <s v="West"/>
    <d v="2025-02-20T00:00:00"/>
    <d v="2025-02-22T00:00:00"/>
    <x v="9"/>
    <s v="Emergency"/>
    <s v="Pediatric"/>
    <n v="54"/>
    <s v="50-64"/>
    <s v="Male"/>
    <s v="Commercial"/>
    <n v="2"/>
    <n v="4931.6000000000004"/>
    <n v="0"/>
    <n v="4.5999999999999996"/>
    <n v="0.89"/>
    <x v="9"/>
  </r>
  <r>
    <s v="ENC100908"/>
    <s v="PT43403"/>
    <s v="Metro Regional"/>
    <s v="South"/>
    <d v="2025-04-13T00:00:00"/>
    <d v="2025-04-19T00:00:00"/>
    <x v="6"/>
    <s v="Elective"/>
    <s v="Respiratory"/>
    <n v="35"/>
    <s v="35-49"/>
    <s v="Female"/>
    <s v="Medicaid"/>
    <n v="5.8"/>
    <n v="12565.32"/>
    <n v="0"/>
    <n v="4.4000000000000004"/>
    <n v="0.9"/>
    <x v="7"/>
  </r>
  <r>
    <s v="ENC100909"/>
    <s v="PT18254"/>
    <s v="Northgate General"/>
    <s v="South"/>
    <d v="2025-04-14T00:00:00"/>
    <d v="2025-04-15T00:00:00"/>
    <x v="8"/>
    <s v="Emergency"/>
    <s v="Infectious"/>
    <n v="49"/>
    <s v="35-49"/>
    <s v="Male"/>
    <s v="Commercial"/>
    <n v="0.6"/>
    <n v="1584.36"/>
    <n v="1"/>
    <n v="4.2"/>
    <n v="0.82"/>
    <x v="7"/>
  </r>
  <r>
    <s v="ENC100910"/>
    <s v="PT79322"/>
    <s v="Lakeside Health"/>
    <s v="Northeast"/>
    <d v="2025-04-13T00:00:00"/>
    <d v="2025-04-18T00:00:00"/>
    <x v="5"/>
    <s v="Urgent"/>
    <s v="Maternal"/>
    <n v="54"/>
    <s v="50-64"/>
    <s v="Female"/>
    <s v="Medicare"/>
    <n v="4.2"/>
    <n v="8132.86"/>
    <n v="0"/>
    <n v="3.7"/>
    <n v="0.71"/>
    <x v="7"/>
  </r>
  <r>
    <s v="ENC100911"/>
    <s v="PT26517"/>
    <s v="Lakeside Health"/>
    <s v="Northeast"/>
    <d v="2025-09-04T00:00:00"/>
    <d v="2025-09-07T00:00:00"/>
    <x v="0"/>
    <s v="Urgent"/>
    <s v="Infectious"/>
    <n v="16"/>
    <s v="13-17"/>
    <s v="Male"/>
    <s v="Medicare"/>
    <n v="2.6"/>
    <n v="5842.64"/>
    <n v="0"/>
    <n v="3.8"/>
    <n v="0.68"/>
    <x v="6"/>
  </r>
  <r>
    <s v="ENC100912"/>
    <s v="PT43873"/>
    <s v="Lakeside Health"/>
    <s v="West"/>
    <d v="2025-11-30T00:00:00"/>
    <d v="2025-12-09T00:00:00"/>
    <x v="8"/>
    <s v="Emergency"/>
    <s v="Other"/>
    <n v="27"/>
    <s v="18-34"/>
    <s v="Male"/>
    <s v="Medicaid"/>
    <n v="8.6999999999999993"/>
    <n v="21158.23"/>
    <n v="0"/>
    <n v="4.4000000000000004"/>
    <n v="0.81"/>
    <x v="0"/>
  </r>
  <r>
    <s v="ENC100913"/>
    <s v="PT98201"/>
    <s v="Lakeside Health"/>
    <s v="South"/>
    <d v="2025-11-29T00:00:00"/>
    <d v="2025-12-02T00:00:00"/>
    <x v="4"/>
    <s v="Elective"/>
    <s v="GI"/>
    <n v="80"/>
    <s v="75+"/>
    <s v="Female"/>
    <s v="Commercial"/>
    <n v="2.5"/>
    <n v="10444.91"/>
    <n v="0"/>
    <n v="4.5999999999999996"/>
    <n v="0.69"/>
    <x v="0"/>
  </r>
  <r>
    <s v="ENC100914"/>
    <s v="PT63276"/>
    <s v="Lakeside Health"/>
    <s v="Northeast"/>
    <d v="2025-09-28T00:00:00"/>
    <d v="2025-09-29T00:00:00"/>
    <x v="3"/>
    <s v="Emergency"/>
    <s v="Respiratory"/>
    <n v="1"/>
    <s v="0-12"/>
    <s v="Female"/>
    <s v="Commercial"/>
    <n v="0.2"/>
    <n v="334.71"/>
    <n v="0"/>
    <n v="3.3"/>
    <n v="0.81"/>
    <x v="6"/>
  </r>
  <r>
    <s v="ENC100915"/>
    <s v="PT51269"/>
    <s v="Metro Regional"/>
    <s v="West"/>
    <d v="2025-03-15T00:00:00"/>
    <d v="2025-03-17T00:00:00"/>
    <x v="9"/>
    <s v="Emergency"/>
    <s v="Cardiac"/>
    <n v="87"/>
    <s v="75+"/>
    <s v="Female"/>
    <s v="Commercial"/>
    <n v="1.5"/>
    <n v="3506.88"/>
    <n v="0"/>
    <n v="3.5"/>
    <n v="0.87"/>
    <x v="11"/>
  </r>
  <r>
    <s v="ENC100916"/>
    <s v="PT58870"/>
    <s v="Northgate General"/>
    <s v="South"/>
    <d v="2025-12-17T00:00:00"/>
    <d v="2025-12-22T00:00:00"/>
    <x v="6"/>
    <s v="Elective"/>
    <s v="Pediatric"/>
    <n v="87"/>
    <s v="75+"/>
    <s v="Male"/>
    <s v="Medicare"/>
    <n v="4.2"/>
    <n v="9513.52"/>
    <n v="0"/>
    <n v="3.4"/>
    <n v="0.78"/>
    <x v="2"/>
  </r>
  <r>
    <s v="ENC100917"/>
    <s v="PT80566"/>
    <s v="Lakeside Health"/>
    <s v="Midwest"/>
    <d v="2025-07-17T00:00:00"/>
    <d v="2025-07-18T00:00:00"/>
    <x v="3"/>
    <s v="Emergency"/>
    <s v="Other"/>
    <n v="23"/>
    <s v="18-34"/>
    <s v="Female"/>
    <s v="Commercial"/>
    <n v="1"/>
    <n v="1787.13"/>
    <n v="0"/>
    <n v="4.2"/>
    <n v="0.77"/>
    <x v="5"/>
  </r>
  <r>
    <s v="ENC100918"/>
    <s v="PT32903"/>
    <s v="Northgate General"/>
    <s v="Midwest"/>
    <d v="2025-07-19T00:00:00"/>
    <d v="2025-07-21T00:00:00"/>
    <x v="3"/>
    <s v="Emergency"/>
    <s v="Respiratory"/>
    <n v="29"/>
    <s v="18-34"/>
    <s v="Female"/>
    <s v="Medicaid"/>
    <n v="1.4"/>
    <n v="2457.31"/>
    <n v="0"/>
    <n v="3.1"/>
    <n v="0.8"/>
    <x v="5"/>
  </r>
  <r>
    <s v="ENC100919"/>
    <s v="PT67276"/>
    <s v="St. Catherine Hospital"/>
    <s v="South"/>
    <d v="2025-09-14T00:00:00"/>
    <d v="2025-09-16T00:00:00"/>
    <x v="8"/>
    <s v="Emergency"/>
    <s v="Respiratory"/>
    <n v="18"/>
    <s v="18-34"/>
    <s v="Male"/>
    <s v="Commercial"/>
    <n v="1.2"/>
    <n v="3298.66"/>
    <n v="0"/>
    <n v="4.4000000000000004"/>
    <n v="0.79"/>
    <x v="6"/>
  </r>
  <r>
    <s v="ENC100920"/>
    <s v="PT88541"/>
    <s v="Lakeside Health"/>
    <s v="Midwest"/>
    <d v="2025-10-08T00:00:00"/>
    <d v="2025-10-11T00:00:00"/>
    <x v="6"/>
    <s v="Emergency"/>
    <s v="Maternal"/>
    <n v="51"/>
    <s v="50-64"/>
    <s v="Female"/>
    <s v="Commercial"/>
    <n v="2.1"/>
    <n v="5429.8"/>
    <n v="0"/>
    <n v="4.2"/>
    <n v="0.81"/>
    <x v="3"/>
  </r>
  <r>
    <s v="ENC100921"/>
    <s v="PT61516"/>
    <s v="Metro Regional"/>
    <s v="South"/>
    <d v="2025-12-14T00:00:00"/>
    <d v="2025-12-16T00:00:00"/>
    <x v="3"/>
    <s v="Emergency"/>
    <s v="Respiratory"/>
    <n v="19"/>
    <s v="18-34"/>
    <s v="Female"/>
    <s v="Commercial"/>
    <n v="1.1000000000000001"/>
    <n v="2140.4699999999998"/>
    <n v="0"/>
    <n v="3.4"/>
    <n v="0.9"/>
    <x v="2"/>
  </r>
  <r>
    <s v="ENC100922"/>
    <s v="PT50188"/>
    <s v="St. Catherine Hospital"/>
    <s v="South"/>
    <d v="2025-08-01T00:00:00"/>
    <d v="2025-08-02T00:00:00"/>
    <x v="6"/>
    <s v="Elective"/>
    <s v="Respiratory"/>
    <n v="71"/>
    <s v="65-74"/>
    <s v="Male"/>
    <s v="Medicaid"/>
    <n v="0.5"/>
    <n v="1182.32"/>
    <n v="0"/>
    <n v="4.8"/>
    <n v="0.81"/>
    <x v="4"/>
  </r>
  <r>
    <s v="ENC100923"/>
    <s v="PT23061"/>
    <s v="St. Catherine Hospital"/>
    <s v="Northeast"/>
    <d v="2025-08-11T00:00:00"/>
    <d v="2025-08-14T00:00:00"/>
    <x v="8"/>
    <s v="Elective"/>
    <s v="Other"/>
    <n v="35"/>
    <s v="35-49"/>
    <s v="Female"/>
    <s v="Medicaid"/>
    <n v="3"/>
    <n v="5716.51"/>
    <n v="0"/>
    <n v="3"/>
    <n v="0.78"/>
    <x v="4"/>
  </r>
  <r>
    <s v="ENC100924"/>
    <s v="PT32345"/>
    <s v="Northgate General"/>
    <s v="West"/>
    <d v="2025-09-30T00:00:00"/>
    <d v="2025-10-03T00:00:00"/>
    <x v="7"/>
    <s v="Elective"/>
    <s v="Pediatric"/>
    <n v="88"/>
    <s v="75+"/>
    <s v="Female"/>
    <s v="Medicaid"/>
    <n v="3"/>
    <n v="6995.16"/>
    <n v="0"/>
    <n v="4.9000000000000004"/>
    <n v="0.83"/>
    <x v="6"/>
  </r>
  <r>
    <s v="ENC100925"/>
    <s v="PT95141"/>
    <s v="Riverside Medical Center"/>
    <s v="Midwest"/>
    <d v="2025-04-04T00:00:00"/>
    <d v="2025-04-25T00:00:00"/>
    <x v="7"/>
    <s v="Elective"/>
    <s v="Other"/>
    <n v="77"/>
    <s v="75+"/>
    <s v="Male"/>
    <s v="Medicare"/>
    <n v="21"/>
    <n v="56882.21"/>
    <n v="0"/>
    <n v="3.9"/>
    <n v="0.74"/>
    <x v="7"/>
  </r>
  <r>
    <s v="ENC100926"/>
    <s v="PT58712"/>
    <s v="Northgate General"/>
    <s v="Midwest"/>
    <d v="2025-04-23T00:00:00"/>
    <d v="2025-04-26T00:00:00"/>
    <x v="6"/>
    <s v="Emergency"/>
    <s v="GI"/>
    <n v="36"/>
    <s v="35-49"/>
    <s v="Male"/>
    <s v="Medicaid"/>
    <n v="2.6"/>
    <n v="6204.07"/>
    <n v="0"/>
    <n v="2.7"/>
    <n v="0.8"/>
    <x v="7"/>
  </r>
  <r>
    <s v="ENC100927"/>
    <s v="PT37120"/>
    <s v="Metro Regional"/>
    <s v="South"/>
    <d v="2025-08-17T00:00:00"/>
    <d v="2025-08-24T00:00:00"/>
    <x v="6"/>
    <s v="Elective"/>
    <s v="Injury"/>
    <n v="54"/>
    <s v="50-64"/>
    <s v="Female"/>
    <s v="Medicare"/>
    <n v="6.7"/>
    <n v="18580.509999999998"/>
    <n v="0"/>
    <n v="4.9000000000000004"/>
    <n v="0.87"/>
    <x v="4"/>
  </r>
  <r>
    <s v="ENC100928"/>
    <s v="PT47652"/>
    <s v="Northgate General"/>
    <s v="South"/>
    <d v="2025-01-24T00:00:00"/>
    <d v="2025-01-26T00:00:00"/>
    <x v="3"/>
    <s v="Emergency"/>
    <s v="Other"/>
    <n v="2"/>
    <s v="0-12"/>
    <s v="Male"/>
    <s v="Commercial"/>
    <n v="1.4"/>
    <n v="2486.89"/>
    <n v="0"/>
    <n v="4.3"/>
    <n v="0.75"/>
    <x v="8"/>
  </r>
  <r>
    <s v="ENC100929"/>
    <s v="PT62020"/>
    <s v="Metro Regional"/>
    <s v="Midwest"/>
    <d v="2025-04-27T00:00:00"/>
    <d v="2025-04-28T00:00:00"/>
    <x v="3"/>
    <s v="Emergency"/>
    <s v="Injury"/>
    <n v="6"/>
    <s v="0-12"/>
    <s v="Female"/>
    <s v="Medicare"/>
    <n v="0.9"/>
    <n v="1547.52"/>
    <n v="0"/>
    <n v="3.4"/>
    <n v="0.88"/>
    <x v="7"/>
  </r>
  <r>
    <s v="ENC100930"/>
    <s v="PT58378"/>
    <s v="Northgate General"/>
    <s v="South"/>
    <d v="2025-09-20T00:00:00"/>
    <d v="2025-09-28T00:00:00"/>
    <x v="8"/>
    <s v="Urgent"/>
    <s v="Injury"/>
    <n v="46"/>
    <s v="35-49"/>
    <s v="Female"/>
    <s v="Medicaid"/>
    <n v="7.7"/>
    <n v="16051.23"/>
    <n v="0"/>
    <n v="3.1"/>
    <n v="0.78"/>
    <x v="6"/>
  </r>
  <r>
    <s v="ENC100931"/>
    <s v="PT72979"/>
    <s v="Lakeside Health"/>
    <s v="West"/>
    <d v="2025-12-23T00:00:00"/>
    <d v="2025-12-24T00:00:00"/>
    <x v="2"/>
    <s v="Emergency"/>
    <s v="Other"/>
    <n v="43"/>
    <s v="35-49"/>
    <s v="Male"/>
    <s v="Commercial"/>
    <n v="1"/>
    <n v="2351.9899999999998"/>
    <n v="0"/>
    <n v="3"/>
    <n v="0.73"/>
    <x v="2"/>
  </r>
  <r>
    <s v="ENC100932"/>
    <s v="PT33174"/>
    <s v="St. Catherine Hospital"/>
    <s v="West"/>
    <d v="2025-07-09T00:00:00"/>
    <d v="2025-07-11T00:00:00"/>
    <x v="9"/>
    <s v="Emergency"/>
    <s v="GI"/>
    <n v="36"/>
    <s v="35-49"/>
    <s v="Female"/>
    <s v="Medicare"/>
    <n v="1.5"/>
    <n v="3189.97"/>
    <n v="0"/>
    <n v="5"/>
    <n v="0.84"/>
    <x v="5"/>
  </r>
  <r>
    <s v="ENC100933"/>
    <s v="PT68430"/>
    <s v="Lakeside Health"/>
    <s v="West"/>
    <d v="2025-05-26T00:00:00"/>
    <d v="2025-05-31T00:00:00"/>
    <x v="9"/>
    <s v="Emergency"/>
    <s v="Other"/>
    <n v="8"/>
    <s v="0-12"/>
    <s v="Female"/>
    <s v="Medicare"/>
    <n v="4.0999999999999996"/>
    <n v="10845.44"/>
    <n v="0"/>
    <n v="3.3"/>
    <n v="0.71"/>
    <x v="10"/>
  </r>
  <r>
    <s v="ENC100934"/>
    <s v="PT49840"/>
    <s v="Lakeside Health"/>
    <s v="Northeast"/>
    <d v="2025-06-10T00:00:00"/>
    <d v="2025-06-11T00:00:00"/>
    <x v="5"/>
    <s v="Emergency"/>
    <s v="Cardiac"/>
    <n v="76"/>
    <s v="75+"/>
    <s v="Male"/>
    <s v="Medicare"/>
    <n v="0.3"/>
    <n v="793.79"/>
    <n v="0"/>
    <n v="3.1"/>
    <n v="0.78"/>
    <x v="1"/>
  </r>
  <r>
    <s v="ENC100935"/>
    <s v="PT94652"/>
    <s v="Lakeside Health"/>
    <s v="Midwest"/>
    <d v="2025-09-08T00:00:00"/>
    <d v="2025-09-10T00:00:00"/>
    <x v="0"/>
    <s v="Emergency"/>
    <s v="Other"/>
    <n v="36"/>
    <s v="35-49"/>
    <s v="Female"/>
    <s v="Commercial"/>
    <n v="1.9"/>
    <n v="4662"/>
    <n v="0"/>
    <n v="4.0999999999999996"/>
    <n v="0.67"/>
    <x v="6"/>
  </r>
  <r>
    <s v="ENC100936"/>
    <s v="PT24212"/>
    <s v="Metro Regional"/>
    <s v="South"/>
    <d v="2025-07-18T00:00:00"/>
    <d v="2025-07-21T00:00:00"/>
    <x v="6"/>
    <s v="Emergency"/>
    <s v="Infectious"/>
    <n v="42"/>
    <s v="35-49"/>
    <s v="Female"/>
    <s v="Medicare"/>
    <n v="2.5"/>
    <n v="6268.92"/>
    <n v="0"/>
    <n v="2.9"/>
    <n v="0.85"/>
    <x v="5"/>
  </r>
  <r>
    <s v="ENC100937"/>
    <s v="PT23359"/>
    <s v="St. Catherine Hospital"/>
    <s v="Northeast"/>
    <d v="2025-01-09T00:00:00"/>
    <d v="2025-01-13T00:00:00"/>
    <x v="2"/>
    <s v="Urgent"/>
    <s v="GI"/>
    <n v="36"/>
    <s v="35-49"/>
    <s v="Female"/>
    <s v="Medicaid"/>
    <n v="3.3"/>
    <n v="6097.78"/>
    <n v="0"/>
    <n v="3.3"/>
    <n v="0.8"/>
    <x v="8"/>
  </r>
  <r>
    <s v="ENC100938"/>
    <s v="PT51548"/>
    <s v="Riverside Medical Center"/>
    <s v="South"/>
    <d v="2025-07-16T00:00:00"/>
    <d v="2025-07-19T00:00:00"/>
    <x v="2"/>
    <s v="Emergency"/>
    <s v="Other"/>
    <n v="45"/>
    <s v="35-49"/>
    <s v="Male"/>
    <s v="Commercial"/>
    <n v="2.4"/>
    <n v="5378.06"/>
    <n v="0"/>
    <n v="4.5"/>
    <n v="0.8"/>
    <x v="5"/>
  </r>
  <r>
    <s v="ENC100939"/>
    <s v="PT55751"/>
    <s v="Northgate General"/>
    <s v="Midwest"/>
    <d v="2025-05-27T00:00:00"/>
    <d v="2025-06-03T00:00:00"/>
    <x v="1"/>
    <s v="Emergency"/>
    <s v="Cancer"/>
    <n v="59"/>
    <s v="50-64"/>
    <s v="Male"/>
    <s v="Commercial"/>
    <n v="6.1"/>
    <n v="24455.01"/>
    <n v="1"/>
    <n v="4.2"/>
    <n v="0.8"/>
    <x v="10"/>
  </r>
  <r>
    <s v="ENC100940"/>
    <s v="PT72178"/>
    <s v="Lakeside Health"/>
    <s v="Northeast"/>
    <d v="2025-09-13T00:00:00"/>
    <d v="2025-09-15T00:00:00"/>
    <x v="1"/>
    <s v="Emergency"/>
    <s v="GI"/>
    <n v="69"/>
    <s v="65-74"/>
    <s v="Male"/>
    <s v="Commercial"/>
    <n v="1.7"/>
    <n v="5555.65"/>
    <n v="1"/>
    <n v="3.7"/>
    <n v="0.75"/>
    <x v="6"/>
  </r>
  <r>
    <s v="ENC100941"/>
    <s v="PT46362"/>
    <s v="St. Catherine Hospital"/>
    <s v="Northeast"/>
    <d v="2025-11-16T00:00:00"/>
    <d v="2025-11-24T00:00:00"/>
    <x v="7"/>
    <s v="Elective"/>
    <s v="GI"/>
    <n v="50"/>
    <s v="50-64"/>
    <s v="Female"/>
    <s v="Commercial"/>
    <n v="7.9"/>
    <n v="26300.37"/>
    <n v="0"/>
    <n v="3.7"/>
    <n v="0.84"/>
    <x v="0"/>
  </r>
  <r>
    <s v="ENC100942"/>
    <s v="PT92233"/>
    <s v="St. Catherine Hospital"/>
    <s v="Northeast"/>
    <d v="2025-12-18T00:00:00"/>
    <d v="2025-12-20T00:00:00"/>
    <x v="2"/>
    <s v="Emergency"/>
    <s v="Maternal"/>
    <n v="15"/>
    <s v="13-17"/>
    <s v="Male"/>
    <s v="Self-Pay"/>
    <n v="1.1000000000000001"/>
    <n v="2191.27"/>
    <n v="0"/>
    <n v="3.6"/>
    <n v="0.82"/>
    <x v="2"/>
  </r>
  <r>
    <s v="ENC100943"/>
    <s v="PT52674"/>
    <s v="St. Catherine Hospital"/>
    <s v="Midwest"/>
    <d v="2025-08-11T00:00:00"/>
    <d v="2025-08-16T00:00:00"/>
    <x v="1"/>
    <s v="Emergency"/>
    <s v="Other"/>
    <n v="79"/>
    <s v="75+"/>
    <s v="Male"/>
    <s v="Medicare"/>
    <n v="4.3"/>
    <n v="13407.3"/>
    <n v="0"/>
    <n v="3.9"/>
    <n v="0.82"/>
    <x v="4"/>
  </r>
  <r>
    <s v="ENC100944"/>
    <s v="PT21640"/>
    <s v="Northgate General"/>
    <s v="South"/>
    <d v="2025-05-13T00:00:00"/>
    <d v="2025-05-20T00:00:00"/>
    <x v="6"/>
    <s v="Emergency"/>
    <s v="GI"/>
    <n v="25"/>
    <s v="18-34"/>
    <s v="Female"/>
    <s v="Commercial"/>
    <n v="6.1"/>
    <n v="15205.53"/>
    <n v="0"/>
    <n v="3.4"/>
    <n v="0.79"/>
    <x v="10"/>
  </r>
  <r>
    <s v="ENC100945"/>
    <s v="PT20729"/>
    <s v="Lakeside Health"/>
    <s v="South"/>
    <d v="2025-06-12T00:00:00"/>
    <d v="2025-06-13T00:00:00"/>
    <x v="9"/>
    <s v="Elective"/>
    <s v="Respiratory"/>
    <n v="1"/>
    <s v="0-12"/>
    <s v="Female"/>
    <s v="Commercial"/>
    <n v="0.9"/>
    <n v="1969.2"/>
    <n v="0"/>
    <n v="3.6"/>
    <n v="0.73"/>
    <x v="1"/>
  </r>
  <r>
    <s v="ENC100946"/>
    <s v="PT97605"/>
    <s v="Lakeside Health"/>
    <s v="Northeast"/>
    <d v="2025-03-06T00:00:00"/>
    <d v="2025-03-07T00:00:00"/>
    <x v="3"/>
    <s v="Elective"/>
    <s v="Cardiac"/>
    <n v="3"/>
    <s v="0-12"/>
    <s v="Male"/>
    <s v="Self-Pay"/>
    <n v="0.5"/>
    <n v="851.54"/>
    <n v="1"/>
    <n v="3.3"/>
    <n v="0.74"/>
    <x v="11"/>
  </r>
  <r>
    <s v="ENC100947"/>
    <s v="PT22068"/>
    <s v="Lakeside Health"/>
    <s v="Northeast"/>
    <d v="2025-12-08T00:00:00"/>
    <d v="2025-12-13T00:00:00"/>
    <x v="9"/>
    <s v="Elective"/>
    <s v="Other"/>
    <n v="70"/>
    <s v="65-74"/>
    <s v="Female"/>
    <s v="Commercial"/>
    <n v="4.0999999999999996"/>
    <n v="9562.82"/>
    <n v="0"/>
    <n v="3.5"/>
    <n v="0.76"/>
    <x v="2"/>
  </r>
  <r>
    <s v="ENC100948"/>
    <s v="PT95305"/>
    <s v="Lakeside Health"/>
    <s v="West"/>
    <d v="2025-11-06T00:00:00"/>
    <d v="2025-11-09T00:00:00"/>
    <x v="2"/>
    <s v="Elective"/>
    <s v="Other"/>
    <n v="35"/>
    <s v="35-49"/>
    <s v="Male"/>
    <s v="Medicaid"/>
    <n v="3"/>
    <n v="4936.3100000000004"/>
    <n v="1"/>
    <n v="4.5"/>
    <n v="0.74"/>
    <x v="0"/>
  </r>
  <r>
    <s v="ENC100949"/>
    <s v="PT35026"/>
    <s v="Metro Regional"/>
    <s v="Northeast"/>
    <d v="2025-11-08T00:00:00"/>
    <d v="2025-11-09T00:00:00"/>
    <x v="3"/>
    <s v="Emergency"/>
    <s v="Other"/>
    <n v="2"/>
    <s v="0-12"/>
    <s v="Male"/>
    <s v="Commercial"/>
    <n v="0.2"/>
    <n v="364.87"/>
    <n v="1"/>
    <n v="4.2"/>
    <n v="0.88"/>
    <x v="0"/>
  </r>
  <r>
    <s v="ENC100950"/>
    <s v="PT18406"/>
    <s v="St. Catherine Hospital"/>
    <s v="Midwest"/>
    <d v="2025-04-30T00:00:00"/>
    <d v="2025-05-07T00:00:00"/>
    <x v="4"/>
    <s v="Emergency"/>
    <s v="Respiratory"/>
    <n v="73"/>
    <s v="65-74"/>
    <s v="Female"/>
    <s v="Commercial"/>
    <n v="6.7"/>
    <n v="29318.19"/>
    <n v="0"/>
    <n v="3.2"/>
    <n v="0.8"/>
    <x v="7"/>
  </r>
  <r>
    <s v="ENC100951"/>
    <s v="PT37423"/>
    <s v="Metro Regional"/>
    <s v="South"/>
    <d v="2025-04-28T00:00:00"/>
    <d v="2025-04-30T00:00:00"/>
    <x v="3"/>
    <s v="Emergency"/>
    <s v="Cancer"/>
    <n v="27"/>
    <s v="18-34"/>
    <s v="Male"/>
    <s v="Medicare"/>
    <n v="1.6"/>
    <n v="2832.67"/>
    <n v="0"/>
    <n v="3"/>
    <n v="0.86"/>
    <x v="7"/>
  </r>
  <r>
    <s v="ENC100952"/>
    <s v="PT65322"/>
    <s v="Riverside Medical Center"/>
    <s v="South"/>
    <d v="2025-11-09T00:00:00"/>
    <d v="2025-11-15T00:00:00"/>
    <x v="2"/>
    <s v="Emergency"/>
    <s v="Maternal"/>
    <n v="88"/>
    <s v="75+"/>
    <s v="Male"/>
    <s v="Commercial"/>
    <n v="6"/>
    <n v="12848.35"/>
    <n v="0"/>
    <n v="3.8"/>
    <n v="0.76"/>
    <x v="0"/>
  </r>
  <r>
    <s v="ENC100953"/>
    <s v="PT48510"/>
    <s v="Lakeside Health"/>
    <s v="West"/>
    <d v="2025-07-18T00:00:00"/>
    <d v="2025-07-22T00:00:00"/>
    <x v="2"/>
    <s v="Emergency"/>
    <s v="Maternal"/>
    <n v="80"/>
    <s v="75+"/>
    <s v="Female"/>
    <s v="Medicare"/>
    <n v="3.6"/>
    <n v="7181.85"/>
    <n v="0"/>
    <n v="5"/>
    <n v="0.79"/>
    <x v="5"/>
  </r>
  <r>
    <s v="ENC100954"/>
    <s v="PT80701"/>
    <s v="Lakeside Health"/>
    <s v="South"/>
    <d v="2025-09-15T00:00:00"/>
    <d v="2025-09-24T00:00:00"/>
    <x v="4"/>
    <s v="Emergency"/>
    <s v="Respiratory"/>
    <n v="4"/>
    <s v="0-12"/>
    <s v="Male"/>
    <s v="Commercial"/>
    <n v="8.3000000000000007"/>
    <n v="42254.78"/>
    <n v="0"/>
    <n v="3"/>
    <n v="0.73"/>
    <x v="6"/>
  </r>
  <r>
    <s v="ENC100955"/>
    <s v="PT64988"/>
    <s v="St. Catherine Hospital"/>
    <s v="West"/>
    <d v="2025-06-28T00:00:00"/>
    <d v="2025-07-09T00:00:00"/>
    <x v="1"/>
    <s v="Emergency"/>
    <s v="Infectious"/>
    <n v="62"/>
    <s v="50-64"/>
    <s v="Female"/>
    <s v="Medicaid"/>
    <n v="10.1"/>
    <n v="30678.99"/>
    <n v="0"/>
    <n v="3.6"/>
    <n v="0.76"/>
    <x v="1"/>
  </r>
  <r>
    <s v="ENC100956"/>
    <s v="PT46070"/>
    <s v="Northgate General"/>
    <s v="West"/>
    <d v="2025-06-11T00:00:00"/>
    <d v="2025-06-13T00:00:00"/>
    <x v="3"/>
    <s v="Elective"/>
    <s v="Cardiac"/>
    <n v="54"/>
    <s v="50-64"/>
    <s v="Male"/>
    <s v="Medicaid"/>
    <n v="1.7"/>
    <n v="3265.91"/>
    <n v="0"/>
    <n v="3.8"/>
    <n v="0.85"/>
    <x v="1"/>
  </r>
  <r>
    <s v="ENC100957"/>
    <s v="PT67115"/>
    <s v="St. Catherine Hospital"/>
    <s v="Northeast"/>
    <d v="2025-08-19T00:00:00"/>
    <d v="2025-08-22T00:00:00"/>
    <x v="6"/>
    <s v="Emergency"/>
    <s v="Neurological"/>
    <n v="15"/>
    <s v="13-17"/>
    <s v="Female"/>
    <s v="Medicaid"/>
    <n v="2.1"/>
    <n v="4832.74"/>
    <n v="1"/>
    <n v="3.8"/>
    <n v="0.83"/>
    <x v="4"/>
  </r>
  <r>
    <s v="ENC100958"/>
    <s v="PT97430"/>
    <s v="Northgate General"/>
    <s v="Northeast"/>
    <d v="2025-10-24T00:00:00"/>
    <d v="2025-10-28T00:00:00"/>
    <x v="7"/>
    <s v="Elective"/>
    <s v="Cardiac"/>
    <n v="31"/>
    <s v="18-34"/>
    <s v="Female"/>
    <s v="Commercial"/>
    <n v="3.5"/>
    <n v="9997.02"/>
    <n v="0"/>
    <n v="3.6"/>
    <n v="0.82"/>
    <x v="3"/>
  </r>
  <r>
    <s v="ENC100959"/>
    <s v="PT47062"/>
    <s v="Metro Regional"/>
    <s v="Midwest"/>
    <d v="2025-05-02T00:00:00"/>
    <d v="2025-05-05T00:00:00"/>
    <x v="3"/>
    <s v="Elective"/>
    <s v="Respiratory"/>
    <n v="44"/>
    <s v="35-49"/>
    <s v="Female"/>
    <s v="Medicare"/>
    <n v="2.1"/>
    <n v="3889.71"/>
    <n v="0"/>
    <n v="4.4000000000000004"/>
    <n v="0.86"/>
    <x v="10"/>
  </r>
  <r>
    <s v="ENC100960"/>
    <s v="PT23809"/>
    <s v="Northgate General"/>
    <s v="Midwest"/>
    <d v="2025-10-23T00:00:00"/>
    <d v="2025-10-28T00:00:00"/>
    <x v="5"/>
    <s v="Emergency"/>
    <s v="Respiratory"/>
    <n v="13"/>
    <s v="13-17"/>
    <s v="Female"/>
    <s v="Self-Pay"/>
    <n v="4.5"/>
    <n v="10272.89"/>
    <n v="0"/>
    <n v="4.2"/>
    <n v="0.78"/>
    <x v="3"/>
  </r>
  <r>
    <s v="ENC100961"/>
    <s v="PT46790"/>
    <s v="Riverside Medical Center"/>
    <s v="South"/>
    <d v="2025-03-31T00:00:00"/>
    <d v="2025-04-03T00:00:00"/>
    <x v="6"/>
    <s v="Emergency"/>
    <s v="Other"/>
    <n v="65"/>
    <s v="65-74"/>
    <s v="Female"/>
    <s v="Commercial"/>
    <n v="2.9"/>
    <n v="6773.14"/>
    <n v="0"/>
    <n v="4.4000000000000004"/>
    <n v="0.81"/>
    <x v="11"/>
  </r>
  <r>
    <s v="ENC100962"/>
    <s v="PT85609"/>
    <s v="St. Catherine Hospital"/>
    <s v="Northeast"/>
    <d v="2025-05-28T00:00:00"/>
    <d v="2025-06-01T00:00:00"/>
    <x v="7"/>
    <s v="Elective"/>
    <s v="Maternal"/>
    <n v="25"/>
    <s v="18-34"/>
    <s v="Female"/>
    <s v="Commercial"/>
    <n v="3.1"/>
    <n v="8516.59"/>
    <n v="0"/>
    <n v="4.3"/>
    <n v="0.83"/>
    <x v="10"/>
  </r>
  <r>
    <s v="ENC100963"/>
    <s v="PT29586"/>
    <s v="Northgate General"/>
    <s v="Northeast"/>
    <d v="2025-11-30T00:00:00"/>
    <d v="2025-12-09T00:00:00"/>
    <x v="7"/>
    <s v="Elective"/>
    <s v="Other"/>
    <n v="85"/>
    <s v="75+"/>
    <s v="Male"/>
    <s v="Medicaid"/>
    <n v="8.8000000000000007"/>
    <n v="23367.24"/>
    <n v="1"/>
    <n v="4.2"/>
    <n v="0.83"/>
    <x v="0"/>
  </r>
  <r>
    <s v="ENC100964"/>
    <s v="PT95421"/>
    <s v="Riverside Medical Center"/>
    <s v="Midwest"/>
    <d v="2025-12-15T00:00:00"/>
    <d v="2025-12-17T00:00:00"/>
    <x v="1"/>
    <s v="Emergency"/>
    <s v="Neurological"/>
    <n v="72"/>
    <s v="65-74"/>
    <s v="Female"/>
    <s v="Commercial"/>
    <n v="1.7"/>
    <n v="6493.92"/>
    <n v="0"/>
    <n v="4.9000000000000004"/>
    <n v="0.82"/>
    <x v="2"/>
  </r>
  <r>
    <s v="ENC100965"/>
    <s v="PT62946"/>
    <s v="St. Catherine Hospital"/>
    <s v="South"/>
    <d v="2025-12-04T00:00:00"/>
    <d v="2025-12-06T00:00:00"/>
    <x v="6"/>
    <s v="Emergency"/>
    <s v="Cancer"/>
    <n v="57"/>
    <s v="50-64"/>
    <s v="Female"/>
    <s v="Medicare"/>
    <n v="1.8"/>
    <n v="5094.5200000000004"/>
    <n v="0"/>
    <n v="4.7"/>
    <n v="0.88"/>
    <x v="2"/>
  </r>
  <r>
    <s v="ENC100966"/>
    <s v="PT64140"/>
    <s v="St. Catherine Hospital"/>
    <s v="South"/>
    <d v="2025-04-26T00:00:00"/>
    <d v="2025-05-03T00:00:00"/>
    <x v="1"/>
    <s v="Elective"/>
    <s v="Injury"/>
    <n v="10"/>
    <s v="0-12"/>
    <s v="Female"/>
    <s v="Medicaid"/>
    <n v="6.7"/>
    <n v="22962.26"/>
    <n v="0"/>
    <n v="5"/>
    <n v="0.79"/>
    <x v="7"/>
  </r>
  <r>
    <s v="ENC100967"/>
    <s v="PT38533"/>
    <s v="Riverside Medical Center"/>
    <s v="West"/>
    <d v="2025-11-04T00:00:00"/>
    <d v="2025-11-13T00:00:00"/>
    <x v="7"/>
    <s v="Elective"/>
    <s v="Infectious"/>
    <n v="2"/>
    <s v="0-12"/>
    <s v="Male"/>
    <s v="Commercial"/>
    <n v="8.6999999999999993"/>
    <n v="31490.46"/>
    <n v="1"/>
    <n v="4.4000000000000004"/>
    <n v="0.76"/>
    <x v="0"/>
  </r>
  <r>
    <s v="ENC100968"/>
    <s v="PT92840"/>
    <s v="St. Catherine Hospital"/>
    <s v="Northeast"/>
    <d v="2025-12-08T00:00:00"/>
    <d v="2025-12-20T00:00:00"/>
    <x v="6"/>
    <s v="Emergency"/>
    <s v="Injury"/>
    <n v="13"/>
    <s v="13-17"/>
    <s v="Female"/>
    <s v="Medicare"/>
    <n v="11.1"/>
    <n v="22377.86"/>
    <n v="0"/>
    <n v="3.3"/>
    <n v="0.73"/>
    <x v="2"/>
  </r>
  <r>
    <s v="ENC100969"/>
    <s v="PT13245"/>
    <s v="St. Catherine Hospital"/>
    <s v="Midwest"/>
    <d v="2025-12-24T00:00:00"/>
    <d v="2025-12-28T00:00:00"/>
    <x v="5"/>
    <s v="Emergency"/>
    <s v="Maternal"/>
    <n v="45"/>
    <s v="35-49"/>
    <s v="Female"/>
    <s v="Medicare"/>
    <n v="3.5"/>
    <n v="7949.29"/>
    <n v="0"/>
    <n v="4.4000000000000004"/>
    <n v="0.73"/>
    <x v="2"/>
  </r>
  <r>
    <s v="ENC100970"/>
    <s v="PT36880"/>
    <s v="Lakeside Health"/>
    <s v="West"/>
    <d v="2025-01-08T00:00:00"/>
    <d v="2025-01-12T00:00:00"/>
    <x v="7"/>
    <s v="Urgent"/>
    <s v="Pediatric"/>
    <n v="71"/>
    <s v="65-74"/>
    <s v="Male"/>
    <s v="Commercial"/>
    <n v="3.3"/>
    <n v="8298.5499999999993"/>
    <n v="0"/>
    <n v="4.3"/>
    <n v="0.73"/>
    <x v="8"/>
  </r>
  <r>
    <s v="ENC100971"/>
    <s v="PT47655"/>
    <s v="Northgate General"/>
    <s v="South"/>
    <d v="2025-09-29T00:00:00"/>
    <d v="2025-10-02T00:00:00"/>
    <x v="8"/>
    <s v="Emergency"/>
    <s v="Other"/>
    <n v="13"/>
    <s v="13-17"/>
    <s v="Female"/>
    <s v="Medicaid"/>
    <n v="2.7"/>
    <n v="6489.91"/>
    <n v="0"/>
    <n v="5"/>
    <n v="0.77"/>
    <x v="6"/>
  </r>
  <r>
    <s v="ENC100972"/>
    <s v="PT52954"/>
    <s v="Northgate General"/>
    <s v="South"/>
    <d v="2025-12-30T00:00:00"/>
    <d v="2025-12-31T00:00:00"/>
    <x v="5"/>
    <s v="Urgent"/>
    <s v="Cardiac"/>
    <n v="64"/>
    <s v="50-64"/>
    <s v="Male"/>
    <s v="Commercial"/>
    <n v="0.7"/>
    <n v="1999.43"/>
    <n v="0"/>
    <n v="3.3"/>
    <n v="0.81"/>
    <x v="2"/>
  </r>
  <r>
    <s v="ENC100973"/>
    <s v="PT52671"/>
    <s v="Metro Regional"/>
    <s v="South"/>
    <d v="2025-10-07T00:00:00"/>
    <d v="2025-10-08T00:00:00"/>
    <x v="3"/>
    <s v="Emergency"/>
    <s v="Neurological"/>
    <n v="4"/>
    <s v="0-12"/>
    <s v="Female"/>
    <s v="Commercial"/>
    <n v="0.2"/>
    <n v="380.5"/>
    <n v="0"/>
    <n v="4"/>
    <n v="0.84"/>
    <x v="3"/>
  </r>
  <r>
    <s v="ENC100974"/>
    <s v="PT23313"/>
    <s v="St. Catherine Hospital"/>
    <s v="Northeast"/>
    <d v="2025-03-27T00:00:00"/>
    <d v="2025-03-31T00:00:00"/>
    <x v="6"/>
    <s v="Emergency"/>
    <s v="Cardiac"/>
    <n v="24"/>
    <s v="18-34"/>
    <s v="Male"/>
    <s v="Medicaid"/>
    <n v="3.3"/>
    <n v="7670.69"/>
    <n v="0"/>
    <n v="3.5"/>
    <n v="0.83"/>
    <x v="11"/>
  </r>
  <r>
    <s v="ENC100975"/>
    <s v="PT30303"/>
    <s v="Riverside Medical Center"/>
    <s v="West"/>
    <d v="2025-10-06T00:00:00"/>
    <d v="2025-10-08T00:00:00"/>
    <x v="0"/>
    <s v="Emergency"/>
    <s v="Respiratory"/>
    <n v="54"/>
    <s v="50-64"/>
    <s v="Female"/>
    <s v="Commercial"/>
    <n v="1.5"/>
    <n v="3408.73"/>
    <n v="0"/>
    <n v="4.2"/>
    <n v="0.82"/>
    <x v="3"/>
  </r>
  <r>
    <s v="ENC100976"/>
    <s v="PT18571"/>
    <s v="Metro Regional"/>
    <s v="South"/>
    <d v="2025-02-08T00:00:00"/>
    <d v="2025-02-11T00:00:00"/>
    <x v="7"/>
    <s v="Emergency"/>
    <s v="GI"/>
    <n v="75"/>
    <s v="75+"/>
    <s v="Male"/>
    <s v="Medicaid"/>
    <n v="2.2999999999999998"/>
    <n v="5564.51"/>
    <n v="0"/>
    <n v="3.8"/>
    <n v="0.84"/>
    <x v="9"/>
  </r>
  <r>
    <s v="ENC100977"/>
    <s v="PT61520"/>
    <s v="Riverside Medical Center"/>
    <s v="South"/>
    <d v="2025-06-25T00:00:00"/>
    <d v="2025-06-29T00:00:00"/>
    <x v="1"/>
    <s v="Urgent"/>
    <s v="Infectious"/>
    <n v="70"/>
    <s v="65-74"/>
    <s v="Male"/>
    <s v="Commercial"/>
    <n v="3.5"/>
    <n v="10676.38"/>
    <n v="0"/>
    <n v="4.2"/>
    <n v="0.8"/>
    <x v="1"/>
  </r>
  <r>
    <s v="ENC100978"/>
    <s v="PT41577"/>
    <s v="Metro Regional"/>
    <s v="South"/>
    <d v="2025-08-17T00:00:00"/>
    <d v="2025-08-22T00:00:00"/>
    <x v="8"/>
    <s v="Emergency"/>
    <s v="GI"/>
    <n v="48"/>
    <s v="35-49"/>
    <s v="Female"/>
    <s v="Medicare"/>
    <n v="4.0999999999999996"/>
    <n v="10311.42"/>
    <n v="0"/>
    <n v="3.1"/>
    <n v="0.9"/>
    <x v="4"/>
  </r>
  <r>
    <s v="ENC100979"/>
    <s v="PT60918"/>
    <s v="Lakeside Health"/>
    <s v="Midwest"/>
    <d v="2025-06-16T00:00:00"/>
    <d v="2025-06-18T00:00:00"/>
    <x v="9"/>
    <s v="Urgent"/>
    <s v="Respiratory"/>
    <n v="3"/>
    <s v="0-12"/>
    <s v="Female"/>
    <s v="Commercial"/>
    <n v="1.9"/>
    <n v="5028.54"/>
    <n v="0"/>
    <n v="4.4000000000000004"/>
    <n v="0.69"/>
    <x v="1"/>
  </r>
  <r>
    <s v="ENC100980"/>
    <s v="PT63073"/>
    <s v="Metro Regional"/>
    <s v="Northeast"/>
    <d v="2025-09-13T00:00:00"/>
    <d v="2025-09-16T00:00:00"/>
    <x v="2"/>
    <s v="Emergency"/>
    <s v="Other"/>
    <n v="26"/>
    <s v="18-34"/>
    <s v="Female"/>
    <s v="Medicare"/>
    <n v="2.7"/>
    <n v="5512.98"/>
    <n v="0"/>
    <n v="4"/>
    <n v="0.85"/>
    <x v="6"/>
  </r>
  <r>
    <s v="ENC100981"/>
    <s v="PT73179"/>
    <s v="Metro Regional"/>
    <s v="South"/>
    <d v="2025-03-29T00:00:00"/>
    <d v="2025-03-31T00:00:00"/>
    <x v="9"/>
    <s v="Urgent"/>
    <s v="Other"/>
    <n v="71"/>
    <s v="65-74"/>
    <s v="Female"/>
    <s v="Medicaid"/>
    <n v="1.5"/>
    <n v="2843.72"/>
    <n v="0"/>
    <n v="4"/>
    <n v="0.83"/>
    <x v="11"/>
  </r>
  <r>
    <s v="ENC100982"/>
    <s v="PT59232"/>
    <s v="Northgate General"/>
    <s v="Midwest"/>
    <d v="2025-08-10T00:00:00"/>
    <d v="2025-08-16T00:00:00"/>
    <x v="1"/>
    <s v="Urgent"/>
    <s v="Neurological"/>
    <n v="7"/>
    <s v="0-12"/>
    <s v="Male"/>
    <s v="Medicaid"/>
    <n v="5.4"/>
    <n v="13852.39"/>
    <n v="0"/>
    <n v="5"/>
    <n v="0.81"/>
    <x v="4"/>
  </r>
  <r>
    <s v="ENC100983"/>
    <s v="PT68314"/>
    <s v="Lakeside Health"/>
    <s v="Northeast"/>
    <d v="2025-08-24T00:00:00"/>
    <d v="2025-08-25T00:00:00"/>
    <x v="3"/>
    <s v="Elective"/>
    <s v="Pediatric"/>
    <n v="64"/>
    <s v="50-64"/>
    <s v="Male"/>
    <s v="Self-Pay"/>
    <n v="0.6"/>
    <n v="968.21"/>
    <n v="0"/>
    <n v="3.5"/>
    <n v="0.75"/>
    <x v="4"/>
  </r>
  <r>
    <s v="ENC100984"/>
    <s v="PT62842"/>
    <s v="Northgate General"/>
    <s v="Midwest"/>
    <d v="2025-08-20T00:00:00"/>
    <d v="2025-08-21T00:00:00"/>
    <x v="0"/>
    <s v="Emergency"/>
    <s v="Cardiac"/>
    <n v="64"/>
    <s v="50-64"/>
    <s v="Male"/>
    <s v="Medicare"/>
    <n v="0.9"/>
    <n v="1852.72"/>
    <n v="1"/>
    <n v="4.0999999999999996"/>
    <n v="0.78"/>
    <x v="4"/>
  </r>
  <r>
    <s v="ENC100985"/>
    <s v="PT68718"/>
    <s v="Lakeside Health"/>
    <s v="West"/>
    <d v="2025-04-16T00:00:00"/>
    <d v="2025-04-19T00:00:00"/>
    <x v="8"/>
    <s v="Elective"/>
    <s v="Maternal"/>
    <n v="68"/>
    <s v="65-74"/>
    <s v="Male"/>
    <s v="Medicaid"/>
    <n v="2.1"/>
    <n v="4363.74"/>
    <n v="0"/>
    <n v="4"/>
    <n v="0.74"/>
    <x v="7"/>
  </r>
  <r>
    <s v="ENC100986"/>
    <s v="PT65497"/>
    <s v="St. Catherine Hospital"/>
    <s v="Midwest"/>
    <d v="2025-04-22T00:00:00"/>
    <d v="2025-04-27T00:00:00"/>
    <x v="1"/>
    <s v="Emergency"/>
    <s v="Other"/>
    <n v="19"/>
    <s v="18-34"/>
    <s v="Male"/>
    <s v="Medicare"/>
    <n v="4.0999999999999996"/>
    <n v="10527.22"/>
    <n v="0"/>
    <n v="4"/>
    <n v="0.86"/>
    <x v="7"/>
  </r>
  <r>
    <s v="ENC100987"/>
    <s v="PT38458"/>
    <s v="Riverside Medical Center"/>
    <s v="Midwest"/>
    <d v="2025-04-05T00:00:00"/>
    <d v="2025-04-09T00:00:00"/>
    <x v="0"/>
    <s v="Urgent"/>
    <s v="Pediatric"/>
    <n v="22"/>
    <s v="18-34"/>
    <s v="Male"/>
    <s v="Medicaid"/>
    <n v="3.4"/>
    <n v="5448.63"/>
    <n v="0"/>
    <n v="5"/>
    <n v="0.82"/>
    <x v="7"/>
  </r>
  <r>
    <s v="ENC100988"/>
    <s v="PT32165"/>
    <s v="Riverside Medical Center"/>
    <s v="South"/>
    <d v="2025-06-18T00:00:00"/>
    <d v="2025-06-27T00:00:00"/>
    <x v="6"/>
    <s v="Emergency"/>
    <s v="Pediatric"/>
    <n v="18"/>
    <s v="18-34"/>
    <s v="Female"/>
    <s v="Medicare"/>
    <n v="8.9"/>
    <n v="17970.509999999998"/>
    <n v="0"/>
    <n v="3.7"/>
    <n v="0.9"/>
    <x v="1"/>
  </r>
  <r>
    <s v="ENC100989"/>
    <s v="PT80868"/>
    <s v="Riverside Medical Center"/>
    <s v="West"/>
    <d v="2025-08-02T00:00:00"/>
    <d v="2025-08-05T00:00:00"/>
    <x v="9"/>
    <s v="Emergency"/>
    <s v="Neurological"/>
    <n v="35"/>
    <s v="35-49"/>
    <s v="Female"/>
    <s v="Medicaid"/>
    <n v="2.4"/>
    <n v="5241.26"/>
    <n v="0"/>
    <n v="3.6"/>
    <n v="0.83"/>
    <x v="4"/>
  </r>
  <r>
    <s v="ENC100990"/>
    <s v="PT40842"/>
    <s v="Riverside Medical Center"/>
    <s v="South"/>
    <d v="2025-05-13T00:00:00"/>
    <d v="2025-05-16T00:00:00"/>
    <x v="3"/>
    <s v="Emergency"/>
    <s v="Pediatric"/>
    <n v="47"/>
    <s v="35-49"/>
    <s v="Female"/>
    <s v="Commercial"/>
    <n v="2.9"/>
    <n v="4620.92"/>
    <n v="0"/>
    <n v="4.8"/>
    <n v="0.82"/>
    <x v="10"/>
  </r>
  <r>
    <s v="ENC100991"/>
    <s v="PT59422"/>
    <s v="Northgate General"/>
    <s v="West"/>
    <d v="2025-05-30T00:00:00"/>
    <d v="2025-06-01T00:00:00"/>
    <x v="0"/>
    <s v="Elective"/>
    <s v="GI"/>
    <n v="10"/>
    <s v="0-12"/>
    <s v="Female"/>
    <s v="Medicare"/>
    <n v="1.1000000000000001"/>
    <n v="2267.4299999999998"/>
    <n v="0"/>
    <n v="3.7"/>
    <n v="0.77"/>
    <x v="10"/>
  </r>
  <r>
    <s v="ENC100992"/>
    <s v="PT27727"/>
    <s v="Metro Regional"/>
    <s v="Northeast"/>
    <d v="2025-04-15T00:00:00"/>
    <d v="2025-04-17T00:00:00"/>
    <x v="2"/>
    <s v="Urgent"/>
    <s v="Cardiac"/>
    <n v="51"/>
    <s v="50-64"/>
    <s v="Female"/>
    <s v="Medicaid"/>
    <n v="1.4"/>
    <n v="2975.8"/>
    <n v="1"/>
    <n v="2.9"/>
    <n v="0.86"/>
    <x v="7"/>
  </r>
  <r>
    <s v="ENC100993"/>
    <s v="PT48827"/>
    <s v="St. Catherine Hospital"/>
    <s v="West"/>
    <d v="2025-03-21T00:00:00"/>
    <d v="2025-03-23T00:00:00"/>
    <x v="3"/>
    <s v="Emergency"/>
    <s v="Respiratory"/>
    <n v="21"/>
    <s v="18-34"/>
    <s v="Female"/>
    <s v="Commercial"/>
    <n v="1.4"/>
    <n v="3116.35"/>
    <n v="0"/>
    <n v="3.3"/>
    <n v="0.78"/>
    <x v="11"/>
  </r>
  <r>
    <s v="ENC100994"/>
    <s v="PT57669"/>
    <s v="Metro Regional"/>
    <s v="West"/>
    <d v="2025-08-28T00:00:00"/>
    <d v="2025-09-06T00:00:00"/>
    <x v="4"/>
    <s v="Elective"/>
    <s v="Maternal"/>
    <n v="51"/>
    <s v="50-64"/>
    <s v="Female"/>
    <s v="Commercial"/>
    <n v="8.1"/>
    <n v="29381.19"/>
    <n v="0"/>
    <n v="2.9"/>
    <n v="0.85"/>
    <x v="4"/>
  </r>
  <r>
    <s v="ENC100995"/>
    <s v="PT66340"/>
    <s v="Metro Regional"/>
    <s v="Midwest"/>
    <d v="2025-10-25T00:00:00"/>
    <d v="2025-10-29T00:00:00"/>
    <x v="1"/>
    <s v="Urgent"/>
    <s v="Infectious"/>
    <n v="27"/>
    <s v="18-34"/>
    <s v="Female"/>
    <s v="Self-Pay"/>
    <n v="3.8"/>
    <n v="11097.7"/>
    <n v="0"/>
    <n v="2.8"/>
    <n v="0.84"/>
    <x v="3"/>
  </r>
  <r>
    <s v="ENC100996"/>
    <s v="PT57373"/>
    <s v="Lakeside Health"/>
    <s v="South"/>
    <d v="2025-04-17T00:00:00"/>
    <d v="2025-04-23T00:00:00"/>
    <x v="3"/>
    <s v="Emergency"/>
    <s v="Neurological"/>
    <n v="86"/>
    <s v="75+"/>
    <s v="Female"/>
    <s v="Medicare"/>
    <n v="5.5"/>
    <n v="10268.68"/>
    <n v="0"/>
    <n v="3.5"/>
    <n v="0.76"/>
    <x v="7"/>
  </r>
  <r>
    <s v="ENC100997"/>
    <s v="PT42458"/>
    <s v="Northgate General"/>
    <s v="Northeast"/>
    <d v="2025-11-11T00:00:00"/>
    <d v="2025-11-14T00:00:00"/>
    <x v="5"/>
    <s v="Emergency"/>
    <s v="Other"/>
    <n v="29"/>
    <s v="18-34"/>
    <s v="Female"/>
    <s v="Commercial"/>
    <n v="2.2999999999999998"/>
    <n v="5698.02"/>
    <n v="0"/>
    <n v="3.9"/>
    <n v="0.79"/>
    <x v="0"/>
  </r>
  <r>
    <s v="ENC100998"/>
    <s v="PT96558"/>
    <s v="Metro Regional"/>
    <s v="Midwest"/>
    <d v="2025-07-28T00:00:00"/>
    <d v="2025-08-05T00:00:00"/>
    <x v="8"/>
    <s v="Elective"/>
    <s v="GI"/>
    <n v="79"/>
    <s v="75+"/>
    <s v="Female"/>
    <s v="Commercial"/>
    <n v="7.2"/>
    <n v="19617.16"/>
    <n v="0"/>
    <n v="4.4000000000000004"/>
    <n v="0.86"/>
    <x v="5"/>
  </r>
  <r>
    <s v="ENC100999"/>
    <s v="PT56146"/>
    <s v="Lakeside Health"/>
    <s v="Northeast"/>
    <d v="2025-03-03T00:00:00"/>
    <d v="2025-03-05T00:00:00"/>
    <x v="2"/>
    <s v="Elective"/>
    <s v="Cancer"/>
    <n v="15"/>
    <s v="13-17"/>
    <s v="Female"/>
    <s v="Commercial"/>
    <n v="1.4"/>
    <n v="3858.16"/>
    <n v="0"/>
    <n v="4.3"/>
    <n v="0.75"/>
    <x v="11"/>
  </r>
  <r>
    <s v="ENC101000"/>
    <s v="PT82746"/>
    <s v="Lakeside Health"/>
    <s v="Northeast"/>
    <d v="2025-05-14T00:00:00"/>
    <d v="2025-05-16T00:00:00"/>
    <x v="3"/>
    <s v="Emergency"/>
    <s v="Cancer"/>
    <n v="7"/>
    <s v="0-12"/>
    <s v="Male"/>
    <s v="Medicare"/>
    <n v="1.7"/>
    <n v="3383.97"/>
    <n v="1"/>
    <n v="4.0999999999999996"/>
    <n v="0.81"/>
    <x v="10"/>
  </r>
  <r>
    <s v="ENC101001"/>
    <s v="PT76302"/>
    <s v="Metro Regional"/>
    <s v="West"/>
    <d v="2025-01-03T00:00:00"/>
    <d v="2025-01-06T00:00:00"/>
    <x v="9"/>
    <s v="Elective"/>
    <s v="Infectious"/>
    <n v="17"/>
    <s v="13-17"/>
    <s v="Male"/>
    <s v="Self-Pay"/>
    <n v="2.1"/>
    <n v="4833.83"/>
    <n v="0"/>
    <n v="3.4"/>
    <n v="0.86"/>
    <x v="8"/>
  </r>
  <r>
    <s v="ENC101002"/>
    <s v="PT60247"/>
    <s v="St. Catherine Hospital"/>
    <s v="Northeast"/>
    <d v="2025-01-15T00:00:00"/>
    <d v="2025-01-20T00:00:00"/>
    <x v="1"/>
    <s v="Emergency"/>
    <s v="Maternal"/>
    <n v="38"/>
    <s v="35-49"/>
    <s v="Female"/>
    <s v="Self-Pay"/>
    <n v="4.2"/>
    <n v="9433.77"/>
    <n v="0"/>
    <n v="4.4000000000000004"/>
    <n v="0.9"/>
    <x v="8"/>
  </r>
  <r>
    <s v="ENC101003"/>
    <s v="PT89775"/>
    <s v="St. Catherine Hospital"/>
    <s v="South"/>
    <d v="2025-05-03T00:00:00"/>
    <d v="2025-05-08T00:00:00"/>
    <x v="8"/>
    <s v="Urgent"/>
    <s v="Infectious"/>
    <n v="82"/>
    <s v="75+"/>
    <s v="Female"/>
    <s v="Medicare"/>
    <n v="4.3"/>
    <n v="10278.65"/>
    <n v="0"/>
    <n v="4.7"/>
    <n v="0.8"/>
    <x v="10"/>
  </r>
  <r>
    <s v="ENC101004"/>
    <s v="PT21543"/>
    <s v="Metro Regional"/>
    <s v="Midwest"/>
    <d v="2025-06-15T00:00:00"/>
    <d v="2025-06-18T00:00:00"/>
    <x v="6"/>
    <s v="Urgent"/>
    <s v="Neurological"/>
    <n v="16"/>
    <s v="13-17"/>
    <s v="Female"/>
    <s v="Medicare"/>
    <n v="2.7"/>
    <n v="7411.3"/>
    <n v="0"/>
    <n v="4.0999999999999996"/>
    <n v="0.88"/>
    <x v="1"/>
  </r>
  <r>
    <s v="ENC101005"/>
    <s v="PT92894"/>
    <s v="St. Catherine Hospital"/>
    <s v="Midwest"/>
    <d v="2025-10-19T00:00:00"/>
    <d v="2025-10-21T00:00:00"/>
    <x v="0"/>
    <s v="Elective"/>
    <s v="GI"/>
    <n v="71"/>
    <s v="65-74"/>
    <s v="Female"/>
    <s v="Commercial"/>
    <n v="1.7"/>
    <n v="3983.69"/>
    <n v="0"/>
    <n v="4.2"/>
    <n v="0.77"/>
    <x v="3"/>
  </r>
  <r>
    <s v="ENC101006"/>
    <s v="PT86519"/>
    <s v="Metro Regional"/>
    <s v="Midwest"/>
    <d v="2025-02-19T00:00:00"/>
    <d v="2025-02-20T00:00:00"/>
    <x v="2"/>
    <s v="Emergency"/>
    <s v="GI"/>
    <n v="63"/>
    <s v="50-64"/>
    <s v="Female"/>
    <s v="Medicaid"/>
    <n v="0.5"/>
    <n v="1050.25"/>
    <n v="0"/>
    <n v="3.1"/>
    <n v="0.9"/>
    <x v="9"/>
  </r>
  <r>
    <s v="ENC101007"/>
    <s v="PT55326"/>
    <s v="Riverside Medical Center"/>
    <s v="Midwest"/>
    <d v="2025-11-03T00:00:00"/>
    <d v="2025-11-11T00:00:00"/>
    <x v="5"/>
    <s v="Emergency"/>
    <s v="Pediatric"/>
    <n v="31"/>
    <s v="18-34"/>
    <s v="Male"/>
    <s v="Commercial"/>
    <n v="7.1"/>
    <n v="20640.03"/>
    <n v="0"/>
    <n v="4.3"/>
    <n v="0.79"/>
    <x v="0"/>
  </r>
  <r>
    <s v="ENC101008"/>
    <s v="PT76004"/>
    <s v="Riverside Medical Center"/>
    <s v="South"/>
    <d v="2025-03-27T00:00:00"/>
    <d v="2025-03-28T00:00:00"/>
    <x v="3"/>
    <s v="Emergency"/>
    <s v="Respiratory"/>
    <n v="30"/>
    <s v="18-34"/>
    <s v="Female"/>
    <s v="Commercial"/>
    <n v="0.3"/>
    <n v="480.06"/>
    <n v="0"/>
    <n v="4.8"/>
    <n v="0.84"/>
    <x v="11"/>
  </r>
  <r>
    <s v="ENC101009"/>
    <s v="PT56824"/>
    <s v="St. Catherine Hospital"/>
    <s v="West"/>
    <d v="2025-02-20T00:00:00"/>
    <d v="2025-02-21T00:00:00"/>
    <x v="3"/>
    <s v="Emergency"/>
    <s v="Maternal"/>
    <n v="86"/>
    <s v="75+"/>
    <s v="Female"/>
    <s v="Self-Pay"/>
    <n v="0.8"/>
    <n v="1301.9100000000001"/>
    <n v="0"/>
    <n v="3.9"/>
    <n v="0.79"/>
    <x v="9"/>
  </r>
  <r>
    <s v="ENC101010"/>
    <s v="PT34188"/>
    <s v="Riverside Medical Center"/>
    <s v="Midwest"/>
    <d v="2025-09-13T00:00:00"/>
    <d v="2025-09-16T00:00:00"/>
    <x v="9"/>
    <s v="Elective"/>
    <s v="Neurological"/>
    <n v="65"/>
    <s v="65-74"/>
    <s v="Male"/>
    <s v="Medicaid"/>
    <n v="2.6"/>
    <n v="6281.54"/>
    <n v="0"/>
    <n v="3.5"/>
    <n v="0.84"/>
    <x v="6"/>
  </r>
  <r>
    <s v="ENC101011"/>
    <s v="PT81987"/>
    <s v="Metro Regional"/>
    <s v="West"/>
    <d v="2025-10-10T00:00:00"/>
    <d v="2025-10-12T00:00:00"/>
    <x v="5"/>
    <s v="Emergency"/>
    <s v="Respiratory"/>
    <n v="21"/>
    <s v="18-34"/>
    <s v="Female"/>
    <s v="Commercial"/>
    <n v="1.4"/>
    <n v="3759.85"/>
    <n v="0"/>
    <n v="3.8"/>
    <n v="0.83"/>
    <x v="3"/>
  </r>
  <r>
    <s v="ENC101012"/>
    <s v="PT32132"/>
    <s v="Riverside Medical Center"/>
    <s v="South"/>
    <d v="2025-08-09T00:00:00"/>
    <d v="2025-08-13T00:00:00"/>
    <x v="1"/>
    <s v="Emergency"/>
    <s v="GI"/>
    <n v="82"/>
    <s v="75+"/>
    <s v="Female"/>
    <s v="Medicare"/>
    <n v="3.1"/>
    <n v="11612.75"/>
    <n v="0"/>
    <n v="3.6"/>
    <n v="0.79"/>
    <x v="4"/>
  </r>
  <r>
    <s v="ENC101013"/>
    <s v="PT38300"/>
    <s v="Lakeside Health"/>
    <s v="South"/>
    <d v="2025-02-12T00:00:00"/>
    <d v="2025-02-19T00:00:00"/>
    <x v="5"/>
    <s v="Emergency"/>
    <s v="GI"/>
    <n v="37"/>
    <s v="35-49"/>
    <s v="Female"/>
    <s v="Medicare"/>
    <n v="6.6"/>
    <n v="17506.240000000002"/>
    <n v="0"/>
    <n v="3.7"/>
    <n v="0.74"/>
    <x v="9"/>
  </r>
  <r>
    <s v="ENC101014"/>
    <s v="PT56735"/>
    <s v="Northgate General"/>
    <s v="Northeast"/>
    <d v="2025-02-12T00:00:00"/>
    <d v="2025-02-14T00:00:00"/>
    <x v="9"/>
    <s v="Emergency"/>
    <s v="Neurological"/>
    <n v="7"/>
    <s v="0-12"/>
    <s v="Male"/>
    <s v="Commercial"/>
    <n v="1.6"/>
    <n v="3337.89"/>
    <n v="0"/>
    <n v="4.3"/>
    <n v="0.84"/>
    <x v="9"/>
  </r>
  <r>
    <s v="ENC101015"/>
    <s v="PT85363"/>
    <s v="Metro Regional"/>
    <s v="Northeast"/>
    <d v="2025-05-23T00:00:00"/>
    <d v="2025-05-24T00:00:00"/>
    <x v="3"/>
    <s v="Emergency"/>
    <s v="Maternal"/>
    <n v="74"/>
    <s v="65-74"/>
    <s v="Female"/>
    <s v="Commercial"/>
    <n v="0.9"/>
    <n v="1669.41"/>
    <n v="0"/>
    <n v="3.9"/>
    <n v="0.86"/>
    <x v="10"/>
  </r>
  <r>
    <s v="ENC101016"/>
    <s v="PT44552"/>
    <s v="Northgate General"/>
    <s v="West"/>
    <d v="2025-06-14T00:00:00"/>
    <d v="2025-06-15T00:00:00"/>
    <x v="3"/>
    <s v="Elective"/>
    <s v="Injury"/>
    <n v="79"/>
    <s v="75+"/>
    <s v="Male"/>
    <s v="Commercial"/>
    <n v="0.4"/>
    <n v="732.82"/>
    <n v="1"/>
    <n v="4.3"/>
    <n v="0.73"/>
    <x v="1"/>
  </r>
  <r>
    <s v="ENC101017"/>
    <s v="PT54472"/>
    <s v="Riverside Medical Center"/>
    <s v="South"/>
    <d v="2025-12-31T00:00:00"/>
    <d v="2026-01-02T00:00:00"/>
    <x v="9"/>
    <s v="Elective"/>
    <s v="Cardiac"/>
    <n v="40"/>
    <s v="35-49"/>
    <s v="Male"/>
    <s v="Medicare"/>
    <n v="1.6"/>
    <n v="4190.33"/>
    <n v="0"/>
    <n v="4.0999999999999996"/>
    <n v="0.86"/>
    <x v="2"/>
  </r>
  <r>
    <s v="ENC101018"/>
    <s v="PT13749"/>
    <s v="Riverside Medical Center"/>
    <s v="Midwest"/>
    <d v="2025-04-15T00:00:00"/>
    <d v="2025-04-16T00:00:00"/>
    <x v="9"/>
    <s v="Emergency"/>
    <s v="Injury"/>
    <n v="64"/>
    <s v="50-64"/>
    <s v="Female"/>
    <s v="Medicare"/>
    <n v="0.7"/>
    <n v="1687.97"/>
    <n v="0"/>
    <n v="3.4"/>
    <n v="0.78"/>
    <x v="7"/>
  </r>
  <r>
    <s v="ENC101019"/>
    <s v="PT20426"/>
    <s v="St. Catherine Hospital"/>
    <s v="West"/>
    <d v="2025-03-12T00:00:00"/>
    <d v="2025-03-15T00:00:00"/>
    <x v="6"/>
    <s v="Urgent"/>
    <s v="Cancer"/>
    <n v="21"/>
    <s v="18-34"/>
    <s v="Male"/>
    <s v="Medicare"/>
    <n v="3"/>
    <n v="7523.33"/>
    <n v="0"/>
    <n v="3.6"/>
    <n v="0.83"/>
    <x v="11"/>
  </r>
  <r>
    <s v="ENC101020"/>
    <s v="PT15035"/>
    <s v="Metro Regional"/>
    <s v="Midwest"/>
    <d v="2025-12-12T00:00:00"/>
    <d v="2025-12-13T00:00:00"/>
    <x v="6"/>
    <s v="Urgent"/>
    <s v="GI"/>
    <n v="77"/>
    <s v="75+"/>
    <s v="Female"/>
    <s v="Commercial"/>
    <n v="0.6"/>
    <n v="1677.61"/>
    <n v="0"/>
    <n v="3.6"/>
    <n v="0.86"/>
    <x v="2"/>
  </r>
  <r>
    <s v="ENC101021"/>
    <s v="PT16485"/>
    <s v="Metro Regional"/>
    <s v="West"/>
    <d v="2025-02-26T00:00:00"/>
    <d v="2025-03-01T00:00:00"/>
    <x v="5"/>
    <s v="Emergency"/>
    <s v="Pediatric"/>
    <n v="33"/>
    <s v="18-34"/>
    <s v="Female"/>
    <s v="Self-Pay"/>
    <n v="2.2000000000000002"/>
    <n v="5319.89"/>
    <n v="1"/>
    <n v="3.8"/>
    <n v="0.86"/>
    <x v="9"/>
  </r>
  <r>
    <s v="ENC101022"/>
    <s v="PT88165"/>
    <s v="Northgate General"/>
    <s v="Midwest"/>
    <d v="2025-01-10T00:00:00"/>
    <d v="2025-01-15T00:00:00"/>
    <x v="7"/>
    <s v="Elective"/>
    <s v="GI"/>
    <n v="24"/>
    <s v="18-34"/>
    <s v="Female"/>
    <s v="Medicare"/>
    <n v="4.2"/>
    <n v="11379.55"/>
    <n v="0"/>
    <n v="5"/>
    <n v="0.85"/>
    <x v="8"/>
  </r>
  <r>
    <s v="ENC101023"/>
    <s v="PT85778"/>
    <s v="St. Catherine Hospital"/>
    <s v="West"/>
    <d v="2025-06-04T00:00:00"/>
    <d v="2025-06-07T00:00:00"/>
    <x v="8"/>
    <s v="Emergency"/>
    <s v="Cardiac"/>
    <n v="45"/>
    <s v="35-49"/>
    <s v="Male"/>
    <s v="Medicaid"/>
    <n v="2.8"/>
    <n v="7087.89"/>
    <n v="0"/>
    <n v="5"/>
    <n v="0.77"/>
    <x v="1"/>
  </r>
  <r>
    <s v="ENC101024"/>
    <s v="PT83968"/>
    <s v="Riverside Medical Center"/>
    <s v="Northeast"/>
    <d v="2025-05-27T00:00:00"/>
    <d v="2025-06-01T00:00:00"/>
    <x v="1"/>
    <s v="Emergency"/>
    <s v="Injury"/>
    <n v="24"/>
    <s v="18-34"/>
    <s v="Female"/>
    <s v="Commercial"/>
    <n v="4.5999999999999996"/>
    <n v="16555.02"/>
    <n v="0"/>
    <n v="4.4000000000000004"/>
    <n v="0.84"/>
    <x v="10"/>
  </r>
  <r>
    <s v="ENC101025"/>
    <s v="PT15001"/>
    <s v="St. Catherine Hospital"/>
    <s v="Northeast"/>
    <d v="2025-08-15T00:00:00"/>
    <d v="2025-08-18T00:00:00"/>
    <x v="8"/>
    <s v="Emergency"/>
    <s v="Cardiac"/>
    <n v="56"/>
    <s v="50-64"/>
    <s v="Female"/>
    <s v="Medicare"/>
    <n v="3"/>
    <n v="7887.72"/>
    <n v="0"/>
    <n v="4"/>
    <n v="0.85"/>
    <x v="4"/>
  </r>
  <r>
    <s v="ENC101026"/>
    <s v="PT16987"/>
    <s v="St. Catherine Hospital"/>
    <s v="South"/>
    <d v="2025-11-17T00:00:00"/>
    <d v="2025-11-18T00:00:00"/>
    <x v="2"/>
    <s v="Emergency"/>
    <s v="GI"/>
    <n v="68"/>
    <s v="65-74"/>
    <s v="Male"/>
    <s v="Medicaid"/>
    <n v="0.5"/>
    <n v="979.79"/>
    <n v="0"/>
    <n v="3.1"/>
    <n v="0.77"/>
    <x v="0"/>
  </r>
  <r>
    <s v="ENC101027"/>
    <s v="PT35254"/>
    <s v="Northgate General"/>
    <s v="Northeast"/>
    <d v="2025-12-07T00:00:00"/>
    <d v="2025-12-08T00:00:00"/>
    <x v="3"/>
    <s v="Urgent"/>
    <s v="Cardiac"/>
    <n v="36"/>
    <s v="35-49"/>
    <s v="Female"/>
    <s v="Commercial"/>
    <n v="0.4"/>
    <n v="808.77"/>
    <n v="0"/>
    <n v="3.8"/>
    <n v="0.75"/>
    <x v="2"/>
  </r>
  <r>
    <s v="ENC101028"/>
    <s v="PT60875"/>
    <s v="Lakeside Health"/>
    <s v="West"/>
    <d v="2025-04-16T00:00:00"/>
    <d v="2025-04-17T00:00:00"/>
    <x v="3"/>
    <s v="Urgent"/>
    <s v="Neurological"/>
    <n v="71"/>
    <s v="65-74"/>
    <s v="Male"/>
    <s v="Commercial"/>
    <n v="1"/>
    <n v="1811.18"/>
    <n v="0"/>
    <n v="3.2"/>
    <n v="0.74"/>
    <x v="7"/>
  </r>
  <r>
    <s v="ENC101029"/>
    <s v="PT40071"/>
    <s v="Metro Regional"/>
    <s v="South"/>
    <d v="2025-12-24T00:00:00"/>
    <d v="2026-01-05T00:00:00"/>
    <x v="4"/>
    <s v="Elective"/>
    <s v="Maternal"/>
    <n v="39"/>
    <s v="35-49"/>
    <s v="Male"/>
    <s v="Commercial"/>
    <n v="11.2"/>
    <n v="38637.660000000003"/>
    <n v="0"/>
    <n v="4.5999999999999996"/>
    <n v="0.85"/>
    <x v="2"/>
  </r>
  <r>
    <s v="ENC101030"/>
    <s v="PT53879"/>
    <s v="Riverside Medical Center"/>
    <s v="Northeast"/>
    <d v="2025-08-19T00:00:00"/>
    <d v="2025-08-24T00:00:00"/>
    <x v="6"/>
    <s v="Elective"/>
    <s v="GI"/>
    <n v="88"/>
    <s v="75+"/>
    <s v="Male"/>
    <s v="Commercial"/>
    <n v="4.5"/>
    <n v="11446.88"/>
    <n v="0"/>
    <n v="2.9"/>
    <n v="0.76"/>
    <x v="4"/>
  </r>
  <r>
    <s v="ENC101031"/>
    <s v="PT25569"/>
    <s v="Northgate General"/>
    <s v="Northeast"/>
    <d v="2025-01-26T00:00:00"/>
    <d v="2025-02-16T00:00:00"/>
    <x v="4"/>
    <s v="Elective"/>
    <s v="Injury"/>
    <n v="24"/>
    <s v="18-34"/>
    <s v="Male"/>
    <s v="Medicare"/>
    <n v="21"/>
    <n v="74492.649999999994"/>
    <n v="0"/>
    <n v="3.8"/>
    <n v="0.8"/>
    <x v="8"/>
  </r>
  <r>
    <s v="ENC101032"/>
    <s v="PT75769"/>
    <s v="Riverside Medical Center"/>
    <s v="West"/>
    <d v="2025-12-09T00:00:00"/>
    <d v="2025-12-10T00:00:00"/>
    <x v="3"/>
    <s v="Urgent"/>
    <s v="Injury"/>
    <n v="64"/>
    <s v="50-64"/>
    <s v="Male"/>
    <s v="Commercial"/>
    <n v="0.6"/>
    <n v="1073.74"/>
    <n v="0"/>
    <n v="3.2"/>
    <n v="0.76"/>
    <x v="2"/>
  </r>
  <r>
    <s v="ENC101033"/>
    <s v="PT38250"/>
    <s v="Riverside Medical Center"/>
    <s v="South"/>
    <d v="2025-02-20T00:00:00"/>
    <d v="2025-02-24T00:00:00"/>
    <x v="9"/>
    <s v="Emergency"/>
    <s v="GI"/>
    <n v="48"/>
    <s v="35-49"/>
    <s v="Female"/>
    <s v="Commercial"/>
    <n v="3.9"/>
    <n v="8006.66"/>
    <n v="0"/>
    <n v="3.9"/>
    <n v="0.87"/>
    <x v="9"/>
  </r>
  <r>
    <s v="ENC101034"/>
    <s v="PT15988"/>
    <s v="Riverside Medical Center"/>
    <s v="West"/>
    <d v="2025-08-03T00:00:00"/>
    <d v="2025-08-08T00:00:00"/>
    <x v="2"/>
    <s v="Emergency"/>
    <s v="Infectious"/>
    <n v="85"/>
    <s v="75+"/>
    <s v="Male"/>
    <s v="Medicare"/>
    <n v="4.8"/>
    <n v="9037.2199999999993"/>
    <n v="1"/>
    <n v="4.3"/>
    <n v="0.84"/>
    <x v="4"/>
  </r>
  <r>
    <s v="ENC101035"/>
    <s v="PT76841"/>
    <s v="Lakeside Health"/>
    <s v="Northeast"/>
    <d v="2025-10-16T00:00:00"/>
    <d v="2025-10-25T00:00:00"/>
    <x v="1"/>
    <s v="Elective"/>
    <s v="Respiratory"/>
    <n v="19"/>
    <s v="18-34"/>
    <s v="Male"/>
    <s v="Commercial"/>
    <n v="8.9"/>
    <n v="30923.98"/>
    <n v="1"/>
    <n v="4.3"/>
    <n v="0.83"/>
    <x v="3"/>
  </r>
  <r>
    <s v="ENC101036"/>
    <s v="PT91250"/>
    <s v="Riverside Medical Center"/>
    <s v="West"/>
    <d v="2025-04-02T00:00:00"/>
    <d v="2025-04-05T00:00:00"/>
    <x v="3"/>
    <s v="Emergency"/>
    <s v="Other"/>
    <n v="17"/>
    <s v="13-17"/>
    <s v="Male"/>
    <s v="Commercial"/>
    <n v="2.4"/>
    <n v="4243.17"/>
    <n v="0"/>
    <n v="3.7"/>
    <n v="0.85"/>
    <x v="7"/>
  </r>
  <r>
    <s v="ENC101037"/>
    <s v="PT11321"/>
    <s v="Lakeside Health"/>
    <s v="South"/>
    <d v="2025-04-09T00:00:00"/>
    <d v="2025-04-13T00:00:00"/>
    <x v="6"/>
    <s v="Emergency"/>
    <s v="Neurological"/>
    <n v="78"/>
    <s v="75+"/>
    <s v="Male"/>
    <s v="Medicare"/>
    <n v="3.3"/>
    <n v="7934.67"/>
    <n v="0"/>
    <n v="4.4000000000000004"/>
    <n v="0.74"/>
    <x v="7"/>
  </r>
  <r>
    <s v="ENC101038"/>
    <s v="PT49300"/>
    <s v="Metro Regional"/>
    <s v="South"/>
    <d v="2025-06-23T00:00:00"/>
    <d v="2025-06-30T00:00:00"/>
    <x v="7"/>
    <s v="Emergency"/>
    <s v="Neurological"/>
    <n v="81"/>
    <s v="75+"/>
    <s v="Female"/>
    <s v="Commercial"/>
    <n v="6.9"/>
    <n v="20372.95"/>
    <n v="0"/>
    <n v="3.5"/>
    <n v="0.81"/>
    <x v="1"/>
  </r>
  <r>
    <s v="ENC101039"/>
    <s v="PT84444"/>
    <s v="Metro Regional"/>
    <s v="Midwest"/>
    <d v="2025-11-19T00:00:00"/>
    <d v="2025-11-22T00:00:00"/>
    <x v="0"/>
    <s v="Elective"/>
    <s v="Cardiac"/>
    <n v="68"/>
    <s v="65-74"/>
    <s v="Female"/>
    <s v="Commercial"/>
    <n v="2.5"/>
    <n v="5571.49"/>
    <n v="0"/>
    <n v="4"/>
    <n v="0.85"/>
    <x v="0"/>
  </r>
  <r>
    <s v="ENC101040"/>
    <s v="PT73554"/>
    <s v="Lakeside Health"/>
    <s v="Northeast"/>
    <d v="2025-03-23T00:00:00"/>
    <d v="2025-03-26T00:00:00"/>
    <x v="6"/>
    <s v="Emergency"/>
    <s v="Cancer"/>
    <n v="43"/>
    <s v="35-49"/>
    <s v="Female"/>
    <s v="Commercial"/>
    <n v="2.6"/>
    <n v="7584.95"/>
    <n v="0"/>
    <n v="4.5"/>
    <n v="0.75"/>
    <x v="11"/>
  </r>
  <r>
    <s v="ENC101041"/>
    <s v="PT87088"/>
    <s v="Riverside Medical Center"/>
    <s v="West"/>
    <d v="2025-08-31T00:00:00"/>
    <d v="2025-09-02T00:00:00"/>
    <x v="3"/>
    <s v="Emergency"/>
    <s v="Injury"/>
    <n v="37"/>
    <s v="35-49"/>
    <s v="Female"/>
    <s v="Commercial"/>
    <n v="1.5"/>
    <n v="2903.85"/>
    <n v="1"/>
    <n v="3.9"/>
    <n v="0.87"/>
    <x v="4"/>
  </r>
  <r>
    <s v="ENC101042"/>
    <s v="PT47368"/>
    <s v="Riverside Medical Center"/>
    <s v="West"/>
    <d v="2025-06-15T00:00:00"/>
    <d v="2025-06-21T00:00:00"/>
    <x v="7"/>
    <s v="Emergency"/>
    <s v="Injury"/>
    <n v="60"/>
    <s v="50-64"/>
    <s v="Male"/>
    <s v="Medicare"/>
    <n v="5.0999999999999996"/>
    <n v="16378.7"/>
    <n v="0"/>
    <n v="3.6"/>
    <n v="0.78"/>
    <x v="1"/>
  </r>
  <r>
    <s v="ENC101043"/>
    <s v="PT43503"/>
    <s v="Northgate General"/>
    <s v="Midwest"/>
    <d v="2025-02-10T00:00:00"/>
    <d v="2025-02-14T00:00:00"/>
    <x v="8"/>
    <s v="Emergency"/>
    <s v="Infectious"/>
    <n v="67"/>
    <s v="65-74"/>
    <s v="Male"/>
    <s v="Commercial"/>
    <n v="3.6"/>
    <n v="10687.62"/>
    <n v="1"/>
    <n v="3.7"/>
    <n v="0.86"/>
    <x v="9"/>
  </r>
  <r>
    <s v="ENC101044"/>
    <s v="PT73825"/>
    <s v="Metro Regional"/>
    <s v="West"/>
    <d v="2025-09-17T00:00:00"/>
    <d v="2025-09-30T00:00:00"/>
    <x v="7"/>
    <s v="Urgent"/>
    <s v="Neurological"/>
    <n v="25"/>
    <s v="18-34"/>
    <s v="Female"/>
    <s v="Commercial"/>
    <n v="12.5"/>
    <n v="40417.67"/>
    <n v="0"/>
    <n v="4.3"/>
    <n v="0.89"/>
    <x v="6"/>
  </r>
  <r>
    <s v="ENC101045"/>
    <s v="PT23825"/>
    <s v="Metro Regional"/>
    <s v="Northeast"/>
    <d v="2025-10-31T00:00:00"/>
    <d v="2025-11-05T00:00:00"/>
    <x v="8"/>
    <s v="Emergency"/>
    <s v="Other"/>
    <n v="0"/>
    <s v="0-12"/>
    <s v="Female"/>
    <s v="Self-Pay"/>
    <n v="4.0999999999999996"/>
    <n v="7718.34"/>
    <n v="0"/>
    <n v="3.2"/>
    <n v="0.83"/>
    <x v="3"/>
  </r>
  <r>
    <s v="ENC101046"/>
    <s v="PT31547"/>
    <s v="Northgate General"/>
    <s v="Northeast"/>
    <d v="2025-07-30T00:00:00"/>
    <d v="2025-08-02T00:00:00"/>
    <x v="6"/>
    <s v="Elective"/>
    <s v="Other"/>
    <n v="6"/>
    <s v="0-12"/>
    <s v="Male"/>
    <s v="Medicaid"/>
    <n v="2.6"/>
    <n v="5158.8100000000004"/>
    <n v="0"/>
    <n v="3.3"/>
    <n v="0.85"/>
    <x v="5"/>
  </r>
  <r>
    <s v="ENC101047"/>
    <s v="PT64075"/>
    <s v="Northgate General"/>
    <s v="Northeast"/>
    <d v="2025-03-06T00:00:00"/>
    <d v="2025-03-11T00:00:00"/>
    <x v="4"/>
    <s v="Elective"/>
    <s v="Cardiac"/>
    <n v="31"/>
    <s v="18-34"/>
    <s v="Female"/>
    <s v="Commercial"/>
    <n v="4.7"/>
    <n v="21936.02"/>
    <n v="0"/>
    <n v="4.2"/>
    <n v="0.75"/>
    <x v="11"/>
  </r>
  <r>
    <s v="ENC101048"/>
    <s v="PT70160"/>
    <s v="St. Catherine Hospital"/>
    <s v="Midwest"/>
    <d v="2025-02-26T00:00:00"/>
    <d v="2025-03-02T00:00:00"/>
    <x v="7"/>
    <s v="Emergency"/>
    <s v="Respiratory"/>
    <n v="62"/>
    <s v="50-64"/>
    <s v="Male"/>
    <s v="Commercial"/>
    <n v="3.7"/>
    <n v="10931"/>
    <n v="0"/>
    <n v="3.6"/>
    <n v="0.81"/>
    <x v="9"/>
  </r>
  <r>
    <s v="ENC101049"/>
    <s v="PT20770"/>
    <s v="Northgate General"/>
    <s v="Northeast"/>
    <d v="2025-06-04T00:00:00"/>
    <d v="2025-06-05T00:00:00"/>
    <x v="6"/>
    <s v="Elective"/>
    <s v="Maternal"/>
    <n v="40"/>
    <s v="35-49"/>
    <s v="Male"/>
    <s v="Medicare"/>
    <n v="0.9"/>
    <n v="1839.32"/>
    <n v="0"/>
    <n v="3"/>
    <n v="0.73"/>
    <x v="1"/>
  </r>
  <r>
    <s v="ENC101050"/>
    <s v="PT55747"/>
    <s v="Metro Regional"/>
    <s v="Midwest"/>
    <d v="2025-07-04T00:00:00"/>
    <d v="2025-07-06T00:00:00"/>
    <x v="0"/>
    <s v="Elective"/>
    <s v="Other"/>
    <n v="56"/>
    <s v="50-64"/>
    <s v="Female"/>
    <s v="Medicaid"/>
    <n v="1.8"/>
    <n v="3344.96"/>
    <n v="0"/>
    <n v="4.7"/>
    <n v="0.91"/>
    <x v="5"/>
  </r>
  <r>
    <s v="ENC101051"/>
    <s v="PT42842"/>
    <s v="Northgate General"/>
    <s v="Northeast"/>
    <d v="2025-07-21T00:00:00"/>
    <d v="2025-07-27T00:00:00"/>
    <x v="2"/>
    <s v="Elective"/>
    <s v="Pediatric"/>
    <n v="42"/>
    <s v="35-49"/>
    <s v="Female"/>
    <s v="Medicaid"/>
    <n v="5.8"/>
    <n v="13143.71"/>
    <n v="0"/>
    <n v="3.2"/>
    <n v="0.71"/>
    <x v="5"/>
  </r>
  <r>
    <s v="ENC101052"/>
    <s v="PT55156"/>
    <s v="Northgate General"/>
    <s v="South"/>
    <d v="2025-03-30T00:00:00"/>
    <d v="2025-04-02T00:00:00"/>
    <x v="7"/>
    <s v="Emergency"/>
    <s v="Respiratory"/>
    <n v="22"/>
    <s v="18-34"/>
    <s v="Male"/>
    <s v="Commercial"/>
    <n v="2.9"/>
    <n v="8778.23"/>
    <n v="0"/>
    <n v="3.8"/>
    <n v="0.72"/>
    <x v="11"/>
  </r>
  <r>
    <s v="ENC101053"/>
    <s v="PT96257"/>
    <s v="St. Catherine Hospital"/>
    <s v="West"/>
    <d v="2025-07-02T00:00:00"/>
    <d v="2025-07-03T00:00:00"/>
    <x v="0"/>
    <s v="Emergency"/>
    <s v="Injury"/>
    <n v="68"/>
    <s v="65-74"/>
    <s v="Female"/>
    <s v="Commercial"/>
    <n v="0.2"/>
    <n v="453.5"/>
    <n v="1"/>
    <n v="3.5"/>
    <n v="0.77"/>
    <x v="5"/>
  </r>
  <r>
    <s v="ENC101054"/>
    <s v="PT16894"/>
    <s v="Riverside Medical Center"/>
    <s v="South"/>
    <d v="2025-04-18T00:00:00"/>
    <d v="2025-04-21T00:00:00"/>
    <x v="9"/>
    <s v="Urgent"/>
    <s v="Respiratory"/>
    <n v="65"/>
    <s v="65-74"/>
    <s v="Male"/>
    <s v="Commercial"/>
    <n v="3"/>
    <n v="6484.54"/>
    <n v="1"/>
    <n v="3.7"/>
    <n v="0.87"/>
    <x v="7"/>
  </r>
  <r>
    <s v="ENC101055"/>
    <s v="PT99590"/>
    <s v="Northgate General"/>
    <s v="Northeast"/>
    <d v="2025-09-08T00:00:00"/>
    <d v="2025-09-11T00:00:00"/>
    <x v="0"/>
    <s v="Elective"/>
    <s v="Pediatric"/>
    <n v="87"/>
    <s v="75+"/>
    <s v="Female"/>
    <s v="Medicaid"/>
    <n v="2.2000000000000002"/>
    <n v="4380.6099999999997"/>
    <n v="1"/>
    <n v="3.4"/>
    <n v="0.82"/>
    <x v="6"/>
  </r>
  <r>
    <s v="ENC101056"/>
    <s v="PT50461"/>
    <s v="Metro Regional"/>
    <s v="South"/>
    <d v="2025-10-18T00:00:00"/>
    <d v="2025-10-28T00:00:00"/>
    <x v="1"/>
    <s v="Urgent"/>
    <s v="Infectious"/>
    <n v="75"/>
    <s v="75+"/>
    <s v="Female"/>
    <s v="Medicaid"/>
    <n v="9.5"/>
    <n v="30341.54"/>
    <n v="0"/>
    <n v="4.0999999999999996"/>
    <n v="0.84"/>
    <x v="3"/>
  </r>
  <r>
    <s v="ENC101057"/>
    <s v="PT79488"/>
    <s v="Riverside Medical Center"/>
    <s v="Northeast"/>
    <d v="2025-08-27T00:00:00"/>
    <d v="2025-08-29T00:00:00"/>
    <x v="2"/>
    <s v="Urgent"/>
    <s v="Neurological"/>
    <n v="34"/>
    <s v="18-34"/>
    <s v="Female"/>
    <s v="Commercial"/>
    <n v="1.6"/>
    <n v="4121.58"/>
    <n v="0"/>
    <n v="4"/>
    <n v="0.86"/>
    <x v="4"/>
  </r>
  <r>
    <s v="ENC101058"/>
    <s v="PT48201"/>
    <s v="St. Catherine Hospital"/>
    <s v="South"/>
    <d v="2025-01-01T00:00:00"/>
    <d v="2025-01-02T00:00:00"/>
    <x v="3"/>
    <s v="Emergency"/>
    <s v="Infectious"/>
    <n v="64"/>
    <s v="50-64"/>
    <s v="Male"/>
    <s v="Medicare"/>
    <n v="0.3"/>
    <n v="590.24"/>
    <n v="0"/>
    <n v="4.3"/>
    <n v="0.8"/>
    <x v="8"/>
  </r>
  <r>
    <s v="ENC101059"/>
    <s v="PT37986"/>
    <s v="Northgate General"/>
    <s v="South"/>
    <d v="2025-12-29T00:00:00"/>
    <d v="2026-01-02T00:00:00"/>
    <x v="7"/>
    <s v="Elective"/>
    <s v="Injury"/>
    <n v="31"/>
    <s v="18-34"/>
    <s v="Male"/>
    <s v="Commercial"/>
    <n v="3.4"/>
    <n v="10639.39"/>
    <n v="0"/>
    <n v="3.5"/>
    <n v="0.8"/>
    <x v="2"/>
  </r>
  <r>
    <s v="ENC101060"/>
    <s v="PT79353"/>
    <s v="Riverside Medical Center"/>
    <s v="Midwest"/>
    <d v="2025-01-09T00:00:00"/>
    <d v="2025-01-12T00:00:00"/>
    <x v="2"/>
    <s v="Emergency"/>
    <s v="Infectious"/>
    <n v="79"/>
    <s v="75+"/>
    <s v="Male"/>
    <s v="Medicare"/>
    <n v="2.2000000000000002"/>
    <n v="4655.84"/>
    <n v="0"/>
    <n v="5"/>
    <n v="0.89"/>
    <x v="8"/>
  </r>
  <r>
    <s v="ENC101061"/>
    <s v="PT71889"/>
    <s v="Riverside Medical Center"/>
    <s v="Northeast"/>
    <d v="2025-12-31T00:00:00"/>
    <d v="2026-01-01T00:00:00"/>
    <x v="9"/>
    <s v="Elective"/>
    <s v="Respiratory"/>
    <n v="55"/>
    <s v="50-64"/>
    <s v="Female"/>
    <s v="Medicaid"/>
    <n v="0.4"/>
    <n v="966.36"/>
    <n v="1"/>
    <n v="2.8"/>
    <n v="0.81"/>
    <x v="2"/>
  </r>
  <r>
    <s v="ENC101062"/>
    <s v="PT22965"/>
    <s v="Northgate General"/>
    <s v="West"/>
    <d v="2025-01-12T00:00:00"/>
    <d v="2025-01-16T00:00:00"/>
    <x v="5"/>
    <s v="Emergency"/>
    <s v="GI"/>
    <n v="75"/>
    <s v="75+"/>
    <s v="Male"/>
    <s v="Medicare"/>
    <n v="4"/>
    <n v="10974.51"/>
    <n v="0"/>
    <n v="2.9"/>
    <n v="0.75"/>
    <x v="8"/>
  </r>
  <r>
    <s v="ENC101063"/>
    <s v="PT73485"/>
    <s v="Riverside Medical Center"/>
    <s v="West"/>
    <d v="2025-07-08T00:00:00"/>
    <d v="2025-07-09T00:00:00"/>
    <x v="3"/>
    <s v="Emergency"/>
    <s v="Maternal"/>
    <n v="25"/>
    <s v="18-34"/>
    <s v="Female"/>
    <s v="Commercial"/>
    <n v="0.7"/>
    <n v="1036.3"/>
    <n v="0"/>
    <n v="4.8"/>
    <n v="0.84"/>
    <x v="5"/>
  </r>
  <r>
    <s v="ENC101064"/>
    <s v="PT77776"/>
    <s v="Northgate General"/>
    <s v="South"/>
    <d v="2025-02-08T00:00:00"/>
    <d v="2025-02-13T00:00:00"/>
    <x v="0"/>
    <s v="Elective"/>
    <s v="GI"/>
    <n v="1"/>
    <s v="0-12"/>
    <s v="Male"/>
    <s v="Medicare"/>
    <n v="4.8"/>
    <n v="10104.11"/>
    <n v="0"/>
    <n v="4.2"/>
    <n v="0.81"/>
    <x v="9"/>
  </r>
  <r>
    <s v="ENC101065"/>
    <s v="PT44905"/>
    <s v="Metro Regional"/>
    <s v="West"/>
    <d v="2025-02-04T00:00:00"/>
    <d v="2025-02-05T00:00:00"/>
    <x v="3"/>
    <s v="Elective"/>
    <s v="Injury"/>
    <n v="12"/>
    <s v="0-12"/>
    <s v="Male"/>
    <s v="Commercial"/>
    <n v="1"/>
    <n v="1853.53"/>
    <n v="0"/>
    <n v="3.9"/>
    <n v="0.84"/>
    <x v="9"/>
  </r>
  <r>
    <s v="ENC101066"/>
    <s v="PT93307"/>
    <s v="Lakeside Health"/>
    <s v="West"/>
    <d v="2025-09-07T00:00:00"/>
    <d v="2025-09-09T00:00:00"/>
    <x v="2"/>
    <s v="Elective"/>
    <s v="Pediatric"/>
    <n v="48"/>
    <s v="35-49"/>
    <s v="Female"/>
    <s v="Medicaid"/>
    <n v="1.4"/>
    <n v="2847.05"/>
    <n v="0"/>
    <n v="4.2"/>
    <n v="0.79"/>
    <x v="6"/>
  </r>
  <r>
    <s v="ENC101067"/>
    <s v="PT67679"/>
    <s v="Metro Regional"/>
    <s v="Northeast"/>
    <d v="2025-09-23T00:00:00"/>
    <d v="2025-09-27T00:00:00"/>
    <x v="5"/>
    <s v="Emergency"/>
    <s v="GI"/>
    <n v="87"/>
    <s v="75+"/>
    <s v="Male"/>
    <s v="Commercial"/>
    <n v="3.7"/>
    <n v="10728.87"/>
    <n v="0"/>
    <n v="4.2"/>
    <n v="0.83"/>
    <x v="6"/>
  </r>
  <r>
    <s v="ENC101068"/>
    <s v="PT40026"/>
    <s v="St. Catherine Hospital"/>
    <s v="South"/>
    <d v="2025-02-13T00:00:00"/>
    <d v="2025-02-17T00:00:00"/>
    <x v="2"/>
    <s v="Emergency"/>
    <s v="Cardiac"/>
    <n v="57"/>
    <s v="50-64"/>
    <s v="Female"/>
    <s v="Medicaid"/>
    <n v="3.4"/>
    <n v="6345.75"/>
    <n v="0"/>
    <n v="4.0999999999999996"/>
    <n v="0.81"/>
    <x v="9"/>
  </r>
  <r>
    <s v="ENC101069"/>
    <s v="PT10965"/>
    <s v="Lakeside Health"/>
    <s v="Midwest"/>
    <d v="2025-12-23T00:00:00"/>
    <d v="2025-12-28T00:00:00"/>
    <x v="1"/>
    <s v="Urgent"/>
    <s v="Cardiac"/>
    <n v="73"/>
    <s v="65-74"/>
    <s v="Female"/>
    <s v="Commercial"/>
    <n v="5"/>
    <n v="18305.39"/>
    <n v="0"/>
    <n v="3.3"/>
    <n v="0.76"/>
    <x v="2"/>
  </r>
  <r>
    <s v="ENC101070"/>
    <s v="PT70745"/>
    <s v="Lakeside Health"/>
    <s v="Midwest"/>
    <d v="2025-04-27T00:00:00"/>
    <d v="2025-05-03T00:00:00"/>
    <x v="4"/>
    <s v="Emergency"/>
    <s v="GI"/>
    <n v="42"/>
    <s v="35-49"/>
    <s v="Female"/>
    <s v="Commercial"/>
    <n v="6"/>
    <n v="26649.61"/>
    <n v="0"/>
    <n v="4.3"/>
    <n v="0.76"/>
    <x v="7"/>
  </r>
  <r>
    <s v="ENC101071"/>
    <s v="PT28814"/>
    <s v="Riverside Medical Center"/>
    <s v="Northeast"/>
    <d v="2025-04-27T00:00:00"/>
    <d v="2025-05-18T00:00:00"/>
    <x v="4"/>
    <s v="Emergency"/>
    <s v="Injury"/>
    <n v="87"/>
    <s v="75+"/>
    <s v="Male"/>
    <s v="Commercial"/>
    <n v="21"/>
    <n v="98025.76"/>
    <n v="0"/>
    <n v="4"/>
    <n v="0.88"/>
    <x v="7"/>
  </r>
  <r>
    <s v="ENC101072"/>
    <s v="PT78086"/>
    <s v="Northgate General"/>
    <s v="West"/>
    <d v="2025-04-19T00:00:00"/>
    <d v="2025-04-20T00:00:00"/>
    <x v="2"/>
    <s v="Elective"/>
    <s v="Respiratory"/>
    <n v="85"/>
    <s v="75+"/>
    <s v="Female"/>
    <s v="Commercial"/>
    <n v="0.9"/>
    <n v="2174.7199999999998"/>
    <n v="0"/>
    <n v="4.8"/>
    <n v="0.79"/>
    <x v="7"/>
  </r>
  <r>
    <s v="ENC101073"/>
    <s v="PT57257"/>
    <s v="St. Catherine Hospital"/>
    <s v="South"/>
    <d v="2025-06-18T00:00:00"/>
    <d v="2025-06-21T00:00:00"/>
    <x v="1"/>
    <s v="Emergency"/>
    <s v="Cardiac"/>
    <n v="19"/>
    <s v="18-34"/>
    <s v="Male"/>
    <s v="Commercial"/>
    <n v="2.2999999999999998"/>
    <n v="9229.7199999999993"/>
    <n v="0"/>
    <n v="5"/>
    <n v="0.79"/>
    <x v="1"/>
  </r>
  <r>
    <s v="ENC101074"/>
    <s v="PT52004"/>
    <s v="Metro Regional"/>
    <s v="Northeast"/>
    <d v="2025-03-06T00:00:00"/>
    <d v="2025-03-08T00:00:00"/>
    <x v="1"/>
    <s v="Elective"/>
    <s v="Cardiac"/>
    <n v="78"/>
    <s v="75+"/>
    <s v="Female"/>
    <s v="Medicare"/>
    <n v="1.6"/>
    <n v="5509.57"/>
    <n v="0"/>
    <n v="4.0999999999999996"/>
    <n v="0.86"/>
    <x v="11"/>
  </r>
  <r>
    <s v="ENC101075"/>
    <s v="PT24737"/>
    <s v="St. Catherine Hospital"/>
    <s v="Midwest"/>
    <d v="2025-06-05T00:00:00"/>
    <d v="2025-06-06T00:00:00"/>
    <x v="3"/>
    <s v="Emergency"/>
    <s v="Neurological"/>
    <n v="1"/>
    <s v="0-12"/>
    <s v="Male"/>
    <s v="Commercial"/>
    <n v="0.8"/>
    <n v="1586.9"/>
    <n v="0"/>
    <n v="3"/>
    <n v="0.84"/>
    <x v="1"/>
  </r>
  <r>
    <s v="ENC101076"/>
    <s v="PT74034"/>
    <s v="Northgate General"/>
    <s v="Midwest"/>
    <d v="2025-03-18T00:00:00"/>
    <d v="2025-03-21T00:00:00"/>
    <x v="0"/>
    <s v="Elective"/>
    <s v="Infectious"/>
    <n v="53"/>
    <s v="50-64"/>
    <s v="Male"/>
    <s v="Commercial"/>
    <n v="2.4"/>
    <n v="5833.03"/>
    <n v="0"/>
    <n v="5"/>
    <n v="0.81"/>
    <x v="11"/>
  </r>
  <r>
    <s v="ENC101077"/>
    <s v="PT24931"/>
    <s v="Metro Regional"/>
    <s v="South"/>
    <d v="2025-01-19T00:00:00"/>
    <d v="2025-01-23T00:00:00"/>
    <x v="8"/>
    <s v="Urgent"/>
    <s v="Cardiac"/>
    <n v="39"/>
    <s v="35-49"/>
    <s v="Female"/>
    <s v="Commercial"/>
    <n v="3.7"/>
    <n v="12707.53"/>
    <n v="0"/>
    <n v="3.3"/>
    <n v="0.87"/>
    <x v="8"/>
  </r>
  <r>
    <s v="ENC101078"/>
    <s v="PT47597"/>
    <s v="Riverside Medical Center"/>
    <s v="West"/>
    <d v="2025-05-15T00:00:00"/>
    <d v="2025-05-20T00:00:00"/>
    <x v="1"/>
    <s v="Urgent"/>
    <s v="GI"/>
    <n v="27"/>
    <s v="18-34"/>
    <s v="Male"/>
    <s v="Commercial"/>
    <n v="4.9000000000000004"/>
    <n v="17500.98"/>
    <n v="0"/>
    <n v="4.0999999999999996"/>
    <n v="0.76"/>
    <x v="10"/>
  </r>
  <r>
    <s v="ENC101079"/>
    <s v="PT85266"/>
    <s v="Metro Regional"/>
    <s v="Midwest"/>
    <d v="2025-09-03T00:00:00"/>
    <d v="2025-09-09T00:00:00"/>
    <x v="4"/>
    <s v="Elective"/>
    <s v="Injury"/>
    <n v="84"/>
    <s v="75+"/>
    <s v="Male"/>
    <s v="Medicaid"/>
    <n v="5.7"/>
    <n v="23127.91"/>
    <n v="1"/>
    <n v="3.6"/>
    <n v="0.74"/>
    <x v="6"/>
  </r>
  <r>
    <s v="ENC101080"/>
    <s v="PT92832"/>
    <s v="Metro Regional"/>
    <s v="Midwest"/>
    <d v="2025-10-06T00:00:00"/>
    <d v="2025-10-12T00:00:00"/>
    <x v="7"/>
    <s v="Emergency"/>
    <s v="Injury"/>
    <n v="60"/>
    <s v="50-64"/>
    <s v="Female"/>
    <s v="Self-Pay"/>
    <n v="5.0999999999999996"/>
    <n v="14531.41"/>
    <n v="0"/>
    <n v="3.6"/>
    <n v="0.89"/>
    <x v="3"/>
  </r>
  <r>
    <s v="ENC101081"/>
    <s v="PT99020"/>
    <s v="Metro Regional"/>
    <s v="South"/>
    <d v="2025-05-09T00:00:00"/>
    <d v="2025-05-13T00:00:00"/>
    <x v="8"/>
    <s v="Elective"/>
    <s v="Cardiac"/>
    <n v="12"/>
    <s v="0-12"/>
    <s v="Female"/>
    <s v="Commercial"/>
    <n v="3.3"/>
    <n v="9806.44"/>
    <n v="0"/>
    <n v="4.4000000000000004"/>
    <n v="0.86"/>
    <x v="10"/>
  </r>
  <r>
    <s v="ENC101082"/>
    <s v="PT96220"/>
    <s v="Metro Regional"/>
    <s v="Midwest"/>
    <d v="2025-04-29T00:00:00"/>
    <d v="2025-05-01T00:00:00"/>
    <x v="6"/>
    <s v="Elective"/>
    <s v="Maternal"/>
    <n v="12"/>
    <s v="0-12"/>
    <s v="Female"/>
    <s v="Medicaid"/>
    <n v="1.7"/>
    <n v="3595.72"/>
    <n v="0"/>
    <n v="4"/>
    <n v="0.84"/>
    <x v="7"/>
  </r>
  <r>
    <s v="ENC101083"/>
    <s v="PT60036"/>
    <s v="Riverside Medical Center"/>
    <s v="Midwest"/>
    <d v="2025-10-15T00:00:00"/>
    <d v="2025-10-17T00:00:00"/>
    <x v="2"/>
    <s v="Elective"/>
    <s v="Other"/>
    <n v="10"/>
    <s v="0-12"/>
    <s v="Male"/>
    <s v="Medicaid"/>
    <n v="1.8"/>
    <n v="4088.41"/>
    <n v="1"/>
    <n v="4.2"/>
    <n v="0.85"/>
    <x v="3"/>
  </r>
  <r>
    <s v="ENC101084"/>
    <s v="PT28043"/>
    <s v="Lakeside Health"/>
    <s v="Northeast"/>
    <d v="2025-09-06T00:00:00"/>
    <d v="2025-09-08T00:00:00"/>
    <x v="8"/>
    <s v="Elective"/>
    <s v="Neurological"/>
    <n v="27"/>
    <s v="18-34"/>
    <s v="Male"/>
    <s v="Self-Pay"/>
    <n v="1.5"/>
    <n v="3427.99"/>
    <n v="0"/>
    <n v="3.4"/>
    <n v="0.83"/>
    <x v="6"/>
  </r>
  <r>
    <s v="ENC101085"/>
    <s v="PT85515"/>
    <s v="Lakeside Health"/>
    <s v="Northeast"/>
    <d v="2025-10-31T00:00:00"/>
    <d v="2025-11-02T00:00:00"/>
    <x v="3"/>
    <s v="Elective"/>
    <s v="Respiratory"/>
    <n v="6"/>
    <s v="0-12"/>
    <s v="Male"/>
    <s v="Commercial"/>
    <n v="1.4"/>
    <n v="2890.47"/>
    <n v="0"/>
    <n v="3.6"/>
    <n v="0.81"/>
    <x v="3"/>
  </r>
  <r>
    <s v="ENC101086"/>
    <s v="PT82145"/>
    <s v="Lakeside Health"/>
    <s v="Midwest"/>
    <d v="2025-11-27T00:00:00"/>
    <d v="2025-11-28T00:00:00"/>
    <x v="1"/>
    <s v="Elective"/>
    <s v="Injury"/>
    <n v="24"/>
    <s v="18-34"/>
    <s v="Male"/>
    <s v="Commercial"/>
    <n v="0.4"/>
    <n v="1368.48"/>
    <n v="0"/>
    <n v="3.4"/>
    <n v="0.79"/>
    <x v="0"/>
  </r>
  <r>
    <s v="ENC101087"/>
    <s v="PT99127"/>
    <s v="Northgate General"/>
    <s v="West"/>
    <d v="2025-10-27T00:00:00"/>
    <d v="2025-10-30T00:00:00"/>
    <x v="2"/>
    <s v="Elective"/>
    <s v="Cardiac"/>
    <n v="69"/>
    <s v="65-74"/>
    <s v="Male"/>
    <s v="Medicare"/>
    <n v="3"/>
    <n v="6060.38"/>
    <n v="0"/>
    <n v="3.8"/>
    <n v="0.74"/>
    <x v="3"/>
  </r>
  <r>
    <s v="ENC101088"/>
    <s v="PT68584"/>
    <s v="Riverside Medical Center"/>
    <s v="Midwest"/>
    <d v="2025-12-08T00:00:00"/>
    <d v="2025-12-14T00:00:00"/>
    <x v="8"/>
    <s v="Emergency"/>
    <s v="Pediatric"/>
    <n v="79"/>
    <s v="75+"/>
    <s v="Female"/>
    <s v="Medicaid"/>
    <n v="5.7"/>
    <n v="12588.22"/>
    <n v="0"/>
    <n v="3.8"/>
    <n v="0.79"/>
    <x v="2"/>
  </r>
  <r>
    <s v="ENC101089"/>
    <s v="PT22743"/>
    <s v="Northgate General"/>
    <s v="Northeast"/>
    <d v="2025-06-02T00:00:00"/>
    <d v="2025-06-08T00:00:00"/>
    <x v="6"/>
    <s v="Emergency"/>
    <s v="Respiratory"/>
    <n v="71"/>
    <s v="65-74"/>
    <s v="Female"/>
    <s v="Medicaid"/>
    <n v="5.6"/>
    <n v="11875.35"/>
    <n v="0"/>
    <n v="5"/>
    <n v="0.68"/>
    <x v="1"/>
  </r>
  <r>
    <s v="ENC101090"/>
    <s v="PT55260"/>
    <s v="St. Catherine Hospital"/>
    <s v="South"/>
    <d v="2025-05-25T00:00:00"/>
    <d v="2025-05-26T00:00:00"/>
    <x v="9"/>
    <s v="Elective"/>
    <s v="Other"/>
    <n v="45"/>
    <s v="35-49"/>
    <s v="Male"/>
    <s v="Medicare"/>
    <n v="0.2"/>
    <n v="447.57"/>
    <n v="0"/>
    <n v="3.7"/>
    <n v="0.83"/>
    <x v="10"/>
  </r>
  <r>
    <s v="ENC101091"/>
    <s v="PT50341"/>
    <s v="St. Catherine Hospital"/>
    <s v="West"/>
    <d v="2025-04-28T00:00:00"/>
    <d v="2025-05-01T00:00:00"/>
    <x v="2"/>
    <s v="Emergency"/>
    <s v="Infectious"/>
    <n v="63"/>
    <s v="50-64"/>
    <s v="Female"/>
    <s v="Commercial"/>
    <n v="2.1"/>
    <n v="4932.97"/>
    <n v="0"/>
    <n v="2.6"/>
    <n v="0.84"/>
    <x v="7"/>
  </r>
  <r>
    <s v="ENC101092"/>
    <s v="PT85864"/>
    <s v="Metro Regional"/>
    <s v="Midwest"/>
    <d v="2025-03-27T00:00:00"/>
    <d v="2025-03-30T00:00:00"/>
    <x v="4"/>
    <s v="Urgent"/>
    <s v="Neurological"/>
    <n v="85"/>
    <s v="75+"/>
    <s v="Female"/>
    <s v="Medicaid"/>
    <n v="3"/>
    <n v="11199.56"/>
    <n v="0"/>
    <n v="4.5999999999999996"/>
    <n v="0.89"/>
    <x v="11"/>
  </r>
  <r>
    <s v="ENC101093"/>
    <s v="PT45331"/>
    <s v="Lakeside Health"/>
    <s v="Northeast"/>
    <d v="2025-10-01T00:00:00"/>
    <d v="2025-10-03T00:00:00"/>
    <x v="6"/>
    <s v="Elective"/>
    <s v="Pediatric"/>
    <n v="4"/>
    <s v="0-12"/>
    <s v="Male"/>
    <s v="Medicaid"/>
    <n v="1.6"/>
    <n v="3701.33"/>
    <n v="0"/>
    <n v="4.2"/>
    <n v="0.78"/>
    <x v="3"/>
  </r>
  <r>
    <s v="ENC101094"/>
    <s v="PT39573"/>
    <s v="Lakeside Health"/>
    <s v="South"/>
    <d v="2025-09-18T00:00:00"/>
    <d v="2025-09-25T00:00:00"/>
    <x v="6"/>
    <s v="Emergency"/>
    <s v="Respiratory"/>
    <n v="82"/>
    <s v="75+"/>
    <s v="Male"/>
    <s v="Commercial"/>
    <n v="6.4"/>
    <n v="17534.53"/>
    <n v="0"/>
    <n v="3.8"/>
    <n v="0.74"/>
    <x v="6"/>
  </r>
  <r>
    <s v="ENC101095"/>
    <s v="PT17204"/>
    <s v="Northgate General"/>
    <s v="Midwest"/>
    <d v="2025-10-20T00:00:00"/>
    <d v="2025-10-21T00:00:00"/>
    <x v="3"/>
    <s v="Elective"/>
    <s v="Maternal"/>
    <n v="65"/>
    <s v="65-74"/>
    <s v="Male"/>
    <s v="Medicare"/>
    <n v="0.5"/>
    <n v="943.2"/>
    <n v="0"/>
    <n v="3.4"/>
    <n v="0.76"/>
    <x v="3"/>
  </r>
  <r>
    <s v="ENC101096"/>
    <s v="PT85190"/>
    <s v="St. Catherine Hospital"/>
    <s v="South"/>
    <d v="2025-03-03T00:00:00"/>
    <d v="2025-03-08T00:00:00"/>
    <x v="2"/>
    <s v="Elective"/>
    <s v="Respiratory"/>
    <n v="35"/>
    <s v="35-49"/>
    <s v="Female"/>
    <s v="Commercial"/>
    <n v="4.5999999999999996"/>
    <n v="10827.44"/>
    <n v="0"/>
    <n v="3.3"/>
    <n v="0.77"/>
    <x v="11"/>
  </r>
  <r>
    <s v="ENC101097"/>
    <s v="PT77978"/>
    <s v="Northgate General"/>
    <s v="Northeast"/>
    <d v="2025-06-29T00:00:00"/>
    <d v="2025-07-01T00:00:00"/>
    <x v="3"/>
    <s v="Elective"/>
    <s v="Pediatric"/>
    <n v="40"/>
    <s v="35-49"/>
    <s v="Male"/>
    <s v="Medicare"/>
    <n v="1.1000000000000001"/>
    <n v="1799.41"/>
    <n v="0"/>
    <n v="4.9000000000000004"/>
    <n v="0.77"/>
    <x v="1"/>
  </r>
  <r>
    <s v="ENC101098"/>
    <s v="PT13710"/>
    <s v="Northgate General"/>
    <s v="Northeast"/>
    <d v="2025-03-23T00:00:00"/>
    <d v="2025-03-24T00:00:00"/>
    <x v="3"/>
    <s v="Emergency"/>
    <s v="Neurological"/>
    <n v="39"/>
    <s v="35-49"/>
    <s v="Female"/>
    <s v="Medicare"/>
    <n v="0.7"/>
    <n v="1361.53"/>
    <n v="0"/>
    <n v="3.7"/>
    <n v="0.74"/>
    <x v="11"/>
  </r>
  <r>
    <s v="ENC101099"/>
    <s v="PT49039"/>
    <s v="Riverside Medical Center"/>
    <s v="Midwest"/>
    <d v="2025-11-22T00:00:00"/>
    <d v="2025-11-24T00:00:00"/>
    <x v="2"/>
    <s v="Urgent"/>
    <s v="Respiratory"/>
    <n v="14"/>
    <s v="13-17"/>
    <s v="Female"/>
    <s v="Medicaid"/>
    <n v="1.7"/>
    <n v="3296.11"/>
    <n v="0"/>
    <n v="2.9"/>
    <n v="0.89"/>
    <x v="0"/>
  </r>
  <r>
    <s v="ENC101100"/>
    <s v="PT53174"/>
    <s v="Northgate General"/>
    <s v="South"/>
    <d v="2025-04-08T00:00:00"/>
    <d v="2025-04-11T00:00:00"/>
    <x v="9"/>
    <s v="Emergency"/>
    <s v="Pediatric"/>
    <n v="20"/>
    <s v="18-34"/>
    <s v="Male"/>
    <s v="Self-Pay"/>
    <n v="2.7"/>
    <n v="5226.75"/>
    <n v="0"/>
    <n v="4.0999999999999996"/>
    <n v="0.73"/>
    <x v="7"/>
  </r>
  <r>
    <s v="ENC101101"/>
    <s v="PT52238"/>
    <s v="Northgate General"/>
    <s v="Midwest"/>
    <d v="2025-02-22T00:00:00"/>
    <d v="2025-02-25T00:00:00"/>
    <x v="2"/>
    <s v="Elective"/>
    <s v="Respiratory"/>
    <n v="26"/>
    <s v="18-34"/>
    <s v="Male"/>
    <s v="Medicare"/>
    <n v="2.5"/>
    <n v="5295.27"/>
    <n v="0"/>
    <n v="4.5999999999999996"/>
    <n v="0.77"/>
    <x v="9"/>
  </r>
  <r>
    <s v="ENC101102"/>
    <s v="PT92702"/>
    <s v="St. Catherine Hospital"/>
    <s v="Northeast"/>
    <d v="2025-07-28T00:00:00"/>
    <d v="2025-07-29T00:00:00"/>
    <x v="5"/>
    <s v="Emergency"/>
    <s v="Cardiac"/>
    <n v="0"/>
    <s v="0-12"/>
    <s v="Male"/>
    <s v="Commercial"/>
    <n v="0.7"/>
    <n v="1869.38"/>
    <n v="0"/>
    <n v="4"/>
    <n v="0.72"/>
    <x v="5"/>
  </r>
  <r>
    <s v="ENC101103"/>
    <s v="PT23560"/>
    <s v="Riverside Medical Center"/>
    <s v="Midwest"/>
    <d v="2025-11-17T00:00:00"/>
    <d v="2025-11-19T00:00:00"/>
    <x v="5"/>
    <s v="Elective"/>
    <s v="Maternal"/>
    <n v="45"/>
    <s v="35-49"/>
    <s v="Male"/>
    <s v="Commercial"/>
    <n v="1.5"/>
    <n v="4091.3"/>
    <n v="0"/>
    <n v="3.4"/>
    <n v="0.83"/>
    <x v="0"/>
  </r>
  <r>
    <s v="ENC101104"/>
    <s v="PT37570"/>
    <s v="Northgate General"/>
    <s v="South"/>
    <d v="2025-12-01T00:00:00"/>
    <d v="2025-12-06T00:00:00"/>
    <x v="7"/>
    <s v="Elective"/>
    <s v="Neurological"/>
    <n v="43"/>
    <s v="35-49"/>
    <s v="Male"/>
    <s v="Commercial"/>
    <n v="5"/>
    <n v="15917.92"/>
    <n v="0"/>
    <n v="3.3"/>
    <n v="0.78"/>
    <x v="2"/>
  </r>
  <r>
    <s v="ENC101105"/>
    <s v="PT26283"/>
    <s v="Riverside Medical Center"/>
    <s v="Northeast"/>
    <d v="2025-02-05T00:00:00"/>
    <d v="2025-02-06T00:00:00"/>
    <x v="6"/>
    <s v="Elective"/>
    <s v="Other"/>
    <n v="29"/>
    <s v="18-34"/>
    <s v="Female"/>
    <s v="Commercial"/>
    <n v="0.8"/>
    <n v="1882.74"/>
    <n v="0"/>
    <n v="3.3"/>
    <n v="0.81"/>
    <x v="9"/>
  </r>
  <r>
    <s v="ENC101106"/>
    <s v="PT31967"/>
    <s v="Lakeside Health"/>
    <s v="South"/>
    <d v="2025-04-29T00:00:00"/>
    <d v="2025-05-03T00:00:00"/>
    <x v="0"/>
    <s v="Emergency"/>
    <s v="GI"/>
    <n v="16"/>
    <s v="13-17"/>
    <s v="Female"/>
    <s v="Commercial"/>
    <n v="4"/>
    <n v="8990.24"/>
    <n v="0"/>
    <n v="4.8"/>
    <n v="0.71"/>
    <x v="7"/>
  </r>
  <r>
    <s v="ENC101107"/>
    <s v="PT91638"/>
    <s v="St. Catherine Hospital"/>
    <s v="South"/>
    <d v="2025-02-26T00:00:00"/>
    <d v="2025-02-27T00:00:00"/>
    <x v="7"/>
    <s v="Elective"/>
    <s v="Infectious"/>
    <n v="88"/>
    <s v="75+"/>
    <s v="Male"/>
    <s v="Medicare"/>
    <n v="1"/>
    <n v="3258.47"/>
    <n v="0"/>
    <n v="3.9"/>
    <n v="0.8"/>
    <x v="9"/>
  </r>
  <r>
    <s v="ENC101108"/>
    <s v="PT94664"/>
    <s v="Northgate General"/>
    <s v="Midwest"/>
    <d v="2025-04-23T00:00:00"/>
    <d v="2025-04-28T00:00:00"/>
    <x v="4"/>
    <s v="Elective"/>
    <s v="Injury"/>
    <n v="61"/>
    <s v="50-64"/>
    <s v="Male"/>
    <s v="Commercial"/>
    <n v="4.3"/>
    <n v="18180.39"/>
    <n v="0"/>
    <n v="2.8"/>
    <n v="0.76"/>
    <x v="7"/>
  </r>
  <r>
    <s v="ENC101109"/>
    <s v="PT14018"/>
    <s v="Riverside Medical Center"/>
    <s v="West"/>
    <d v="2025-07-14T00:00:00"/>
    <d v="2025-07-20T00:00:00"/>
    <x v="1"/>
    <s v="Emergency"/>
    <s v="Cardiac"/>
    <n v="43"/>
    <s v="35-49"/>
    <s v="Female"/>
    <s v="Commercial"/>
    <n v="5.5"/>
    <n v="19181.259999999998"/>
    <n v="0"/>
    <n v="4.0999999999999996"/>
    <n v="0.81"/>
    <x v="5"/>
  </r>
  <r>
    <s v="ENC101110"/>
    <s v="PT66887"/>
    <s v="Metro Regional"/>
    <s v="West"/>
    <d v="2025-04-13T00:00:00"/>
    <d v="2025-04-14T00:00:00"/>
    <x v="9"/>
    <s v="Urgent"/>
    <s v="Other"/>
    <n v="65"/>
    <s v="65-74"/>
    <s v="Female"/>
    <s v="Medicaid"/>
    <n v="0.9"/>
    <n v="1710.11"/>
    <n v="0"/>
    <n v="4"/>
    <n v="0.92"/>
    <x v="7"/>
  </r>
  <r>
    <s v="ENC101111"/>
    <s v="PT30956"/>
    <s v="St. Catherine Hospital"/>
    <s v="Midwest"/>
    <d v="2025-01-25T00:00:00"/>
    <d v="2025-01-26T00:00:00"/>
    <x v="3"/>
    <s v="Elective"/>
    <s v="Respiratory"/>
    <n v="33"/>
    <s v="18-34"/>
    <s v="Female"/>
    <s v="Commercial"/>
    <n v="0.3"/>
    <n v="529.34"/>
    <n v="0"/>
    <n v="3.4"/>
    <n v="0.81"/>
    <x v="8"/>
  </r>
  <r>
    <s v="ENC101112"/>
    <s v="PT27330"/>
    <s v="Lakeside Health"/>
    <s v="Northeast"/>
    <d v="2025-07-06T00:00:00"/>
    <d v="2025-07-12T00:00:00"/>
    <x v="7"/>
    <s v="Urgent"/>
    <s v="Neurological"/>
    <n v="19"/>
    <s v="18-34"/>
    <s v="Female"/>
    <s v="Medicare"/>
    <n v="5.9"/>
    <n v="17245.830000000002"/>
    <n v="0"/>
    <n v="3.3"/>
    <n v="0.77"/>
    <x v="5"/>
  </r>
  <r>
    <s v="ENC101113"/>
    <s v="PT36285"/>
    <s v="St. Catherine Hospital"/>
    <s v="Midwest"/>
    <d v="2025-01-20T00:00:00"/>
    <d v="2025-01-26T00:00:00"/>
    <x v="8"/>
    <s v="Urgent"/>
    <s v="Injury"/>
    <n v="61"/>
    <s v="50-64"/>
    <s v="Male"/>
    <s v="Medicaid"/>
    <n v="5.6"/>
    <n v="13620.35"/>
    <n v="1"/>
    <n v="3.3"/>
    <n v="0.78"/>
    <x v="8"/>
  </r>
  <r>
    <s v="ENC101114"/>
    <s v="PT27494"/>
    <s v="Metro Regional"/>
    <s v="Northeast"/>
    <d v="2025-03-24T00:00:00"/>
    <d v="2025-03-27T00:00:00"/>
    <x v="6"/>
    <s v="Urgent"/>
    <s v="Injury"/>
    <n v="70"/>
    <s v="65-74"/>
    <s v="Female"/>
    <s v="Medicare"/>
    <n v="2.2000000000000002"/>
    <n v="5551.79"/>
    <n v="0"/>
    <n v="4.5999999999999996"/>
    <n v="0.81"/>
    <x v="11"/>
  </r>
  <r>
    <s v="ENC101115"/>
    <s v="PT54117"/>
    <s v="Metro Regional"/>
    <s v="South"/>
    <d v="2025-01-01T00:00:00"/>
    <d v="2025-01-03T00:00:00"/>
    <x v="6"/>
    <s v="Elective"/>
    <s v="Infectious"/>
    <n v="59"/>
    <s v="50-64"/>
    <s v="Female"/>
    <s v="Commercial"/>
    <n v="1.7"/>
    <n v="4435.67"/>
    <n v="0"/>
    <n v="4"/>
    <n v="0.84"/>
    <x v="8"/>
  </r>
  <r>
    <s v="ENC101116"/>
    <s v="PT99603"/>
    <s v="Northgate General"/>
    <s v="West"/>
    <d v="2025-02-01T00:00:00"/>
    <d v="2025-02-02T00:00:00"/>
    <x v="8"/>
    <s v="Elective"/>
    <s v="Maternal"/>
    <n v="51"/>
    <s v="50-64"/>
    <s v="Male"/>
    <s v="Commercial"/>
    <n v="0.7"/>
    <n v="1666.12"/>
    <n v="0"/>
    <n v="4.2"/>
    <n v="0.88"/>
    <x v="9"/>
  </r>
  <r>
    <s v="ENC101117"/>
    <s v="PT62779"/>
    <s v="Lakeside Health"/>
    <s v="West"/>
    <d v="2025-06-09T00:00:00"/>
    <d v="2025-06-13T00:00:00"/>
    <x v="2"/>
    <s v="Emergency"/>
    <s v="Maternal"/>
    <n v="0"/>
    <s v="0-12"/>
    <s v="Male"/>
    <s v="Medicare"/>
    <n v="3.1"/>
    <n v="6999.27"/>
    <n v="1"/>
    <n v="4"/>
    <n v="0.74"/>
    <x v="1"/>
  </r>
  <r>
    <s v="ENC101118"/>
    <s v="PT75091"/>
    <s v="Northgate General"/>
    <s v="Midwest"/>
    <d v="2025-11-07T00:00:00"/>
    <d v="2025-11-08T00:00:00"/>
    <x v="5"/>
    <s v="Emergency"/>
    <s v="Pediatric"/>
    <n v="58"/>
    <s v="50-64"/>
    <s v="Female"/>
    <s v="Medicare"/>
    <n v="0.6"/>
    <n v="1588.02"/>
    <n v="0"/>
    <n v="4.0999999999999996"/>
    <n v="0.79"/>
    <x v="0"/>
  </r>
  <r>
    <s v="ENC101119"/>
    <s v="PT54395"/>
    <s v="Lakeside Health"/>
    <s v="Midwest"/>
    <d v="2025-10-10T00:00:00"/>
    <d v="2025-10-18T00:00:00"/>
    <x v="1"/>
    <s v="Elective"/>
    <s v="Injury"/>
    <n v="56"/>
    <s v="50-64"/>
    <s v="Female"/>
    <s v="Commercial"/>
    <n v="7.5"/>
    <n v="24051.3"/>
    <n v="0"/>
    <n v="3.4"/>
    <n v="0.72"/>
    <x v="3"/>
  </r>
  <r>
    <s v="ENC101120"/>
    <s v="PT11251"/>
    <s v="Northgate General"/>
    <s v="Northeast"/>
    <d v="2025-02-06T00:00:00"/>
    <d v="2025-02-07T00:00:00"/>
    <x v="3"/>
    <s v="Emergency"/>
    <s v="Neurological"/>
    <n v="37"/>
    <s v="35-49"/>
    <s v="Female"/>
    <s v="Medicare"/>
    <n v="0.9"/>
    <n v="1819.55"/>
    <n v="0"/>
    <n v="3.6"/>
    <n v="0.67"/>
    <x v="9"/>
  </r>
  <r>
    <s v="ENC101121"/>
    <s v="PT17570"/>
    <s v="Riverside Medical Center"/>
    <s v="South"/>
    <d v="2025-01-13T00:00:00"/>
    <d v="2025-01-14T00:00:00"/>
    <x v="3"/>
    <s v="Urgent"/>
    <s v="Respiratory"/>
    <n v="22"/>
    <s v="18-34"/>
    <s v="Female"/>
    <s v="Medicare"/>
    <n v="0.4"/>
    <n v="721.47"/>
    <n v="0"/>
    <n v="4.4000000000000004"/>
    <n v="0.79"/>
    <x v="8"/>
  </r>
  <r>
    <s v="ENC101122"/>
    <s v="PT34198"/>
    <s v="Metro Regional"/>
    <s v="Northeast"/>
    <d v="2025-05-04T00:00:00"/>
    <d v="2025-05-07T00:00:00"/>
    <x v="7"/>
    <s v="Emergency"/>
    <s v="Maternal"/>
    <n v="89"/>
    <s v="75+"/>
    <s v="Female"/>
    <s v="Commercial"/>
    <n v="2.7"/>
    <n v="7998.62"/>
    <n v="0"/>
    <n v="4.7"/>
    <n v="0.94"/>
    <x v="10"/>
  </r>
  <r>
    <s v="ENC101123"/>
    <s v="PT31929"/>
    <s v="Metro Regional"/>
    <s v="West"/>
    <d v="2025-08-27T00:00:00"/>
    <d v="2025-08-29T00:00:00"/>
    <x v="3"/>
    <s v="Emergency"/>
    <s v="Injury"/>
    <n v="34"/>
    <s v="18-34"/>
    <s v="Female"/>
    <s v="Medicare"/>
    <n v="1.1000000000000001"/>
    <n v="2045.68"/>
    <n v="1"/>
    <n v="3"/>
    <n v="0.86"/>
    <x v="4"/>
  </r>
  <r>
    <s v="ENC101124"/>
    <s v="PT85651"/>
    <s v="Northgate General"/>
    <s v="West"/>
    <d v="2025-09-30T00:00:00"/>
    <d v="2025-10-02T00:00:00"/>
    <x v="6"/>
    <s v="Emergency"/>
    <s v="Infectious"/>
    <n v="24"/>
    <s v="18-34"/>
    <s v="Female"/>
    <s v="Commercial"/>
    <n v="1.8"/>
    <n v="4569.76"/>
    <n v="0"/>
    <n v="3.8"/>
    <n v="0.85"/>
    <x v="6"/>
  </r>
  <r>
    <s v="ENC101125"/>
    <s v="PT85922"/>
    <s v="Metro Regional"/>
    <s v="Northeast"/>
    <d v="2025-10-28T00:00:00"/>
    <d v="2025-10-31T00:00:00"/>
    <x v="9"/>
    <s v="Emergency"/>
    <s v="Cardiac"/>
    <n v="64"/>
    <s v="50-64"/>
    <s v="Female"/>
    <s v="Commercial"/>
    <n v="2.2000000000000002"/>
    <n v="5914.33"/>
    <n v="0"/>
    <n v="4.4000000000000004"/>
    <n v="0.83"/>
    <x v="3"/>
  </r>
  <r>
    <s v="ENC101126"/>
    <s v="PT86870"/>
    <s v="Northgate General"/>
    <s v="South"/>
    <d v="2025-05-05T00:00:00"/>
    <d v="2025-05-07T00:00:00"/>
    <x v="8"/>
    <s v="Emergency"/>
    <s v="Pediatric"/>
    <n v="43"/>
    <s v="35-49"/>
    <s v="Female"/>
    <s v="Medicaid"/>
    <n v="1.3"/>
    <n v="2958.59"/>
    <n v="0"/>
    <n v="5"/>
    <n v="0.69"/>
    <x v="10"/>
  </r>
  <r>
    <s v="ENC101127"/>
    <s v="PT67382"/>
    <s v="St. Catherine Hospital"/>
    <s v="South"/>
    <d v="2025-03-03T00:00:00"/>
    <d v="2025-03-10T00:00:00"/>
    <x v="8"/>
    <s v="Emergency"/>
    <s v="Pediatric"/>
    <n v="50"/>
    <s v="50-64"/>
    <s v="Male"/>
    <s v="Commercial"/>
    <n v="6.9"/>
    <n v="17106.61"/>
    <n v="1"/>
    <n v="5"/>
    <n v="0.76"/>
    <x v="11"/>
  </r>
  <r>
    <s v="ENC101128"/>
    <s v="PT60055"/>
    <s v="Metro Regional"/>
    <s v="West"/>
    <d v="2025-01-10T00:00:00"/>
    <d v="2025-01-12T00:00:00"/>
    <x v="0"/>
    <s v="Elective"/>
    <s v="Other"/>
    <n v="58"/>
    <s v="50-64"/>
    <s v="Female"/>
    <s v="Medicare"/>
    <n v="1.1000000000000001"/>
    <n v="1800.13"/>
    <n v="0"/>
    <n v="3.4"/>
    <n v="0.86"/>
    <x v="8"/>
  </r>
  <r>
    <s v="ENC101129"/>
    <s v="PT68422"/>
    <s v="Northgate General"/>
    <s v="Midwest"/>
    <d v="2025-02-23T00:00:00"/>
    <d v="2025-02-24T00:00:00"/>
    <x v="5"/>
    <s v="Emergency"/>
    <s v="Respiratory"/>
    <n v="33"/>
    <s v="18-34"/>
    <s v="Female"/>
    <s v="Commercial"/>
    <n v="0.4"/>
    <n v="1181.83"/>
    <n v="0"/>
    <n v="4.7"/>
    <n v="0.79"/>
    <x v="9"/>
  </r>
  <r>
    <s v="ENC101130"/>
    <s v="PT46612"/>
    <s v="St. Catherine Hospital"/>
    <s v="Northeast"/>
    <d v="2025-01-24T00:00:00"/>
    <d v="2025-01-26T00:00:00"/>
    <x v="0"/>
    <s v="Emergency"/>
    <s v="Other"/>
    <n v="13"/>
    <s v="13-17"/>
    <s v="Male"/>
    <s v="Commercial"/>
    <n v="1.5"/>
    <n v="3055.84"/>
    <n v="1"/>
    <n v="3.9"/>
    <n v="0.8"/>
    <x v="8"/>
  </r>
  <r>
    <s v="ENC101131"/>
    <s v="PT70317"/>
    <s v="Lakeside Health"/>
    <s v="South"/>
    <d v="2025-11-11T00:00:00"/>
    <d v="2025-11-14T00:00:00"/>
    <x v="7"/>
    <s v="Emergency"/>
    <s v="Cardiac"/>
    <n v="15"/>
    <s v="13-17"/>
    <s v="Female"/>
    <s v="Medicaid"/>
    <n v="2.4"/>
    <n v="7537.96"/>
    <n v="0"/>
    <n v="4.5"/>
    <n v="0.73"/>
    <x v="0"/>
  </r>
  <r>
    <s v="ENC101132"/>
    <s v="PT81499"/>
    <s v="Riverside Medical Center"/>
    <s v="Northeast"/>
    <d v="2025-04-08T00:00:00"/>
    <d v="2025-04-15T00:00:00"/>
    <x v="1"/>
    <s v="Emergency"/>
    <s v="Injury"/>
    <n v="85"/>
    <s v="75+"/>
    <s v="Female"/>
    <s v="Commercial"/>
    <n v="6.9"/>
    <n v="24765.3"/>
    <n v="0"/>
    <n v="4.4000000000000004"/>
    <n v="0.86"/>
    <x v="7"/>
  </r>
  <r>
    <s v="ENC101133"/>
    <s v="PT78660"/>
    <s v="St. Catherine Hospital"/>
    <s v="South"/>
    <d v="2025-10-28T00:00:00"/>
    <d v="2025-10-29T00:00:00"/>
    <x v="3"/>
    <s v="Emergency"/>
    <s v="Cardiac"/>
    <n v="45"/>
    <s v="35-49"/>
    <s v="Male"/>
    <s v="Commercial"/>
    <n v="0.5"/>
    <n v="979.96"/>
    <n v="1"/>
    <n v="2.9"/>
    <n v="0.78"/>
    <x v="3"/>
  </r>
  <r>
    <s v="ENC101134"/>
    <s v="PT65244"/>
    <s v="Northgate General"/>
    <s v="Northeast"/>
    <d v="2025-07-21T00:00:00"/>
    <d v="2025-07-24T00:00:00"/>
    <x v="7"/>
    <s v="Elective"/>
    <s v="Injury"/>
    <n v="37"/>
    <s v="35-49"/>
    <s v="Male"/>
    <s v="Medicaid"/>
    <n v="2.7"/>
    <n v="8328.26"/>
    <n v="0"/>
    <n v="4.2"/>
    <n v="0.79"/>
    <x v="5"/>
  </r>
  <r>
    <s v="ENC101135"/>
    <s v="PT15229"/>
    <s v="Lakeside Health"/>
    <s v="South"/>
    <d v="2025-07-16T00:00:00"/>
    <d v="2025-07-19T00:00:00"/>
    <x v="2"/>
    <s v="Elective"/>
    <s v="Infectious"/>
    <n v="29"/>
    <s v="18-34"/>
    <s v="Female"/>
    <s v="Medicaid"/>
    <n v="3"/>
    <n v="6257.37"/>
    <n v="0"/>
    <n v="4.5"/>
    <n v="0.76"/>
    <x v="5"/>
  </r>
  <r>
    <s v="ENC101136"/>
    <s v="PT75244"/>
    <s v="Riverside Medical Center"/>
    <s v="West"/>
    <d v="2025-06-15T00:00:00"/>
    <d v="2025-06-21T00:00:00"/>
    <x v="1"/>
    <s v="Emergency"/>
    <s v="Cardiac"/>
    <n v="65"/>
    <s v="65-74"/>
    <s v="Male"/>
    <s v="Medicare"/>
    <n v="5.2"/>
    <n v="17559.13"/>
    <n v="0"/>
    <n v="3.9"/>
    <n v="0.81"/>
    <x v="1"/>
  </r>
  <r>
    <s v="ENC101137"/>
    <s v="PT42994"/>
    <s v="Northgate General"/>
    <s v="Northeast"/>
    <d v="2025-10-27T00:00:00"/>
    <d v="2025-11-07T00:00:00"/>
    <x v="7"/>
    <s v="Elective"/>
    <s v="Cancer"/>
    <n v="83"/>
    <s v="75+"/>
    <s v="Male"/>
    <s v="Commercial"/>
    <n v="10.199999999999999"/>
    <n v="35709.050000000003"/>
    <n v="0"/>
    <n v="3.6"/>
    <n v="0.74"/>
    <x v="3"/>
  </r>
  <r>
    <s v="ENC101138"/>
    <s v="PT76929"/>
    <s v="Lakeside Health"/>
    <s v="Midwest"/>
    <d v="2025-01-16T00:00:00"/>
    <d v="2025-01-17T00:00:00"/>
    <x v="0"/>
    <s v="Emergency"/>
    <s v="GI"/>
    <n v="69"/>
    <s v="65-74"/>
    <s v="Female"/>
    <s v="Commercial"/>
    <n v="1"/>
    <n v="2478.15"/>
    <n v="0"/>
    <n v="3"/>
    <n v="0.73"/>
    <x v="8"/>
  </r>
  <r>
    <s v="ENC101139"/>
    <s v="PT58556"/>
    <s v="Riverside Medical Center"/>
    <s v="South"/>
    <d v="2025-02-03T00:00:00"/>
    <d v="2025-02-06T00:00:00"/>
    <x v="3"/>
    <s v="Emergency"/>
    <s v="Pediatric"/>
    <n v="48"/>
    <s v="35-49"/>
    <s v="Female"/>
    <s v="Medicare"/>
    <n v="2.4"/>
    <n v="3712.58"/>
    <n v="0"/>
    <n v="4.0999999999999996"/>
    <n v="0.89"/>
    <x v="9"/>
  </r>
  <r>
    <s v="ENC101140"/>
    <s v="PT89305"/>
    <s v="St. Catherine Hospital"/>
    <s v="Northeast"/>
    <d v="2025-06-04T00:00:00"/>
    <d v="2025-06-11T00:00:00"/>
    <x v="8"/>
    <s v="Urgent"/>
    <s v="GI"/>
    <n v="43"/>
    <s v="35-49"/>
    <s v="Female"/>
    <s v="Commercial"/>
    <n v="6.1"/>
    <n v="16068.61"/>
    <n v="0"/>
    <n v="4"/>
    <n v="0.84"/>
    <x v="1"/>
  </r>
  <r>
    <s v="ENC101141"/>
    <s v="PT40460"/>
    <s v="Lakeside Health"/>
    <s v="South"/>
    <d v="2025-05-24T00:00:00"/>
    <d v="2025-05-25T00:00:00"/>
    <x v="3"/>
    <s v="Emergency"/>
    <s v="Infectious"/>
    <n v="78"/>
    <s v="75+"/>
    <s v="Male"/>
    <s v="Commercial"/>
    <n v="0.5"/>
    <n v="859.57"/>
    <n v="0"/>
    <n v="3.1"/>
    <n v="0.79"/>
    <x v="10"/>
  </r>
  <r>
    <s v="ENC101142"/>
    <s v="PT93824"/>
    <s v="Lakeside Health"/>
    <s v="South"/>
    <d v="2025-07-19T00:00:00"/>
    <d v="2025-07-21T00:00:00"/>
    <x v="2"/>
    <s v="Urgent"/>
    <s v="Cardiac"/>
    <n v="77"/>
    <s v="75+"/>
    <s v="Female"/>
    <s v="Medicaid"/>
    <n v="1.3"/>
    <n v="2982.7"/>
    <n v="1"/>
    <n v="3.7"/>
    <n v="0.72"/>
    <x v="5"/>
  </r>
  <r>
    <s v="ENC101143"/>
    <s v="PT86002"/>
    <s v="Riverside Medical Center"/>
    <s v="Midwest"/>
    <d v="2025-09-27T00:00:00"/>
    <d v="2025-10-01T00:00:00"/>
    <x v="6"/>
    <s v="Emergency"/>
    <s v="Pediatric"/>
    <n v="35"/>
    <s v="35-49"/>
    <s v="Female"/>
    <s v="Commercial"/>
    <n v="3.5"/>
    <n v="7848.62"/>
    <n v="0"/>
    <n v="4"/>
    <n v="0.76"/>
    <x v="6"/>
  </r>
  <r>
    <s v="ENC101144"/>
    <s v="PT39799"/>
    <s v="Metro Regional"/>
    <s v="West"/>
    <d v="2025-08-03T00:00:00"/>
    <d v="2025-08-06T00:00:00"/>
    <x v="2"/>
    <s v="Emergency"/>
    <s v="Respiratory"/>
    <n v="87"/>
    <s v="75+"/>
    <s v="Female"/>
    <s v="Commercial"/>
    <n v="2.8"/>
    <n v="6224.78"/>
    <n v="0"/>
    <n v="3.6"/>
    <n v="0.88"/>
    <x v="4"/>
  </r>
  <r>
    <s v="ENC101145"/>
    <s v="PT53431"/>
    <s v="Lakeside Health"/>
    <s v="Midwest"/>
    <d v="2025-04-04T00:00:00"/>
    <d v="2025-04-06T00:00:00"/>
    <x v="3"/>
    <s v="Emergency"/>
    <s v="Injury"/>
    <n v="75"/>
    <s v="75+"/>
    <s v="Male"/>
    <s v="Commercial"/>
    <n v="1.4"/>
    <n v="2609.0500000000002"/>
    <n v="1"/>
    <n v="3.7"/>
    <n v="0.79"/>
    <x v="7"/>
  </r>
  <r>
    <s v="ENC101146"/>
    <s v="PT57820"/>
    <s v="Northgate General"/>
    <s v="South"/>
    <d v="2025-04-30T00:00:00"/>
    <d v="2025-05-03T00:00:00"/>
    <x v="1"/>
    <s v="Emergency"/>
    <s v="Respiratory"/>
    <n v="77"/>
    <s v="75+"/>
    <s v="Female"/>
    <s v="Medicare"/>
    <n v="2.6"/>
    <n v="8165.25"/>
    <n v="1"/>
    <n v="2.9"/>
    <n v="0.79"/>
    <x v="7"/>
  </r>
  <r>
    <s v="ENC101147"/>
    <s v="PT79175"/>
    <s v="Lakeside Health"/>
    <s v="Northeast"/>
    <d v="2025-10-02T00:00:00"/>
    <d v="2025-10-06T00:00:00"/>
    <x v="1"/>
    <s v="Urgent"/>
    <s v="GI"/>
    <n v="5"/>
    <s v="0-12"/>
    <s v="Female"/>
    <s v="Medicare"/>
    <n v="3.4"/>
    <n v="9470.18"/>
    <n v="0"/>
    <n v="4.7"/>
    <n v="0.74"/>
    <x v="3"/>
  </r>
  <r>
    <s v="ENC101148"/>
    <s v="PT72023"/>
    <s v="Lakeside Health"/>
    <s v="Northeast"/>
    <d v="2025-03-15T00:00:00"/>
    <d v="2025-03-16T00:00:00"/>
    <x v="3"/>
    <s v="Emergency"/>
    <s v="Injury"/>
    <n v="11"/>
    <s v="0-12"/>
    <s v="Female"/>
    <s v="Medicaid"/>
    <n v="0.9"/>
    <n v="1263.3399999999999"/>
    <n v="0"/>
    <n v="3.7"/>
    <n v="0.69"/>
    <x v="11"/>
  </r>
  <r>
    <s v="ENC101149"/>
    <s v="PT86680"/>
    <s v="Lakeside Health"/>
    <s v="Northeast"/>
    <d v="2025-07-04T00:00:00"/>
    <d v="2025-07-06T00:00:00"/>
    <x v="3"/>
    <s v="Urgent"/>
    <s v="GI"/>
    <n v="27"/>
    <s v="18-34"/>
    <s v="Male"/>
    <s v="Commercial"/>
    <n v="1.3"/>
    <n v="2522.71"/>
    <n v="1"/>
    <n v="3"/>
    <n v="0.78"/>
    <x v="5"/>
  </r>
  <r>
    <s v="ENC101150"/>
    <s v="PT43287"/>
    <s v="St. Catherine Hospital"/>
    <s v="West"/>
    <d v="2025-07-16T00:00:00"/>
    <d v="2025-07-17T00:00:00"/>
    <x v="3"/>
    <s v="Urgent"/>
    <s v="Injury"/>
    <n v="69"/>
    <s v="65-74"/>
    <s v="Female"/>
    <s v="Commercial"/>
    <n v="0.5"/>
    <n v="807.65"/>
    <n v="0"/>
    <n v="2.2000000000000002"/>
    <n v="0.85"/>
    <x v="5"/>
  </r>
  <r>
    <s v="ENC101151"/>
    <s v="PT55430"/>
    <s v="Lakeside Health"/>
    <s v="West"/>
    <d v="2025-10-01T00:00:00"/>
    <d v="2025-10-05T00:00:00"/>
    <x v="1"/>
    <s v="Elective"/>
    <s v="Neurological"/>
    <n v="7"/>
    <s v="0-12"/>
    <s v="Male"/>
    <s v="Medicare"/>
    <n v="3.4"/>
    <n v="11890.78"/>
    <n v="0"/>
    <n v="4.5"/>
    <n v="0.72"/>
    <x v="3"/>
  </r>
  <r>
    <s v="ENC101152"/>
    <s v="PT48777"/>
    <s v="Metro Regional"/>
    <s v="West"/>
    <d v="2025-09-18T00:00:00"/>
    <d v="2025-09-27T00:00:00"/>
    <x v="8"/>
    <s v="Emergency"/>
    <s v="Neurological"/>
    <n v="7"/>
    <s v="0-12"/>
    <s v="Female"/>
    <s v="Commercial"/>
    <n v="8.1"/>
    <n v="26054.39"/>
    <n v="0"/>
    <n v="4"/>
    <n v="0.81"/>
    <x v="6"/>
  </r>
  <r>
    <s v="ENC101153"/>
    <s v="PT91858"/>
    <s v="St. Catherine Hospital"/>
    <s v="Northeast"/>
    <d v="2025-06-19T00:00:00"/>
    <d v="2025-06-24T00:00:00"/>
    <x v="0"/>
    <s v="Emergency"/>
    <s v="Respiratory"/>
    <n v="2"/>
    <s v="0-12"/>
    <s v="Female"/>
    <s v="Medicare"/>
    <n v="4.9000000000000004"/>
    <n v="9916.17"/>
    <n v="0"/>
    <n v="4"/>
    <n v="0.85"/>
    <x v="1"/>
  </r>
  <r>
    <s v="ENC101154"/>
    <s v="PT37447"/>
    <s v="Metro Regional"/>
    <s v="South"/>
    <d v="2025-04-23T00:00:00"/>
    <d v="2025-04-29T00:00:00"/>
    <x v="7"/>
    <s v="Emergency"/>
    <s v="Cancer"/>
    <n v="17"/>
    <s v="13-17"/>
    <s v="Female"/>
    <s v="Self-Pay"/>
    <n v="5.3"/>
    <n v="17605.61"/>
    <n v="0"/>
    <n v="4.4000000000000004"/>
    <n v="0.81"/>
    <x v="7"/>
  </r>
  <r>
    <s v="ENC101155"/>
    <s v="PT62840"/>
    <s v="Lakeside Health"/>
    <s v="West"/>
    <d v="2025-05-15T00:00:00"/>
    <d v="2025-05-17T00:00:00"/>
    <x v="2"/>
    <s v="Elective"/>
    <s v="GI"/>
    <n v="83"/>
    <s v="75+"/>
    <s v="Female"/>
    <s v="Medicare"/>
    <n v="1.2"/>
    <n v="2548.4499999999998"/>
    <n v="0"/>
    <n v="4.4000000000000004"/>
    <n v="0.82"/>
    <x v="10"/>
  </r>
  <r>
    <s v="ENC101156"/>
    <s v="PT20814"/>
    <s v="Metro Regional"/>
    <s v="South"/>
    <d v="2025-05-31T00:00:00"/>
    <d v="2025-06-13T00:00:00"/>
    <x v="5"/>
    <s v="Emergency"/>
    <s v="Infectious"/>
    <n v="65"/>
    <s v="65-74"/>
    <s v="Female"/>
    <s v="Commercial"/>
    <n v="12.2"/>
    <n v="39383.58"/>
    <n v="0"/>
    <n v="3.8"/>
    <n v="0.84"/>
    <x v="10"/>
  </r>
  <r>
    <s v="ENC101157"/>
    <s v="PT86523"/>
    <s v="Metro Regional"/>
    <s v="Northeast"/>
    <d v="2025-03-22T00:00:00"/>
    <d v="2025-03-27T00:00:00"/>
    <x v="5"/>
    <s v="Urgent"/>
    <s v="Respiratory"/>
    <n v="65"/>
    <s v="65-74"/>
    <s v="Male"/>
    <s v="Self-Pay"/>
    <n v="4.5999999999999996"/>
    <n v="10680.28"/>
    <n v="0"/>
    <n v="3.7"/>
    <n v="0.82"/>
    <x v="11"/>
  </r>
  <r>
    <s v="ENC101158"/>
    <s v="PT44579"/>
    <s v="Riverside Medical Center"/>
    <s v="West"/>
    <d v="2025-08-17T00:00:00"/>
    <d v="2025-08-24T00:00:00"/>
    <x v="9"/>
    <s v="Elective"/>
    <s v="GI"/>
    <n v="26"/>
    <s v="18-34"/>
    <s v="Female"/>
    <s v="Commercial"/>
    <n v="6.2"/>
    <n v="12024.63"/>
    <n v="1"/>
    <n v="3.6"/>
    <n v="0.82"/>
    <x v="4"/>
  </r>
  <r>
    <s v="ENC101159"/>
    <s v="PT40652"/>
    <s v="Riverside Medical Center"/>
    <s v="Northeast"/>
    <d v="2025-03-18T00:00:00"/>
    <d v="2025-03-20T00:00:00"/>
    <x v="3"/>
    <s v="Emergency"/>
    <s v="Injury"/>
    <n v="56"/>
    <s v="50-64"/>
    <s v="Male"/>
    <s v="Self-Pay"/>
    <n v="1.4"/>
    <n v="2298.5700000000002"/>
    <n v="0"/>
    <n v="4"/>
    <n v="0.8"/>
    <x v="11"/>
  </r>
  <r>
    <s v="ENC101160"/>
    <s v="PT62461"/>
    <s v="St. Catherine Hospital"/>
    <s v="Northeast"/>
    <d v="2025-08-25T00:00:00"/>
    <d v="2025-08-26T00:00:00"/>
    <x v="1"/>
    <s v="Elective"/>
    <s v="Respiratory"/>
    <n v="70"/>
    <s v="65-74"/>
    <s v="Female"/>
    <s v="Medicare"/>
    <n v="0.2"/>
    <n v="710.35"/>
    <n v="0"/>
    <n v="4.7"/>
    <n v="0.85"/>
    <x v="4"/>
  </r>
  <r>
    <s v="ENC101161"/>
    <s v="PT54893"/>
    <s v="St. Catherine Hospital"/>
    <s v="West"/>
    <d v="2025-10-02T00:00:00"/>
    <d v="2025-10-06T00:00:00"/>
    <x v="3"/>
    <s v="Emergency"/>
    <s v="Cardiac"/>
    <n v="48"/>
    <s v="35-49"/>
    <s v="Male"/>
    <s v="Medicare"/>
    <n v="3.4"/>
    <n v="6647.41"/>
    <n v="0"/>
    <n v="3.6"/>
    <n v="0.84"/>
    <x v="3"/>
  </r>
  <r>
    <s v="ENC101162"/>
    <s v="PT86317"/>
    <s v="St. Catherine Hospital"/>
    <s v="Midwest"/>
    <d v="2025-12-18T00:00:00"/>
    <d v="2025-12-25T00:00:00"/>
    <x v="5"/>
    <s v="Urgent"/>
    <s v="Neurological"/>
    <n v="77"/>
    <s v="75+"/>
    <s v="Female"/>
    <s v="Self-Pay"/>
    <n v="6.3"/>
    <n v="15248.68"/>
    <n v="0"/>
    <n v="4.8"/>
    <n v="0.84"/>
    <x v="2"/>
  </r>
  <r>
    <s v="ENC101163"/>
    <s v="PT57826"/>
    <s v="Metro Regional"/>
    <s v="Midwest"/>
    <d v="2025-02-13T00:00:00"/>
    <d v="2025-02-17T00:00:00"/>
    <x v="1"/>
    <s v="Emergency"/>
    <s v="Injury"/>
    <n v="51"/>
    <s v="50-64"/>
    <s v="Female"/>
    <s v="Medicare"/>
    <n v="3.5"/>
    <n v="11545.27"/>
    <n v="0"/>
    <n v="4.0999999999999996"/>
    <n v="0.85"/>
    <x v="9"/>
  </r>
  <r>
    <s v="ENC101164"/>
    <s v="PT56529"/>
    <s v="Metro Regional"/>
    <s v="South"/>
    <d v="2025-10-05T00:00:00"/>
    <d v="2025-10-06T00:00:00"/>
    <x v="2"/>
    <s v="Urgent"/>
    <s v="GI"/>
    <n v="29"/>
    <s v="18-34"/>
    <s v="Female"/>
    <s v="Medicare"/>
    <n v="0.5"/>
    <n v="1146.58"/>
    <n v="0"/>
    <n v="4.0999999999999996"/>
    <n v="0.82"/>
    <x v="3"/>
  </r>
  <r>
    <s v="ENC101165"/>
    <s v="PT19448"/>
    <s v="Northgate General"/>
    <s v="West"/>
    <d v="2025-02-01T00:00:00"/>
    <d v="2025-02-07T00:00:00"/>
    <x v="2"/>
    <s v="Elective"/>
    <s v="Cardiac"/>
    <n v="58"/>
    <s v="50-64"/>
    <s v="Male"/>
    <s v="Commercial"/>
    <n v="5.0999999999999996"/>
    <n v="12480.33"/>
    <n v="0"/>
    <n v="5"/>
    <n v="0.78"/>
    <x v="9"/>
  </r>
  <r>
    <s v="ENC101166"/>
    <s v="PT11974"/>
    <s v="Lakeside Health"/>
    <s v="Northeast"/>
    <d v="2025-05-04T00:00:00"/>
    <d v="2025-05-08T00:00:00"/>
    <x v="6"/>
    <s v="Urgent"/>
    <s v="Maternal"/>
    <n v="85"/>
    <s v="75+"/>
    <s v="Male"/>
    <s v="Medicare"/>
    <n v="3.4"/>
    <n v="9183.2900000000009"/>
    <n v="0"/>
    <n v="4.9000000000000004"/>
    <n v="0.73"/>
    <x v="10"/>
  </r>
  <r>
    <s v="ENC101167"/>
    <s v="PT45869"/>
    <s v="Riverside Medical Center"/>
    <s v="South"/>
    <d v="2025-03-06T00:00:00"/>
    <d v="2025-03-24T00:00:00"/>
    <x v="7"/>
    <s v="Emergency"/>
    <s v="Injury"/>
    <n v="75"/>
    <s v="75+"/>
    <s v="Male"/>
    <s v="Medicare"/>
    <n v="17.5"/>
    <n v="50548.28"/>
    <n v="0"/>
    <n v="4.7"/>
    <n v="0.88"/>
    <x v="11"/>
  </r>
  <r>
    <s v="ENC101168"/>
    <s v="PT99837"/>
    <s v="St. Catherine Hospital"/>
    <s v="Midwest"/>
    <d v="2025-03-01T00:00:00"/>
    <d v="2025-03-13T00:00:00"/>
    <x v="7"/>
    <s v="Elective"/>
    <s v="Infectious"/>
    <n v="45"/>
    <s v="35-49"/>
    <s v="Male"/>
    <s v="Commercial"/>
    <n v="11.7"/>
    <n v="40189.949999999997"/>
    <n v="0"/>
    <n v="3.2"/>
    <n v="0.84"/>
    <x v="11"/>
  </r>
  <r>
    <s v="ENC101169"/>
    <s v="PT92559"/>
    <s v="Riverside Medical Center"/>
    <s v="Northeast"/>
    <d v="2025-03-06T00:00:00"/>
    <d v="2025-03-13T00:00:00"/>
    <x v="0"/>
    <s v="Emergency"/>
    <s v="Maternal"/>
    <n v="54"/>
    <s v="50-64"/>
    <s v="Female"/>
    <s v="Medicare"/>
    <n v="6.2"/>
    <n v="12846.68"/>
    <n v="0"/>
    <n v="5"/>
    <n v="0.82"/>
    <x v="11"/>
  </r>
  <r>
    <s v="ENC101170"/>
    <s v="PT66607"/>
    <s v="St. Catherine Hospital"/>
    <s v="Midwest"/>
    <d v="2025-01-17T00:00:00"/>
    <d v="2025-01-21T00:00:00"/>
    <x v="5"/>
    <s v="Elective"/>
    <s v="Cancer"/>
    <n v="88"/>
    <s v="75+"/>
    <s v="Female"/>
    <s v="Medicare"/>
    <n v="3.9"/>
    <n v="10908.67"/>
    <n v="0"/>
    <n v="3.9"/>
    <n v="0.76"/>
    <x v="8"/>
  </r>
  <r>
    <s v="ENC101171"/>
    <s v="PT66774"/>
    <s v="St. Catherine Hospital"/>
    <s v="South"/>
    <d v="2025-10-28T00:00:00"/>
    <d v="2025-10-31T00:00:00"/>
    <x v="6"/>
    <s v="Emergency"/>
    <s v="Respiratory"/>
    <n v="68"/>
    <s v="65-74"/>
    <s v="Female"/>
    <s v="Commercial"/>
    <n v="3"/>
    <n v="7303.3"/>
    <n v="0"/>
    <n v="3.8"/>
    <n v="0.86"/>
    <x v="3"/>
  </r>
  <r>
    <s v="ENC101172"/>
    <s v="PT45234"/>
    <s v="Lakeside Health"/>
    <s v="Northeast"/>
    <d v="2025-01-23T00:00:00"/>
    <d v="2025-01-27T00:00:00"/>
    <x v="6"/>
    <s v="Emergency"/>
    <s v="Infectious"/>
    <n v="45"/>
    <s v="35-49"/>
    <s v="Male"/>
    <s v="Commercial"/>
    <n v="3.6"/>
    <n v="9904.33"/>
    <n v="0"/>
    <n v="2.6"/>
    <n v="0.76"/>
    <x v="8"/>
  </r>
  <r>
    <s v="ENC101173"/>
    <s v="PT25975"/>
    <s v="Lakeside Health"/>
    <s v="Midwest"/>
    <d v="2025-05-26T00:00:00"/>
    <d v="2025-05-28T00:00:00"/>
    <x v="8"/>
    <s v="Emergency"/>
    <s v="Other"/>
    <n v="25"/>
    <s v="18-34"/>
    <s v="Female"/>
    <s v="Medicare"/>
    <n v="1.9"/>
    <n v="4647.41"/>
    <n v="0"/>
    <n v="4.0999999999999996"/>
    <n v="0.74"/>
    <x v="10"/>
  </r>
  <r>
    <s v="ENC101174"/>
    <s v="PT10769"/>
    <s v="Northgate General"/>
    <s v="South"/>
    <d v="2025-09-13T00:00:00"/>
    <d v="2025-09-18T00:00:00"/>
    <x v="7"/>
    <s v="Emergency"/>
    <s v="Other"/>
    <n v="82"/>
    <s v="75+"/>
    <s v="Female"/>
    <s v="Commercial"/>
    <n v="4.5999999999999996"/>
    <n v="14173.23"/>
    <n v="0"/>
    <n v="3.2"/>
    <n v="0.84"/>
    <x v="6"/>
  </r>
  <r>
    <s v="ENC101175"/>
    <s v="PT40496"/>
    <s v="Riverside Medical Center"/>
    <s v="South"/>
    <d v="2025-12-28T00:00:00"/>
    <d v="2025-12-29T00:00:00"/>
    <x v="3"/>
    <s v="Emergency"/>
    <s v="Cardiac"/>
    <n v="88"/>
    <s v="75+"/>
    <s v="Male"/>
    <s v="Commercial"/>
    <n v="0.9"/>
    <n v="1576.94"/>
    <n v="0"/>
    <n v="3.9"/>
    <n v="0.8"/>
    <x v="2"/>
  </r>
  <r>
    <s v="ENC101176"/>
    <s v="PT38481"/>
    <s v="Riverside Medical Center"/>
    <s v="South"/>
    <d v="2025-11-08T00:00:00"/>
    <d v="2025-11-16T00:00:00"/>
    <x v="1"/>
    <s v="Elective"/>
    <s v="Maternal"/>
    <n v="6"/>
    <s v="0-12"/>
    <s v="Female"/>
    <s v="Medicare"/>
    <n v="7.1"/>
    <n v="22238.48"/>
    <n v="0"/>
    <n v="3"/>
    <n v="0.81"/>
    <x v="0"/>
  </r>
  <r>
    <s v="ENC101177"/>
    <s v="PT27244"/>
    <s v="Metro Regional"/>
    <s v="West"/>
    <d v="2025-02-20T00:00:00"/>
    <d v="2025-03-08T00:00:00"/>
    <x v="4"/>
    <s v="Emergency"/>
    <s v="Injury"/>
    <n v="2"/>
    <s v="0-12"/>
    <s v="Male"/>
    <s v="Commercial"/>
    <n v="15.2"/>
    <n v="70531.87"/>
    <n v="0"/>
    <n v="4.7"/>
    <n v="0.83"/>
    <x v="9"/>
  </r>
  <r>
    <s v="ENC101178"/>
    <s v="PT33324"/>
    <s v="Metro Regional"/>
    <s v="Midwest"/>
    <d v="2025-12-27T00:00:00"/>
    <d v="2025-12-29T00:00:00"/>
    <x v="3"/>
    <s v="Elective"/>
    <s v="Cardiac"/>
    <n v="10"/>
    <s v="0-12"/>
    <s v="Female"/>
    <s v="Commercial"/>
    <n v="1.5"/>
    <n v="3008.54"/>
    <n v="0"/>
    <n v="4"/>
    <n v="0.79"/>
    <x v="2"/>
  </r>
  <r>
    <s v="ENC101179"/>
    <s v="PT12234"/>
    <s v="Northgate General"/>
    <s v="Midwest"/>
    <d v="2025-08-27T00:00:00"/>
    <d v="2025-08-29T00:00:00"/>
    <x v="2"/>
    <s v="Emergency"/>
    <s v="GI"/>
    <n v="35"/>
    <s v="35-49"/>
    <s v="Male"/>
    <s v="Medicare"/>
    <n v="1.5"/>
    <n v="3283.91"/>
    <n v="0"/>
    <n v="5"/>
    <n v="0.79"/>
    <x v="4"/>
  </r>
  <r>
    <s v="ENC101180"/>
    <s v="PT64715"/>
    <s v="Northgate General"/>
    <s v="Midwest"/>
    <d v="2025-03-07T00:00:00"/>
    <d v="2025-03-18T00:00:00"/>
    <x v="1"/>
    <s v="Elective"/>
    <s v="Neurological"/>
    <n v="14"/>
    <s v="13-17"/>
    <s v="Male"/>
    <s v="Commercial"/>
    <n v="10.6"/>
    <n v="36090.5"/>
    <n v="0"/>
    <n v="3.1"/>
    <n v="0.75"/>
    <x v="11"/>
  </r>
  <r>
    <s v="ENC101181"/>
    <s v="PT93470"/>
    <s v="St. Catherine Hospital"/>
    <s v="South"/>
    <d v="2025-06-13T00:00:00"/>
    <d v="2025-06-19T00:00:00"/>
    <x v="8"/>
    <s v="Elective"/>
    <s v="Infectious"/>
    <n v="80"/>
    <s v="75+"/>
    <s v="Male"/>
    <s v="Self-Pay"/>
    <n v="5.6"/>
    <n v="12497.37"/>
    <n v="0"/>
    <n v="4.8"/>
    <n v="0.78"/>
    <x v="1"/>
  </r>
  <r>
    <s v="ENC101182"/>
    <s v="PT72171"/>
    <s v="Lakeside Health"/>
    <s v="Northeast"/>
    <d v="2025-12-02T00:00:00"/>
    <d v="2025-12-04T00:00:00"/>
    <x v="3"/>
    <s v="Emergency"/>
    <s v="Pediatric"/>
    <n v="83"/>
    <s v="75+"/>
    <s v="Female"/>
    <s v="Medicaid"/>
    <n v="1.3"/>
    <n v="1978.97"/>
    <n v="0"/>
    <n v="2.6"/>
    <n v="0.72"/>
    <x v="2"/>
  </r>
  <r>
    <s v="ENC101183"/>
    <s v="PT50338"/>
    <s v="Northgate General"/>
    <s v="Midwest"/>
    <d v="2025-05-24T00:00:00"/>
    <d v="2025-05-26T00:00:00"/>
    <x v="3"/>
    <s v="Elective"/>
    <s v="Injury"/>
    <n v="16"/>
    <s v="13-17"/>
    <s v="Female"/>
    <s v="Medicare"/>
    <n v="1.4"/>
    <n v="2437.09"/>
    <n v="0"/>
    <n v="3.8"/>
    <n v="0.76"/>
    <x v="10"/>
  </r>
  <r>
    <s v="ENC101184"/>
    <s v="PT47823"/>
    <s v="Riverside Medical Center"/>
    <s v="Northeast"/>
    <d v="2025-03-09T00:00:00"/>
    <d v="2025-03-10T00:00:00"/>
    <x v="3"/>
    <s v="Urgent"/>
    <s v="GI"/>
    <n v="75"/>
    <s v="75+"/>
    <s v="Female"/>
    <s v="Self-Pay"/>
    <n v="0.3"/>
    <n v="560.63"/>
    <n v="1"/>
    <n v="3.3"/>
    <n v="0.79"/>
    <x v="11"/>
  </r>
  <r>
    <s v="ENC101185"/>
    <s v="PT37677"/>
    <s v="Northgate General"/>
    <s v="Midwest"/>
    <d v="2025-11-16T00:00:00"/>
    <d v="2025-11-19T00:00:00"/>
    <x v="2"/>
    <s v="Elective"/>
    <s v="Injury"/>
    <n v="12"/>
    <s v="0-12"/>
    <s v="Female"/>
    <s v="Medicaid"/>
    <n v="2.2999999999999998"/>
    <n v="5159.84"/>
    <n v="0"/>
    <n v="3.6"/>
    <n v="0.79"/>
    <x v="0"/>
  </r>
  <r>
    <s v="ENC101186"/>
    <s v="PT22816"/>
    <s v="Northgate General"/>
    <s v="West"/>
    <d v="2025-12-14T00:00:00"/>
    <d v="2025-12-20T00:00:00"/>
    <x v="9"/>
    <s v="Emergency"/>
    <s v="Respiratory"/>
    <n v="71"/>
    <s v="65-74"/>
    <s v="Male"/>
    <s v="Commercial"/>
    <n v="5.4"/>
    <n v="12030.62"/>
    <n v="0"/>
    <n v="3.6"/>
    <n v="0.77"/>
    <x v="2"/>
  </r>
  <r>
    <s v="ENC101187"/>
    <s v="PT63862"/>
    <s v="Northgate General"/>
    <s v="South"/>
    <d v="2025-12-23T00:00:00"/>
    <d v="2025-12-24T00:00:00"/>
    <x v="3"/>
    <s v="Emergency"/>
    <s v="Cancer"/>
    <n v="33"/>
    <s v="18-34"/>
    <s v="Female"/>
    <s v="Medicaid"/>
    <n v="0.3"/>
    <n v="652.08000000000004"/>
    <n v="0"/>
    <n v="3.2"/>
    <n v="0.78"/>
    <x v="2"/>
  </r>
  <r>
    <s v="ENC101188"/>
    <s v="PT60986"/>
    <s v="Riverside Medical Center"/>
    <s v="Midwest"/>
    <d v="2025-12-15T00:00:00"/>
    <d v="2025-12-16T00:00:00"/>
    <x v="2"/>
    <s v="Elective"/>
    <s v="Other"/>
    <n v="3"/>
    <s v="0-12"/>
    <s v="Female"/>
    <s v="Commercial"/>
    <n v="0.7"/>
    <n v="1486.67"/>
    <n v="0"/>
    <n v="3.1"/>
    <n v="0.91"/>
    <x v="2"/>
  </r>
  <r>
    <s v="ENC101189"/>
    <s v="PT10658"/>
    <s v="Lakeside Health"/>
    <s v="South"/>
    <d v="2025-11-15T00:00:00"/>
    <d v="2025-11-17T00:00:00"/>
    <x v="3"/>
    <s v="Emergency"/>
    <s v="Neurological"/>
    <n v="38"/>
    <s v="35-49"/>
    <s v="Female"/>
    <s v="Medicare"/>
    <n v="2"/>
    <n v="3691.48"/>
    <n v="0"/>
    <n v="3.4"/>
    <n v="0.74"/>
    <x v="0"/>
  </r>
  <r>
    <s v="ENC101190"/>
    <s v="PT47396"/>
    <s v="St. Catherine Hospital"/>
    <s v="South"/>
    <d v="2025-06-15T00:00:00"/>
    <d v="2025-06-23T00:00:00"/>
    <x v="4"/>
    <s v="Elective"/>
    <s v="Respiratory"/>
    <n v="74"/>
    <s v="65-74"/>
    <s v="Male"/>
    <s v="Medicare"/>
    <n v="7.6"/>
    <n v="33407.67"/>
    <n v="0"/>
    <n v="3.7"/>
    <n v="0.82"/>
    <x v="1"/>
  </r>
  <r>
    <s v="ENC101191"/>
    <s v="PT35021"/>
    <s v="Northgate General"/>
    <s v="Midwest"/>
    <d v="2025-03-12T00:00:00"/>
    <d v="2025-03-13T00:00:00"/>
    <x v="2"/>
    <s v="Emergency"/>
    <s v="GI"/>
    <n v="84"/>
    <s v="75+"/>
    <s v="Female"/>
    <s v="Commercial"/>
    <n v="0.8"/>
    <n v="1541.93"/>
    <n v="0"/>
    <n v="4.5999999999999996"/>
    <n v="0.81"/>
    <x v="11"/>
  </r>
  <r>
    <s v="ENC101192"/>
    <s v="PT25325"/>
    <s v="St. Catherine Hospital"/>
    <s v="Midwest"/>
    <d v="2025-08-14T00:00:00"/>
    <d v="2025-08-16T00:00:00"/>
    <x v="6"/>
    <s v="Elective"/>
    <s v="Other"/>
    <n v="11"/>
    <s v="0-12"/>
    <s v="Female"/>
    <s v="Commercial"/>
    <n v="2"/>
    <n v="4708.9799999999996"/>
    <n v="0"/>
    <n v="4.0999999999999996"/>
    <n v="0.8"/>
    <x v="4"/>
  </r>
  <r>
    <s v="ENC101193"/>
    <s v="PT73272"/>
    <s v="St. Catherine Hospital"/>
    <s v="South"/>
    <d v="2025-03-22T00:00:00"/>
    <d v="2025-03-24T00:00:00"/>
    <x v="3"/>
    <s v="Emergency"/>
    <s v="Other"/>
    <n v="76"/>
    <s v="75+"/>
    <s v="Female"/>
    <s v="Self-Pay"/>
    <n v="1.3"/>
    <n v="1897.77"/>
    <n v="0"/>
    <n v="4.4000000000000004"/>
    <n v="0.81"/>
    <x v="11"/>
  </r>
  <r>
    <s v="ENC101194"/>
    <s v="PT57323"/>
    <s v="Metro Regional"/>
    <s v="Northeast"/>
    <d v="2025-06-22T00:00:00"/>
    <d v="2025-06-29T00:00:00"/>
    <x v="4"/>
    <s v="Emergency"/>
    <s v="Infectious"/>
    <n v="26"/>
    <s v="18-34"/>
    <s v="Female"/>
    <s v="Commercial"/>
    <n v="6.8"/>
    <n v="30770.28"/>
    <n v="0"/>
    <n v="2.9"/>
    <n v="0.84"/>
    <x v="1"/>
  </r>
  <r>
    <s v="ENC101195"/>
    <s v="PT67038"/>
    <s v="Metro Regional"/>
    <s v="South"/>
    <d v="2025-08-28T00:00:00"/>
    <d v="2025-08-31T00:00:00"/>
    <x v="9"/>
    <s v="Urgent"/>
    <s v="Cancer"/>
    <n v="42"/>
    <s v="35-49"/>
    <s v="Male"/>
    <s v="Commercial"/>
    <n v="2.9"/>
    <n v="8103.6"/>
    <n v="0"/>
    <n v="3.6"/>
    <n v="0.85"/>
    <x v="4"/>
  </r>
  <r>
    <s v="ENC101196"/>
    <s v="PT74212"/>
    <s v="Riverside Medical Center"/>
    <s v="South"/>
    <d v="2025-12-12T00:00:00"/>
    <d v="2025-12-15T00:00:00"/>
    <x v="8"/>
    <s v="Urgent"/>
    <s v="Infectious"/>
    <n v="9"/>
    <s v="0-12"/>
    <s v="Female"/>
    <s v="Commercial"/>
    <n v="2.4"/>
    <n v="6573.52"/>
    <n v="0"/>
    <n v="4.3"/>
    <n v="0.8"/>
    <x v="2"/>
  </r>
  <r>
    <s v="ENC101197"/>
    <s v="PT98361"/>
    <s v="Metro Regional"/>
    <s v="South"/>
    <d v="2025-04-16T00:00:00"/>
    <d v="2025-04-20T00:00:00"/>
    <x v="8"/>
    <s v="Urgent"/>
    <s v="Pediatric"/>
    <n v="88"/>
    <s v="75+"/>
    <s v="Male"/>
    <s v="Medicare"/>
    <n v="3.8"/>
    <n v="8915.56"/>
    <n v="0"/>
    <n v="4.0999999999999996"/>
    <n v="0.82"/>
    <x v="7"/>
  </r>
  <r>
    <s v="ENC101198"/>
    <s v="PT82247"/>
    <s v="Lakeside Health"/>
    <s v="West"/>
    <d v="2025-04-02T00:00:00"/>
    <d v="2025-04-04T00:00:00"/>
    <x v="3"/>
    <s v="Urgent"/>
    <s v="Pediatric"/>
    <n v="71"/>
    <s v="65-74"/>
    <s v="Male"/>
    <s v="Medicaid"/>
    <n v="1.6"/>
    <n v="2695.35"/>
    <n v="1"/>
    <n v="3.2"/>
    <n v="0.75"/>
    <x v="7"/>
  </r>
  <r>
    <s v="ENC101199"/>
    <s v="PT65831"/>
    <s v="Lakeside Health"/>
    <s v="West"/>
    <d v="2025-09-26T00:00:00"/>
    <d v="2025-09-30T00:00:00"/>
    <x v="0"/>
    <s v="Emergency"/>
    <s v="Pediatric"/>
    <n v="58"/>
    <s v="50-64"/>
    <s v="Male"/>
    <s v="Medicaid"/>
    <n v="3.2"/>
    <n v="5935.1"/>
    <n v="0"/>
    <n v="4.5"/>
    <n v="0.67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2C694D-917D-0841-9D9F-C848D2E5A18A}" name="PivotTable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6:B17" firstHeaderRow="1" firstDataRow="1" firstDataCol="1"/>
  <pivotFields count="18">
    <pivotField showAll="0"/>
    <pivotField showAll="0"/>
    <pivotField showAll="0"/>
    <pivotField showAll="0"/>
    <pivotField numFmtId="14" showAll="0"/>
    <pivotField numFmtId="14" showAll="0"/>
    <pivotField axis="axisRow" showAll="0">
      <items count="11">
        <item x="8"/>
        <item x="3"/>
        <item x="2"/>
        <item x="4"/>
        <item x="5"/>
        <item x="9"/>
        <item x="7"/>
        <item x="6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Total Treatment Cost by Department" fld="14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7666F-42BA-C941-AC53-968B42528336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F4" firstHeaderRow="0" firstDataRow="1" firstDataCol="0"/>
  <pivotFields count="18"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Treatment Cost" fld="14" baseField="0" baseItem="0" numFmtId="164"/>
    <dataField name="Total Encounters" fld="0" subtotal="count" baseField="0" baseItem="0"/>
    <dataField name="Avg Length of Stay" fld="13" subtotal="average" baseField="0" baseItem="0" numFmtId="2"/>
    <dataField name="30-day Readmission Rate " fld="15" subtotal="average" baseField="0" baseItem="0" numFmtId="10"/>
    <dataField name="Avg Satisfaction Score " fld="16" subtotal="average" baseField="0" baseItem="0" numFmtId="2"/>
    <dataField name="Avg Bed Occupancy" fld="17" subtotal="average" baseField="0" baseItem="0" numFmtId="10"/>
  </dataFields>
  <formats count="2">
    <format dxfId="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A4FE1C-EE91-C44F-B6F2-6836C3EF1B4D}" name="Avg Treatment Cost by Diagnosis &amp; Payer Type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F16" firstHeaderRow="1" firstDataRow="2" firstDataCol="1" rowPageCount="2" colPageCount="1"/>
  <pivotFields count="18">
    <pivotField showAll="0"/>
    <pivotField showAll="0"/>
    <pivotField axis="axisPage" showAll="0">
      <items count="6">
        <item x="2"/>
        <item x="3"/>
        <item x="4"/>
        <item x="1"/>
        <item x="0"/>
        <item t="default"/>
      </items>
    </pivotField>
    <pivotField axis="axisPage" showAll="0">
      <items count="5">
        <item x="0"/>
        <item x="1"/>
        <item x="3"/>
        <item x="2"/>
        <item t="default"/>
      </items>
    </pivotField>
    <pivotField numFmtId="14" showAll="0"/>
    <pivotField numFmtId="14" showAll="0"/>
    <pivotField showAll="0"/>
    <pivotField showAll="0"/>
    <pivotField axis="axisRow" showAll="0">
      <items count="11">
        <item x="0"/>
        <item x="1"/>
        <item x="5"/>
        <item x="6"/>
        <item x="8"/>
        <item x="9"/>
        <item x="3"/>
        <item x="7"/>
        <item x="4"/>
        <item x="2"/>
        <item t="default"/>
      </items>
    </pivotField>
    <pivotField showAll="0"/>
    <pivotField showAll="0"/>
    <pivotField showAll="0"/>
    <pivotField axis="axisCol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2">
    <pageField fld="2" hier="-1"/>
    <pageField fld="3" hier="-1"/>
  </pageFields>
  <dataFields count="1">
    <dataField name="Average Treatment Cost by Diagnosis &amp; Payer Type" fld="14" subtotal="average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95283-72E8-3B4A-BD12-EE6F1686FA70}" name="Avg Length of Stay by Department &amp; Admission Type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16" firstHeaderRow="1" firstDataRow="2" firstDataCol="1" rowPageCount="2" colPageCount="1"/>
  <pivotFields count="18">
    <pivotField showAll="0"/>
    <pivotField showAll="0"/>
    <pivotField axis="axisPage" showAll="0">
      <items count="6">
        <item x="2"/>
        <item x="3"/>
        <item x="4"/>
        <item x="1"/>
        <item x="0"/>
        <item t="default"/>
      </items>
    </pivotField>
    <pivotField axis="axisPage" showAll="0">
      <items count="5">
        <item x="0"/>
        <item x="1"/>
        <item x="3"/>
        <item x="2"/>
        <item t="default"/>
      </items>
    </pivotField>
    <pivotField numFmtId="14" showAll="0"/>
    <pivotField numFmtId="14" showAll="0"/>
    <pivotField axis="axisRow" showAll="0">
      <items count="11">
        <item x="8"/>
        <item x="3"/>
        <item x="2"/>
        <item x="4"/>
        <item x="5"/>
        <item x="9"/>
        <item x="7"/>
        <item x="6"/>
        <item x="0"/>
        <item x="1"/>
        <item t="default"/>
      </items>
    </pivotField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pageFields count="2">
    <pageField fld="2" hier="-1"/>
    <pageField fld="3" hier="-1"/>
  </pageFields>
  <dataFields count="1">
    <dataField name="Average Length of Stay by Department &amp; Admission Type" fld="13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18EFE-D650-3345-B1DB-051B72BE1391}" name="30-Day Readmission Rate by Diagnosis Group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5" firstHeaderRow="1" firstDataRow="1" firstDataCol="1" rowPageCount="2" colPageCount="1"/>
  <pivotFields count="18">
    <pivotField showAll="0"/>
    <pivotField showAll="0"/>
    <pivotField axis="axisPage" showAll="0">
      <items count="6">
        <item x="2"/>
        <item x="3"/>
        <item x="4"/>
        <item x="1"/>
        <item x="0"/>
        <item t="default"/>
      </items>
    </pivotField>
    <pivotField showAll="0"/>
    <pivotField numFmtId="14" showAll="0"/>
    <pivotField numFmtId="14" showAll="0"/>
    <pivotField showAll="0"/>
    <pivotField axis="axisPage" showAll="0">
      <items count="4">
        <item x="0"/>
        <item x="2"/>
        <item x="1"/>
        <item t="default"/>
      </items>
    </pivotField>
    <pivotField axis="axisRow" showAll="0">
      <items count="11">
        <item x="0"/>
        <item x="1"/>
        <item x="5"/>
        <item x="6"/>
        <item x="8"/>
        <item x="9"/>
        <item x="3"/>
        <item x="7"/>
        <item x="4"/>
        <item x="2"/>
        <item t="default"/>
      </items>
    </pivotField>
    <pivotField showAll="0"/>
    <pivotField showAll="0">
      <items count="8">
        <item x="5"/>
        <item x="2"/>
        <item x="4"/>
        <item x="0"/>
        <item x="1"/>
        <item x="6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2">
    <pageField fld="2" hier="-1"/>
    <pageField fld="7" hier="-1"/>
  </pageFields>
  <dataFields count="1">
    <dataField name="30-Day Readmission Rate by Diagnosis Group" fld="15" subtotal="average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7145E4-0183-324A-A89C-CAAE900D209F}" name="Avg Patient Satisfaction by Department &amp; Hospital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G16" firstHeaderRow="1" firstDataRow="2" firstDataCol="1" rowPageCount="2" colPageCount="1"/>
  <pivotFields count="18">
    <pivotField showAll="0"/>
    <pivotField showAll="0"/>
    <pivotField axis="axisCol" showAll="0">
      <items count="6">
        <item x="2"/>
        <item x="3"/>
        <item x="4"/>
        <item x="1"/>
        <item x="0"/>
        <item t="default"/>
      </items>
    </pivotField>
    <pivotField axis="axisPage" showAll="0">
      <items count="5">
        <item x="0"/>
        <item x="1"/>
        <item x="3"/>
        <item x="2"/>
        <item t="default"/>
      </items>
    </pivotField>
    <pivotField numFmtId="14" showAll="0"/>
    <pivotField numFmtId="14" showAll="0"/>
    <pivotField axis="axisRow" showAll="0">
      <items count="11">
        <item x="8"/>
        <item x="3"/>
        <item x="2"/>
        <item x="4"/>
        <item x="5"/>
        <item x="9"/>
        <item x="7"/>
        <item x="6"/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Page" showAll="0">
      <items count="5">
        <item x="0"/>
        <item x="3"/>
        <item x="1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pageFields count="2">
    <pageField fld="12" hier="-1"/>
    <pageField fld="3" hier="-1"/>
  </pageFields>
  <dataFields count="1">
    <dataField name="Average Patient Satisfaction by Department &amp; Hospital" fld="16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F8046-E4FD-0D46-A0F6-AC22913CEFDB}" name="Avg Bed Occupancy by Hospital &amp; Department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9" firstHeaderRow="1" firstDataRow="1" firstDataCol="1" rowPageCount="1" colPageCount="1"/>
  <pivotFields count="18"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axis="axisPage" showAll="0">
      <items count="5">
        <item x="0"/>
        <item x="1"/>
        <item x="3"/>
        <item x="2"/>
        <item t="default"/>
      </items>
    </pivotField>
    <pivotField numFmtId="14" showAll="0"/>
    <pivotField numFmtId="14" showAll="0"/>
    <pivotField axis="axisRow" showAll="0">
      <items count="11">
        <item x="8"/>
        <item x="3"/>
        <item x="2"/>
        <item x="4"/>
        <item x="5"/>
        <item x="9"/>
        <item x="7"/>
        <item x="6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2">
    <field x="2"/>
    <field x="6"/>
  </rowFields>
  <rowItems count="5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pageFields count="1">
    <pageField fld="3" hier="-1"/>
  </pageFields>
  <dataFields count="1">
    <dataField name="Average Bed Occupancy by Hospital &amp; Department" fld="17" subtotal="average" baseField="0" baseItem="0" numFmtId="17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613AB-7F5B-024E-A743-9761F723C8AE}" name="Monthly Trend: Encounters, Cost, Readmissions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16" firstHeaderRow="0" firstDataRow="1" firstDataCol="1"/>
  <pivotFields count="19"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13">
        <item x="8"/>
        <item x="9"/>
        <item x="11"/>
        <item x="7"/>
        <item x="10"/>
        <item x="1"/>
        <item x="5"/>
        <item x="4"/>
        <item x="6"/>
        <item x="3"/>
        <item x="0"/>
        <item x="2"/>
        <item t="default"/>
      </items>
    </pivotField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Encounter ID" fld="0" subtotal="count" baseField="0" baseItem="0"/>
    <dataField name="Treatment Cost" fld="14" baseField="0" baseItem="0" numFmtId="164"/>
    <dataField name="Average Readmissions" fld="15" subtotal="average" baseField="0" baseItem="0" numFmtId="171"/>
  </dataFields>
  <formats count="1">
    <format dxfId="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32588-4F16-C04C-B30B-BEEE58DF1FA8}">
  <dimension ref="A1:S1201"/>
  <sheetViews>
    <sheetView topLeftCell="E1" workbookViewId="0">
      <selection activeCell="O2" sqref="O2:O1201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2464</v>
      </c>
    </row>
    <row r="2" spans="1:19" x14ac:dyDescent="0.2">
      <c r="A2" t="s">
        <v>18</v>
      </c>
      <c r="B2" t="s">
        <v>19</v>
      </c>
      <c r="C2" t="s">
        <v>20</v>
      </c>
      <c r="D2" t="s">
        <v>21</v>
      </c>
      <c r="E2" s="1">
        <v>45978</v>
      </c>
      <c r="F2" s="1">
        <v>45981</v>
      </c>
      <c r="G2" t="s">
        <v>22</v>
      </c>
      <c r="H2" t="s">
        <v>23</v>
      </c>
      <c r="I2" t="s">
        <v>24</v>
      </c>
      <c r="J2">
        <v>39</v>
      </c>
      <c r="K2" t="s">
        <v>25</v>
      </c>
      <c r="L2" t="s">
        <v>26</v>
      </c>
      <c r="M2" t="s">
        <v>27</v>
      </c>
      <c r="N2">
        <v>2.8</v>
      </c>
      <c r="O2" s="3">
        <v>6763.12</v>
      </c>
      <c r="P2">
        <v>0</v>
      </c>
      <c r="Q2">
        <v>3.9</v>
      </c>
      <c r="R2">
        <v>0.8</v>
      </c>
      <c r="S2" t="str">
        <f>TEXT(E2, "mmmm")</f>
        <v>November</v>
      </c>
    </row>
    <row r="3" spans="1:19" x14ac:dyDescent="0.2">
      <c r="A3" t="s">
        <v>28</v>
      </c>
      <c r="B3" t="s">
        <v>29</v>
      </c>
      <c r="C3" t="s">
        <v>30</v>
      </c>
      <c r="D3" t="s">
        <v>21</v>
      </c>
      <c r="E3" s="1">
        <v>45832</v>
      </c>
      <c r="F3" s="1">
        <v>45834</v>
      </c>
      <c r="G3" t="s">
        <v>22</v>
      </c>
      <c r="H3" t="s">
        <v>23</v>
      </c>
      <c r="I3" t="s">
        <v>31</v>
      </c>
      <c r="J3">
        <v>45</v>
      </c>
      <c r="K3" t="s">
        <v>25</v>
      </c>
      <c r="L3" t="s">
        <v>32</v>
      </c>
      <c r="M3" t="s">
        <v>27</v>
      </c>
      <c r="N3">
        <v>1.4</v>
      </c>
      <c r="O3" s="3">
        <v>6763.12</v>
      </c>
      <c r="P3">
        <v>1</v>
      </c>
      <c r="Q3">
        <v>4</v>
      </c>
      <c r="R3">
        <v>0.89</v>
      </c>
      <c r="S3" t="str">
        <f t="shared" ref="S3:S66" si="0">TEXT(E3, "mmmm")</f>
        <v>June</v>
      </c>
    </row>
    <row r="4" spans="1:19" x14ac:dyDescent="0.2">
      <c r="A4" t="s">
        <v>33</v>
      </c>
      <c r="B4" t="s">
        <v>34</v>
      </c>
      <c r="C4" t="s">
        <v>20</v>
      </c>
      <c r="D4" t="s">
        <v>35</v>
      </c>
      <c r="E4" s="1">
        <v>46017</v>
      </c>
      <c r="F4" s="1">
        <v>46025</v>
      </c>
      <c r="G4" t="s">
        <v>36</v>
      </c>
      <c r="H4" t="s">
        <v>23</v>
      </c>
      <c r="I4" t="s">
        <v>37</v>
      </c>
      <c r="J4">
        <v>56</v>
      </c>
      <c r="K4" t="s">
        <v>38</v>
      </c>
      <c r="L4" t="s">
        <v>32</v>
      </c>
      <c r="M4" t="s">
        <v>39</v>
      </c>
      <c r="N4">
        <v>7.4</v>
      </c>
      <c r="O4" s="3">
        <v>6763.12</v>
      </c>
      <c r="P4">
        <v>0</v>
      </c>
      <c r="Q4">
        <v>4.8</v>
      </c>
      <c r="R4">
        <v>0.78</v>
      </c>
      <c r="S4" t="str">
        <f t="shared" si="0"/>
        <v>December</v>
      </c>
    </row>
    <row r="5" spans="1:19" x14ac:dyDescent="0.2">
      <c r="A5" t="s">
        <v>40</v>
      </c>
      <c r="B5" t="s">
        <v>41</v>
      </c>
      <c r="C5" t="s">
        <v>30</v>
      </c>
      <c r="D5" t="s">
        <v>42</v>
      </c>
      <c r="E5" s="1">
        <v>45935</v>
      </c>
      <c r="F5" s="1">
        <v>45938</v>
      </c>
      <c r="G5" t="s">
        <v>43</v>
      </c>
      <c r="H5" t="s">
        <v>44</v>
      </c>
      <c r="I5" t="s">
        <v>45</v>
      </c>
      <c r="J5">
        <v>15</v>
      </c>
      <c r="K5" t="s">
        <v>46</v>
      </c>
      <c r="L5" t="s">
        <v>32</v>
      </c>
      <c r="M5" t="s">
        <v>27</v>
      </c>
      <c r="N5">
        <v>2.5</v>
      </c>
      <c r="O5" s="3">
        <v>6763.12</v>
      </c>
      <c r="P5">
        <v>0</v>
      </c>
      <c r="Q5">
        <v>4</v>
      </c>
      <c r="R5">
        <v>0.84</v>
      </c>
      <c r="S5" t="str">
        <f t="shared" si="0"/>
        <v>October</v>
      </c>
    </row>
    <row r="6" spans="1:19" x14ac:dyDescent="0.2">
      <c r="A6" t="s">
        <v>47</v>
      </c>
      <c r="B6" t="s">
        <v>48</v>
      </c>
      <c r="C6" t="s">
        <v>30</v>
      </c>
      <c r="D6" t="s">
        <v>49</v>
      </c>
      <c r="E6" s="1">
        <v>45895</v>
      </c>
      <c r="F6" s="1">
        <v>45896</v>
      </c>
      <c r="G6" t="s">
        <v>50</v>
      </c>
      <c r="H6" t="s">
        <v>23</v>
      </c>
      <c r="I6" t="s">
        <v>51</v>
      </c>
      <c r="J6">
        <v>61</v>
      </c>
      <c r="K6" t="s">
        <v>38</v>
      </c>
      <c r="L6" t="s">
        <v>32</v>
      </c>
      <c r="M6" t="s">
        <v>52</v>
      </c>
      <c r="N6">
        <v>0.8</v>
      </c>
      <c r="O6" s="3">
        <v>6763.12</v>
      </c>
      <c r="P6">
        <v>0</v>
      </c>
      <c r="Q6">
        <v>3.4</v>
      </c>
      <c r="R6">
        <v>0.86</v>
      </c>
      <c r="S6" t="str">
        <f t="shared" si="0"/>
        <v>August</v>
      </c>
    </row>
    <row r="7" spans="1:19" x14ac:dyDescent="0.2">
      <c r="A7" t="s">
        <v>53</v>
      </c>
      <c r="B7" t="s">
        <v>54</v>
      </c>
      <c r="C7" t="s">
        <v>20</v>
      </c>
      <c r="D7" t="s">
        <v>21</v>
      </c>
      <c r="E7" s="1">
        <v>45987</v>
      </c>
      <c r="F7" s="1">
        <v>45988</v>
      </c>
      <c r="G7" t="s">
        <v>50</v>
      </c>
      <c r="H7" t="s">
        <v>50</v>
      </c>
      <c r="I7" t="s">
        <v>55</v>
      </c>
      <c r="J7">
        <v>53</v>
      </c>
      <c r="K7" t="s">
        <v>38</v>
      </c>
      <c r="L7" t="s">
        <v>26</v>
      </c>
      <c r="M7" t="s">
        <v>27</v>
      </c>
      <c r="N7">
        <v>0.9</v>
      </c>
      <c r="O7" s="3">
        <v>6763.12</v>
      </c>
      <c r="P7">
        <v>0</v>
      </c>
      <c r="Q7">
        <v>2.6</v>
      </c>
      <c r="R7">
        <v>0.85</v>
      </c>
      <c r="S7" t="str">
        <f t="shared" si="0"/>
        <v>November</v>
      </c>
    </row>
    <row r="8" spans="1:19" x14ac:dyDescent="0.2">
      <c r="A8" t="s">
        <v>56</v>
      </c>
      <c r="B8" t="s">
        <v>57</v>
      </c>
      <c r="C8" t="s">
        <v>58</v>
      </c>
      <c r="D8" t="s">
        <v>49</v>
      </c>
      <c r="E8" s="1">
        <v>45846</v>
      </c>
      <c r="F8" s="1">
        <v>45852</v>
      </c>
      <c r="G8" t="s">
        <v>59</v>
      </c>
      <c r="H8" t="s">
        <v>23</v>
      </c>
      <c r="I8" t="s">
        <v>24</v>
      </c>
      <c r="J8">
        <v>47</v>
      </c>
      <c r="K8" t="s">
        <v>25</v>
      </c>
      <c r="L8" t="s">
        <v>32</v>
      </c>
      <c r="M8" t="s">
        <v>27</v>
      </c>
      <c r="N8">
        <v>5.3</v>
      </c>
      <c r="O8" s="3">
        <v>6763.12</v>
      </c>
      <c r="P8">
        <v>1</v>
      </c>
      <c r="Q8">
        <v>2.9</v>
      </c>
      <c r="R8">
        <v>0.8</v>
      </c>
      <c r="S8" t="str">
        <f t="shared" si="0"/>
        <v>July</v>
      </c>
    </row>
    <row r="9" spans="1:19" x14ac:dyDescent="0.2">
      <c r="A9" t="s">
        <v>60</v>
      </c>
      <c r="B9" t="s">
        <v>61</v>
      </c>
      <c r="C9" t="s">
        <v>62</v>
      </c>
      <c r="D9" t="s">
        <v>35</v>
      </c>
      <c r="E9" s="1">
        <v>45921</v>
      </c>
      <c r="F9" s="1">
        <v>45923</v>
      </c>
      <c r="G9" t="s">
        <v>63</v>
      </c>
      <c r="H9" t="s">
        <v>50</v>
      </c>
      <c r="I9" t="s">
        <v>64</v>
      </c>
      <c r="J9">
        <v>75</v>
      </c>
      <c r="K9" t="s">
        <v>65</v>
      </c>
      <c r="L9" t="s">
        <v>26</v>
      </c>
      <c r="M9" t="s">
        <v>27</v>
      </c>
      <c r="N9">
        <v>1.1000000000000001</v>
      </c>
      <c r="O9" s="3">
        <v>6763.12</v>
      </c>
      <c r="P9">
        <v>0</v>
      </c>
      <c r="Q9">
        <v>3.6</v>
      </c>
      <c r="R9">
        <v>0.83</v>
      </c>
      <c r="S9" t="str">
        <f t="shared" si="0"/>
        <v>September</v>
      </c>
    </row>
    <row r="10" spans="1:19" x14ac:dyDescent="0.2">
      <c r="A10" t="s">
        <v>66</v>
      </c>
      <c r="B10" t="s">
        <v>67</v>
      </c>
      <c r="C10" t="s">
        <v>62</v>
      </c>
      <c r="D10" t="s">
        <v>35</v>
      </c>
      <c r="E10" s="1">
        <v>45761</v>
      </c>
      <c r="F10" s="1">
        <v>45763</v>
      </c>
      <c r="G10" t="s">
        <v>68</v>
      </c>
      <c r="H10" t="s">
        <v>50</v>
      </c>
      <c r="I10" t="s">
        <v>24</v>
      </c>
      <c r="J10">
        <v>62</v>
      </c>
      <c r="K10" t="s">
        <v>38</v>
      </c>
      <c r="L10" t="s">
        <v>26</v>
      </c>
      <c r="M10" t="s">
        <v>27</v>
      </c>
      <c r="N10">
        <v>1.1000000000000001</v>
      </c>
      <c r="O10" s="3">
        <v>6763.12</v>
      </c>
      <c r="P10">
        <v>0</v>
      </c>
      <c r="Q10">
        <v>3.8</v>
      </c>
      <c r="R10">
        <v>0.84</v>
      </c>
      <c r="S10" t="str">
        <f t="shared" si="0"/>
        <v>April</v>
      </c>
    </row>
    <row r="11" spans="1:19" x14ac:dyDescent="0.2">
      <c r="A11" t="s">
        <v>69</v>
      </c>
      <c r="B11" t="s">
        <v>70</v>
      </c>
      <c r="C11" t="s">
        <v>62</v>
      </c>
      <c r="D11" t="s">
        <v>49</v>
      </c>
      <c r="E11" s="1">
        <v>46009</v>
      </c>
      <c r="F11" s="1">
        <v>46018</v>
      </c>
      <c r="G11" t="s">
        <v>71</v>
      </c>
      <c r="H11" t="s">
        <v>44</v>
      </c>
      <c r="I11" t="s">
        <v>64</v>
      </c>
      <c r="J11">
        <v>84</v>
      </c>
      <c r="K11" t="s">
        <v>65</v>
      </c>
      <c r="L11" t="s">
        <v>32</v>
      </c>
      <c r="M11" t="s">
        <v>27</v>
      </c>
      <c r="N11">
        <v>8.4</v>
      </c>
      <c r="O11" s="3">
        <v>6763.12</v>
      </c>
      <c r="P11">
        <v>0</v>
      </c>
      <c r="Q11">
        <v>3.4</v>
      </c>
      <c r="R11">
        <v>0.74</v>
      </c>
      <c r="S11" t="str">
        <f t="shared" si="0"/>
        <v>December</v>
      </c>
    </row>
    <row r="12" spans="1:19" x14ac:dyDescent="0.2">
      <c r="A12" t="s">
        <v>72</v>
      </c>
      <c r="B12" t="s">
        <v>73</v>
      </c>
      <c r="C12" t="s">
        <v>58</v>
      </c>
      <c r="D12" t="s">
        <v>21</v>
      </c>
      <c r="E12" s="1">
        <v>45885</v>
      </c>
      <c r="F12" s="1">
        <v>45890</v>
      </c>
      <c r="G12" t="s">
        <v>43</v>
      </c>
      <c r="H12" t="s">
        <v>23</v>
      </c>
      <c r="I12" t="s">
        <v>45</v>
      </c>
      <c r="J12">
        <v>88</v>
      </c>
      <c r="K12" t="s">
        <v>65</v>
      </c>
      <c r="L12" t="s">
        <v>32</v>
      </c>
      <c r="M12" t="s">
        <v>39</v>
      </c>
      <c r="N12">
        <v>4.7</v>
      </c>
      <c r="O12" s="3">
        <v>6763.12</v>
      </c>
      <c r="P12">
        <v>0</v>
      </c>
      <c r="Q12">
        <v>4.0999999999999996</v>
      </c>
      <c r="R12">
        <v>0.74</v>
      </c>
      <c r="S12" t="str">
        <f t="shared" si="0"/>
        <v>August</v>
      </c>
    </row>
    <row r="13" spans="1:19" x14ac:dyDescent="0.2">
      <c r="A13" t="s">
        <v>74</v>
      </c>
      <c r="B13" t="s">
        <v>75</v>
      </c>
      <c r="C13" t="s">
        <v>58</v>
      </c>
      <c r="D13" t="s">
        <v>42</v>
      </c>
      <c r="E13" s="1">
        <v>45943</v>
      </c>
      <c r="F13" s="1">
        <v>45949</v>
      </c>
      <c r="G13" t="s">
        <v>36</v>
      </c>
      <c r="H13" t="s">
        <v>44</v>
      </c>
      <c r="I13" t="s">
        <v>55</v>
      </c>
      <c r="J13">
        <v>75</v>
      </c>
      <c r="K13" t="s">
        <v>65</v>
      </c>
      <c r="L13" t="s">
        <v>26</v>
      </c>
      <c r="M13" t="s">
        <v>27</v>
      </c>
      <c r="N13">
        <v>5.6</v>
      </c>
      <c r="O13" s="3">
        <v>6763.12</v>
      </c>
      <c r="P13">
        <v>0</v>
      </c>
      <c r="Q13">
        <v>3.6</v>
      </c>
      <c r="R13">
        <v>0.79</v>
      </c>
      <c r="S13" t="str">
        <f t="shared" si="0"/>
        <v>October</v>
      </c>
    </row>
    <row r="14" spans="1:19" x14ac:dyDescent="0.2">
      <c r="A14" t="s">
        <v>76</v>
      </c>
      <c r="B14" t="s">
        <v>77</v>
      </c>
      <c r="C14" t="s">
        <v>30</v>
      </c>
      <c r="D14" t="s">
        <v>49</v>
      </c>
      <c r="E14" s="1">
        <v>45826</v>
      </c>
      <c r="F14" s="1">
        <v>45829</v>
      </c>
      <c r="G14" t="s">
        <v>22</v>
      </c>
      <c r="H14" t="s">
        <v>50</v>
      </c>
      <c r="I14" t="s">
        <v>45</v>
      </c>
      <c r="J14">
        <v>27</v>
      </c>
      <c r="K14" t="s">
        <v>78</v>
      </c>
      <c r="L14" t="s">
        <v>26</v>
      </c>
      <c r="M14" t="s">
        <v>39</v>
      </c>
      <c r="N14">
        <v>2.9</v>
      </c>
      <c r="O14" s="3">
        <v>6763.12</v>
      </c>
      <c r="P14">
        <v>1</v>
      </c>
      <c r="Q14">
        <v>3.4</v>
      </c>
      <c r="R14">
        <v>0.86</v>
      </c>
      <c r="S14" t="str">
        <f t="shared" si="0"/>
        <v>June</v>
      </c>
    </row>
    <row r="15" spans="1:19" x14ac:dyDescent="0.2">
      <c r="A15" t="s">
        <v>79</v>
      </c>
      <c r="B15" t="s">
        <v>80</v>
      </c>
      <c r="C15" t="s">
        <v>58</v>
      </c>
      <c r="D15" t="s">
        <v>49</v>
      </c>
      <c r="E15" s="1">
        <v>45974</v>
      </c>
      <c r="F15" s="1">
        <v>45977</v>
      </c>
      <c r="G15" t="s">
        <v>71</v>
      </c>
      <c r="H15" t="s">
        <v>50</v>
      </c>
      <c r="I15" t="s">
        <v>81</v>
      </c>
      <c r="J15">
        <v>17</v>
      </c>
      <c r="K15" t="s">
        <v>46</v>
      </c>
      <c r="L15" t="s">
        <v>32</v>
      </c>
      <c r="M15" t="s">
        <v>82</v>
      </c>
      <c r="N15">
        <v>2.9</v>
      </c>
      <c r="O15" s="3">
        <v>6763.12</v>
      </c>
      <c r="P15">
        <v>0</v>
      </c>
      <c r="Q15">
        <v>4.3</v>
      </c>
      <c r="R15">
        <v>0.75</v>
      </c>
      <c r="S15" t="str">
        <f t="shared" si="0"/>
        <v>November</v>
      </c>
    </row>
    <row r="16" spans="1:19" x14ac:dyDescent="0.2">
      <c r="A16" t="s">
        <v>83</v>
      </c>
      <c r="B16" t="s">
        <v>84</v>
      </c>
      <c r="C16" t="s">
        <v>30</v>
      </c>
      <c r="D16" t="s">
        <v>42</v>
      </c>
      <c r="E16" s="1">
        <v>45685</v>
      </c>
      <c r="F16" s="1">
        <v>45687</v>
      </c>
      <c r="G16" t="s">
        <v>68</v>
      </c>
      <c r="H16" t="s">
        <v>50</v>
      </c>
      <c r="I16" t="s">
        <v>24</v>
      </c>
      <c r="J16">
        <v>27</v>
      </c>
      <c r="K16" t="s">
        <v>78</v>
      </c>
      <c r="L16" t="s">
        <v>26</v>
      </c>
      <c r="M16" t="s">
        <v>39</v>
      </c>
      <c r="N16">
        <v>1.6</v>
      </c>
      <c r="O16" s="3">
        <v>6763.12</v>
      </c>
      <c r="P16">
        <v>0</v>
      </c>
      <c r="Q16">
        <v>4.7</v>
      </c>
      <c r="R16">
        <v>0.89</v>
      </c>
      <c r="S16" t="str">
        <f t="shared" si="0"/>
        <v>January</v>
      </c>
    </row>
    <row r="17" spans="1:19" x14ac:dyDescent="0.2">
      <c r="A17" t="s">
        <v>85</v>
      </c>
      <c r="B17" t="s">
        <v>86</v>
      </c>
      <c r="C17" t="s">
        <v>30</v>
      </c>
      <c r="D17" t="s">
        <v>35</v>
      </c>
      <c r="E17" s="1">
        <v>45699</v>
      </c>
      <c r="F17" s="1">
        <v>45701</v>
      </c>
      <c r="G17" t="s">
        <v>22</v>
      </c>
      <c r="H17" t="s">
        <v>50</v>
      </c>
      <c r="I17" t="s">
        <v>37</v>
      </c>
      <c r="J17">
        <v>64</v>
      </c>
      <c r="K17" t="s">
        <v>38</v>
      </c>
      <c r="L17" t="s">
        <v>26</v>
      </c>
      <c r="M17" t="s">
        <v>39</v>
      </c>
      <c r="N17">
        <v>2</v>
      </c>
      <c r="O17" s="3">
        <v>6763.12</v>
      </c>
      <c r="P17">
        <v>0</v>
      </c>
      <c r="Q17">
        <v>3.2</v>
      </c>
      <c r="R17">
        <v>0.8</v>
      </c>
      <c r="S17" t="str">
        <f t="shared" si="0"/>
        <v>February</v>
      </c>
    </row>
    <row r="18" spans="1:19" x14ac:dyDescent="0.2">
      <c r="A18" t="s">
        <v>87</v>
      </c>
      <c r="B18" t="s">
        <v>88</v>
      </c>
      <c r="C18" t="s">
        <v>30</v>
      </c>
      <c r="D18" t="s">
        <v>49</v>
      </c>
      <c r="E18" s="1">
        <v>45843</v>
      </c>
      <c r="F18" s="1">
        <v>45849</v>
      </c>
      <c r="G18" t="s">
        <v>68</v>
      </c>
      <c r="H18" t="s">
        <v>50</v>
      </c>
      <c r="I18" t="s">
        <v>31</v>
      </c>
      <c r="J18">
        <v>78</v>
      </c>
      <c r="K18" t="s">
        <v>65</v>
      </c>
      <c r="L18" t="s">
        <v>26</v>
      </c>
      <c r="M18" t="s">
        <v>27</v>
      </c>
      <c r="N18">
        <v>5.8</v>
      </c>
      <c r="O18" s="3">
        <v>6763.12</v>
      </c>
      <c r="P18">
        <v>0</v>
      </c>
      <c r="Q18">
        <v>4</v>
      </c>
      <c r="R18">
        <v>0.79</v>
      </c>
      <c r="S18" t="str">
        <f t="shared" si="0"/>
        <v>July</v>
      </c>
    </row>
    <row r="19" spans="1:19" x14ac:dyDescent="0.2">
      <c r="A19" t="s">
        <v>89</v>
      </c>
      <c r="B19" t="s">
        <v>90</v>
      </c>
      <c r="C19" t="s">
        <v>62</v>
      </c>
      <c r="D19" t="s">
        <v>49</v>
      </c>
      <c r="E19" s="1">
        <v>45925</v>
      </c>
      <c r="F19" s="1">
        <v>45928</v>
      </c>
      <c r="G19" t="s">
        <v>22</v>
      </c>
      <c r="H19" t="s">
        <v>50</v>
      </c>
      <c r="I19" t="s">
        <v>45</v>
      </c>
      <c r="J19">
        <v>80</v>
      </c>
      <c r="K19" t="s">
        <v>65</v>
      </c>
      <c r="L19" t="s">
        <v>32</v>
      </c>
      <c r="M19" t="s">
        <v>27</v>
      </c>
      <c r="N19">
        <v>2.4</v>
      </c>
      <c r="O19" s="3">
        <v>6763.12</v>
      </c>
      <c r="P19">
        <v>0</v>
      </c>
      <c r="Q19">
        <v>2.8</v>
      </c>
      <c r="R19">
        <v>0.82</v>
      </c>
      <c r="S19" t="str">
        <f t="shared" si="0"/>
        <v>September</v>
      </c>
    </row>
    <row r="20" spans="1:19" x14ac:dyDescent="0.2">
      <c r="A20" t="s">
        <v>91</v>
      </c>
      <c r="B20" t="s">
        <v>92</v>
      </c>
      <c r="C20" t="s">
        <v>58</v>
      </c>
      <c r="D20" t="s">
        <v>35</v>
      </c>
      <c r="E20" s="1">
        <v>45953</v>
      </c>
      <c r="F20" s="1">
        <v>45955</v>
      </c>
      <c r="G20" t="s">
        <v>43</v>
      </c>
      <c r="H20" t="s">
        <v>50</v>
      </c>
      <c r="I20" t="s">
        <v>64</v>
      </c>
      <c r="J20">
        <v>62</v>
      </c>
      <c r="K20" t="s">
        <v>38</v>
      </c>
      <c r="L20" t="s">
        <v>26</v>
      </c>
      <c r="M20" t="s">
        <v>27</v>
      </c>
      <c r="N20">
        <v>1.2</v>
      </c>
      <c r="O20" s="3">
        <v>6763.12</v>
      </c>
      <c r="P20">
        <v>0</v>
      </c>
      <c r="Q20">
        <v>3</v>
      </c>
      <c r="R20">
        <v>0.71</v>
      </c>
      <c r="S20" t="str">
        <f t="shared" si="0"/>
        <v>October</v>
      </c>
    </row>
    <row r="21" spans="1:19" x14ac:dyDescent="0.2">
      <c r="A21" t="s">
        <v>93</v>
      </c>
      <c r="B21" t="s">
        <v>94</v>
      </c>
      <c r="C21" t="s">
        <v>62</v>
      </c>
      <c r="D21" t="s">
        <v>35</v>
      </c>
      <c r="E21" s="1">
        <v>45818</v>
      </c>
      <c r="F21" s="1">
        <v>45819</v>
      </c>
      <c r="G21" t="s">
        <v>50</v>
      </c>
      <c r="H21" t="s">
        <v>44</v>
      </c>
      <c r="I21" t="s">
        <v>64</v>
      </c>
      <c r="J21">
        <v>61</v>
      </c>
      <c r="K21" t="s">
        <v>38</v>
      </c>
      <c r="L21" t="s">
        <v>26</v>
      </c>
      <c r="M21" t="s">
        <v>52</v>
      </c>
      <c r="N21">
        <v>0.2</v>
      </c>
      <c r="O21" s="3">
        <v>6763.12</v>
      </c>
      <c r="P21">
        <v>0</v>
      </c>
      <c r="Q21">
        <v>3.3</v>
      </c>
      <c r="R21">
        <v>0.86</v>
      </c>
      <c r="S21" t="str">
        <f t="shared" si="0"/>
        <v>June</v>
      </c>
    </row>
    <row r="22" spans="1:19" x14ac:dyDescent="0.2">
      <c r="A22" t="s">
        <v>95</v>
      </c>
      <c r="B22" t="s">
        <v>96</v>
      </c>
      <c r="C22" t="s">
        <v>62</v>
      </c>
      <c r="D22" t="s">
        <v>35</v>
      </c>
      <c r="E22" s="1">
        <v>45895</v>
      </c>
      <c r="F22" s="1">
        <v>45897</v>
      </c>
      <c r="G22" t="s">
        <v>50</v>
      </c>
      <c r="H22" t="s">
        <v>50</v>
      </c>
      <c r="I22" t="s">
        <v>55</v>
      </c>
      <c r="J22">
        <v>86</v>
      </c>
      <c r="K22" t="s">
        <v>65</v>
      </c>
      <c r="L22" t="s">
        <v>32</v>
      </c>
      <c r="M22" t="s">
        <v>39</v>
      </c>
      <c r="N22">
        <v>1.9</v>
      </c>
      <c r="O22" s="3">
        <v>6763.12</v>
      </c>
      <c r="P22">
        <v>1</v>
      </c>
      <c r="Q22">
        <v>4.4000000000000004</v>
      </c>
      <c r="R22">
        <v>0.85</v>
      </c>
      <c r="S22" t="str">
        <f t="shared" si="0"/>
        <v>August</v>
      </c>
    </row>
    <row r="23" spans="1:19" x14ac:dyDescent="0.2">
      <c r="A23" t="s">
        <v>97</v>
      </c>
      <c r="B23" t="s">
        <v>98</v>
      </c>
      <c r="C23" t="s">
        <v>62</v>
      </c>
      <c r="D23" t="s">
        <v>35</v>
      </c>
      <c r="E23" s="1">
        <v>45859</v>
      </c>
      <c r="F23" s="1">
        <v>45868</v>
      </c>
      <c r="G23" t="s">
        <v>99</v>
      </c>
      <c r="H23" t="s">
        <v>50</v>
      </c>
      <c r="I23" t="s">
        <v>100</v>
      </c>
      <c r="J23">
        <v>62</v>
      </c>
      <c r="K23" t="s">
        <v>38</v>
      </c>
      <c r="L23" t="s">
        <v>26</v>
      </c>
      <c r="M23" t="s">
        <v>27</v>
      </c>
      <c r="N23">
        <v>8.6999999999999993</v>
      </c>
      <c r="O23" s="3">
        <v>6763.12</v>
      </c>
      <c r="P23">
        <v>0</v>
      </c>
      <c r="Q23">
        <v>3.2</v>
      </c>
      <c r="R23">
        <v>0.86</v>
      </c>
      <c r="S23" t="str">
        <f t="shared" si="0"/>
        <v>July</v>
      </c>
    </row>
    <row r="24" spans="1:19" x14ac:dyDescent="0.2">
      <c r="A24" t="s">
        <v>101</v>
      </c>
      <c r="B24" t="s">
        <v>102</v>
      </c>
      <c r="C24" t="s">
        <v>30</v>
      </c>
      <c r="D24" t="s">
        <v>49</v>
      </c>
      <c r="E24" s="1">
        <v>46008</v>
      </c>
      <c r="F24" s="1">
        <v>46009</v>
      </c>
      <c r="G24" t="s">
        <v>36</v>
      </c>
      <c r="H24" t="s">
        <v>23</v>
      </c>
      <c r="I24" t="s">
        <v>55</v>
      </c>
      <c r="J24">
        <v>12</v>
      </c>
      <c r="K24" t="s">
        <v>103</v>
      </c>
      <c r="L24" t="s">
        <v>26</v>
      </c>
      <c r="M24" t="s">
        <v>39</v>
      </c>
      <c r="N24">
        <v>0.6</v>
      </c>
      <c r="O24" s="3">
        <v>6763.12</v>
      </c>
      <c r="P24">
        <v>0</v>
      </c>
      <c r="Q24">
        <v>3.4</v>
      </c>
      <c r="R24">
        <v>0.8</v>
      </c>
      <c r="S24" t="str">
        <f t="shared" si="0"/>
        <v>December</v>
      </c>
    </row>
    <row r="25" spans="1:19" x14ac:dyDescent="0.2">
      <c r="A25" t="s">
        <v>104</v>
      </c>
      <c r="B25" t="s">
        <v>105</v>
      </c>
      <c r="C25" t="s">
        <v>62</v>
      </c>
      <c r="D25" t="s">
        <v>35</v>
      </c>
      <c r="E25" s="1">
        <v>45896</v>
      </c>
      <c r="F25" s="1">
        <v>45907</v>
      </c>
      <c r="G25" t="s">
        <v>59</v>
      </c>
      <c r="H25" t="s">
        <v>50</v>
      </c>
      <c r="I25" t="s">
        <v>55</v>
      </c>
      <c r="J25">
        <v>45</v>
      </c>
      <c r="K25" t="s">
        <v>25</v>
      </c>
      <c r="L25" t="s">
        <v>32</v>
      </c>
      <c r="M25" t="s">
        <v>82</v>
      </c>
      <c r="N25">
        <v>10.9</v>
      </c>
      <c r="O25" s="3">
        <v>6763.12</v>
      </c>
      <c r="P25">
        <v>0</v>
      </c>
      <c r="Q25">
        <v>3.6</v>
      </c>
      <c r="R25">
        <v>0.84</v>
      </c>
      <c r="S25" t="str">
        <f t="shared" si="0"/>
        <v>August</v>
      </c>
    </row>
    <row r="26" spans="1:19" x14ac:dyDescent="0.2">
      <c r="A26" t="s">
        <v>106</v>
      </c>
      <c r="B26" t="s">
        <v>107</v>
      </c>
      <c r="C26" t="s">
        <v>62</v>
      </c>
      <c r="D26" t="s">
        <v>49</v>
      </c>
      <c r="E26" s="1">
        <v>45810</v>
      </c>
      <c r="F26" s="1">
        <v>45815</v>
      </c>
      <c r="G26" t="s">
        <v>99</v>
      </c>
      <c r="H26" t="s">
        <v>44</v>
      </c>
      <c r="I26" t="s">
        <v>24</v>
      </c>
      <c r="J26">
        <v>32</v>
      </c>
      <c r="K26" t="s">
        <v>78</v>
      </c>
      <c r="L26" t="s">
        <v>26</v>
      </c>
      <c r="M26" t="s">
        <v>39</v>
      </c>
      <c r="N26">
        <v>4.3</v>
      </c>
      <c r="O26" s="3">
        <v>6763.12</v>
      </c>
      <c r="P26">
        <v>0</v>
      </c>
      <c r="Q26">
        <v>3.9</v>
      </c>
      <c r="R26">
        <v>0.75</v>
      </c>
      <c r="S26" t="str">
        <f t="shared" si="0"/>
        <v>June</v>
      </c>
    </row>
    <row r="27" spans="1:19" x14ac:dyDescent="0.2">
      <c r="A27" t="s">
        <v>108</v>
      </c>
      <c r="B27" t="s">
        <v>109</v>
      </c>
      <c r="C27" t="s">
        <v>62</v>
      </c>
      <c r="D27" t="s">
        <v>35</v>
      </c>
      <c r="E27" s="1">
        <v>46011</v>
      </c>
      <c r="F27" s="1">
        <v>46013</v>
      </c>
      <c r="G27" t="s">
        <v>36</v>
      </c>
      <c r="H27" t="s">
        <v>23</v>
      </c>
      <c r="I27" t="s">
        <v>24</v>
      </c>
      <c r="J27">
        <v>57</v>
      </c>
      <c r="K27" t="s">
        <v>38</v>
      </c>
      <c r="L27" t="s">
        <v>32</v>
      </c>
      <c r="M27" t="s">
        <v>39</v>
      </c>
      <c r="N27">
        <v>1.6</v>
      </c>
      <c r="O27" s="3">
        <v>6763.12</v>
      </c>
      <c r="P27">
        <v>0</v>
      </c>
      <c r="Q27">
        <v>3.4</v>
      </c>
      <c r="R27">
        <v>0.86</v>
      </c>
      <c r="S27" t="str">
        <f t="shared" si="0"/>
        <v>December</v>
      </c>
    </row>
    <row r="28" spans="1:19" x14ac:dyDescent="0.2">
      <c r="A28" t="s">
        <v>110</v>
      </c>
      <c r="B28" t="s">
        <v>111</v>
      </c>
      <c r="C28" t="s">
        <v>30</v>
      </c>
      <c r="D28" t="s">
        <v>35</v>
      </c>
      <c r="E28" s="1">
        <v>45697</v>
      </c>
      <c r="F28" s="1">
        <v>45702</v>
      </c>
      <c r="G28" t="s">
        <v>63</v>
      </c>
      <c r="H28" t="s">
        <v>50</v>
      </c>
      <c r="I28" t="s">
        <v>31</v>
      </c>
      <c r="J28">
        <v>57</v>
      </c>
      <c r="K28" t="s">
        <v>38</v>
      </c>
      <c r="L28" t="s">
        <v>26</v>
      </c>
      <c r="M28" t="s">
        <v>82</v>
      </c>
      <c r="N28">
        <v>4.3</v>
      </c>
      <c r="O28" s="3">
        <v>6763.12</v>
      </c>
      <c r="P28">
        <v>0</v>
      </c>
      <c r="Q28">
        <v>5</v>
      </c>
      <c r="R28">
        <v>0.82</v>
      </c>
      <c r="S28" t="str">
        <f t="shared" si="0"/>
        <v>February</v>
      </c>
    </row>
    <row r="29" spans="1:19" x14ac:dyDescent="0.2">
      <c r="A29" t="s">
        <v>112</v>
      </c>
      <c r="B29" t="s">
        <v>113</v>
      </c>
      <c r="C29" t="s">
        <v>30</v>
      </c>
      <c r="D29" t="s">
        <v>21</v>
      </c>
      <c r="E29" s="1">
        <v>46017</v>
      </c>
      <c r="F29" s="1">
        <v>46019</v>
      </c>
      <c r="G29" t="s">
        <v>63</v>
      </c>
      <c r="H29" t="s">
        <v>23</v>
      </c>
      <c r="I29" t="s">
        <v>24</v>
      </c>
      <c r="J29">
        <v>26</v>
      </c>
      <c r="K29" t="s">
        <v>78</v>
      </c>
      <c r="L29" t="s">
        <v>26</v>
      </c>
      <c r="M29" t="s">
        <v>39</v>
      </c>
      <c r="N29">
        <v>1.2</v>
      </c>
      <c r="O29" s="3">
        <v>6763.12</v>
      </c>
      <c r="P29">
        <v>0</v>
      </c>
      <c r="Q29">
        <v>3.7</v>
      </c>
      <c r="R29">
        <v>0.78</v>
      </c>
      <c r="S29" t="str">
        <f t="shared" si="0"/>
        <v>December</v>
      </c>
    </row>
    <row r="30" spans="1:19" x14ac:dyDescent="0.2">
      <c r="A30" t="s">
        <v>114</v>
      </c>
      <c r="B30" t="s">
        <v>115</v>
      </c>
      <c r="C30" t="s">
        <v>62</v>
      </c>
      <c r="D30" t="s">
        <v>35</v>
      </c>
      <c r="E30" s="1">
        <v>45714</v>
      </c>
      <c r="F30" s="1">
        <v>45716</v>
      </c>
      <c r="G30" t="s">
        <v>116</v>
      </c>
      <c r="H30" t="s">
        <v>23</v>
      </c>
      <c r="I30" t="s">
        <v>117</v>
      </c>
      <c r="J30">
        <v>27</v>
      </c>
      <c r="K30" t="s">
        <v>78</v>
      </c>
      <c r="L30" t="s">
        <v>32</v>
      </c>
      <c r="M30" t="s">
        <v>39</v>
      </c>
      <c r="N30">
        <v>1.7</v>
      </c>
      <c r="O30" s="3">
        <v>6763.12</v>
      </c>
      <c r="P30">
        <v>0</v>
      </c>
      <c r="Q30">
        <v>4</v>
      </c>
      <c r="R30">
        <v>0.84</v>
      </c>
      <c r="S30" t="str">
        <f t="shared" si="0"/>
        <v>February</v>
      </c>
    </row>
    <row r="31" spans="1:19" x14ac:dyDescent="0.2">
      <c r="A31" t="s">
        <v>118</v>
      </c>
      <c r="B31" t="s">
        <v>119</v>
      </c>
      <c r="C31" t="s">
        <v>30</v>
      </c>
      <c r="D31" t="s">
        <v>42</v>
      </c>
      <c r="E31" s="1">
        <v>45763</v>
      </c>
      <c r="F31" s="1">
        <v>45764</v>
      </c>
      <c r="G31" t="s">
        <v>50</v>
      </c>
      <c r="H31" t="s">
        <v>23</v>
      </c>
      <c r="I31" t="s">
        <v>81</v>
      </c>
      <c r="J31">
        <v>8</v>
      </c>
      <c r="K31" t="s">
        <v>103</v>
      </c>
      <c r="L31" t="s">
        <v>32</v>
      </c>
      <c r="M31" t="s">
        <v>27</v>
      </c>
      <c r="N31">
        <v>0.9</v>
      </c>
      <c r="O31" s="3">
        <v>6763.12</v>
      </c>
      <c r="P31">
        <v>0</v>
      </c>
      <c r="Q31">
        <v>3.5</v>
      </c>
      <c r="R31">
        <v>0.81</v>
      </c>
      <c r="S31" t="str">
        <f t="shared" si="0"/>
        <v>April</v>
      </c>
    </row>
    <row r="32" spans="1:19" x14ac:dyDescent="0.2">
      <c r="A32" t="s">
        <v>120</v>
      </c>
      <c r="B32" t="s">
        <v>121</v>
      </c>
      <c r="C32" t="s">
        <v>122</v>
      </c>
      <c r="D32" t="s">
        <v>21</v>
      </c>
      <c r="E32" s="1">
        <v>45957</v>
      </c>
      <c r="F32" s="1">
        <v>45964</v>
      </c>
      <c r="G32" t="s">
        <v>99</v>
      </c>
      <c r="H32" t="s">
        <v>23</v>
      </c>
      <c r="I32" t="s">
        <v>64</v>
      </c>
      <c r="J32">
        <v>26</v>
      </c>
      <c r="K32" t="s">
        <v>78</v>
      </c>
      <c r="L32" t="s">
        <v>32</v>
      </c>
      <c r="M32" t="s">
        <v>27</v>
      </c>
      <c r="N32">
        <v>7</v>
      </c>
      <c r="O32" s="3">
        <v>6763.12</v>
      </c>
      <c r="P32">
        <v>1</v>
      </c>
      <c r="Q32">
        <v>4.2</v>
      </c>
      <c r="R32">
        <v>0.85</v>
      </c>
      <c r="S32" t="str">
        <f t="shared" si="0"/>
        <v>October</v>
      </c>
    </row>
    <row r="33" spans="1:19" x14ac:dyDescent="0.2">
      <c r="A33" t="s">
        <v>123</v>
      </c>
      <c r="B33" t="s">
        <v>124</v>
      </c>
      <c r="C33" t="s">
        <v>20</v>
      </c>
      <c r="D33" t="s">
        <v>35</v>
      </c>
      <c r="E33" s="1">
        <v>45925</v>
      </c>
      <c r="F33" s="1">
        <v>45927</v>
      </c>
      <c r="G33" t="s">
        <v>22</v>
      </c>
      <c r="H33" t="s">
        <v>23</v>
      </c>
      <c r="I33" t="s">
        <v>100</v>
      </c>
      <c r="J33">
        <v>75</v>
      </c>
      <c r="K33" t="s">
        <v>65</v>
      </c>
      <c r="L33" t="s">
        <v>26</v>
      </c>
      <c r="M33" t="s">
        <v>52</v>
      </c>
      <c r="N33">
        <v>1.5</v>
      </c>
      <c r="O33" s="3">
        <v>6763.12</v>
      </c>
      <c r="P33">
        <v>0</v>
      </c>
      <c r="Q33">
        <v>4.5999999999999996</v>
      </c>
      <c r="R33">
        <v>0.76</v>
      </c>
      <c r="S33" t="str">
        <f t="shared" si="0"/>
        <v>September</v>
      </c>
    </row>
    <row r="34" spans="1:19" x14ac:dyDescent="0.2">
      <c r="A34" t="s">
        <v>125</v>
      </c>
      <c r="B34" t="s">
        <v>126</v>
      </c>
      <c r="C34" t="s">
        <v>30</v>
      </c>
      <c r="D34" t="s">
        <v>35</v>
      </c>
      <c r="E34" s="1">
        <v>46012</v>
      </c>
      <c r="F34" s="1">
        <v>46014</v>
      </c>
      <c r="G34" t="s">
        <v>99</v>
      </c>
      <c r="H34" t="s">
        <v>23</v>
      </c>
      <c r="I34" t="s">
        <v>55</v>
      </c>
      <c r="J34">
        <v>59</v>
      </c>
      <c r="K34" t="s">
        <v>38</v>
      </c>
      <c r="L34" t="s">
        <v>32</v>
      </c>
      <c r="M34" t="s">
        <v>39</v>
      </c>
      <c r="N34">
        <v>1.6</v>
      </c>
      <c r="O34" s="3">
        <v>6763.12</v>
      </c>
      <c r="P34">
        <v>0</v>
      </c>
      <c r="Q34">
        <v>4.9000000000000004</v>
      </c>
      <c r="R34">
        <v>0.83</v>
      </c>
      <c r="S34" t="str">
        <f t="shared" si="0"/>
        <v>December</v>
      </c>
    </row>
    <row r="35" spans="1:19" x14ac:dyDescent="0.2">
      <c r="A35" t="s">
        <v>127</v>
      </c>
      <c r="B35" t="s">
        <v>128</v>
      </c>
      <c r="C35" t="s">
        <v>30</v>
      </c>
      <c r="D35" t="s">
        <v>21</v>
      </c>
      <c r="E35" s="1">
        <v>45931</v>
      </c>
      <c r="F35" s="1">
        <v>45935</v>
      </c>
      <c r="G35" t="s">
        <v>43</v>
      </c>
      <c r="H35" t="s">
        <v>50</v>
      </c>
      <c r="I35" t="s">
        <v>117</v>
      </c>
      <c r="J35">
        <v>85</v>
      </c>
      <c r="K35" t="s">
        <v>65</v>
      </c>
      <c r="L35" t="s">
        <v>26</v>
      </c>
      <c r="M35" t="s">
        <v>27</v>
      </c>
      <c r="N35">
        <v>3.8</v>
      </c>
      <c r="O35" s="3">
        <v>6763.12</v>
      </c>
      <c r="P35">
        <v>0</v>
      </c>
      <c r="Q35">
        <v>3.4</v>
      </c>
      <c r="R35">
        <v>0.78</v>
      </c>
      <c r="S35" t="str">
        <f t="shared" si="0"/>
        <v>October</v>
      </c>
    </row>
    <row r="36" spans="1:19" x14ac:dyDescent="0.2">
      <c r="A36" t="s">
        <v>129</v>
      </c>
      <c r="B36" t="s">
        <v>130</v>
      </c>
      <c r="C36" t="s">
        <v>62</v>
      </c>
      <c r="D36" t="s">
        <v>49</v>
      </c>
      <c r="E36" s="1">
        <v>45890</v>
      </c>
      <c r="F36" s="1">
        <v>45895</v>
      </c>
      <c r="G36" t="s">
        <v>99</v>
      </c>
      <c r="H36" t="s">
        <v>23</v>
      </c>
      <c r="I36" t="s">
        <v>100</v>
      </c>
      <c r="J36">
        <v>84</v>
      </c>
      <c r="K36" t="s">
        <v>65</v>
      </c>
      <c r="L36" t="s">
        <v>32</v>
      </c>
      <c r="M36" t="s">
        <v>39</v>
      </c>
      <c r="N36">
        <v>4.5</v>
      </c>
      <c r="O36" s="3">
        <v>6763.12</v>
      </c>
      <c r="P36">
        <v>0</v>
      </c>
      <c r="Q36">
        <v>4.5999999999999996</v>
      </c>
      <c r="R36">
        <v>0.82</v>
      </c>
      <c r="S36" t="str">
        <f t="shared" si="0"/>
        <v>August</v>
      </c>
    </row>
    <row r="37" spans="1:19" x14ac:dyDescent="0.2">
      <c r="A37" t="s">
        <v>131</v>
      </c>
      <c r="B37" t="s">
        <v>132</v>
      </c>
      <c r="C37" t="s">
        <v>62</v>
      </c>
      <c r="D37" t="s">
        <v>42</v>
      </c>
      <c r="E37" s="1">
        <v>45784</v>
      </c>
      <c r="F37" s="1">
        <v>45785</v>
      </c>
      <c r="G37" t="s">
        <v>50</v>
      </c>
      <c r="H37" t="s">
        <v>44</v>
      </c>
      <c r="I37" t="s">
        <v>51</v>
      </c>
      <c r="J37">
        <v>77</v>
      </c>
      <c r="K37" t="s">
        <v>65</v>
      </c>
      <c r="L37" t="s">
        <v>32</v>
      </c>
      <c r="M37" t="s">
        <v>27</v>
      </c>
      <c r="N37">
        <v>0.5</v>
      </c>
      <c r="O37" s="3">
        <v>6763.12</v>
      </c>
      <c r="P37">
        <v>0</v>
      </c>
      <c r="Q37">
        <v>4</v>
      </c>
      <c r="R37">
        <v>0.85</v>
      </c>
      <c r="S37" t="str">
        <f t="shared" si="0"/>
        <v>May</v>
      </c>
    </row>
    <row r="38" spans="1:19" x14ac:dyDescent="0.2">
      <c r="A38" t="s">
        <v>133</v>
      </c>
      <c r="B38" t="s">
        <v>134</v>
      </c>
      <c r="C38" t="s">
        <v>62</v>
      </c>
      <c r="D38" t="s">
        <v>21</v>
      </c>
      <c r="E38" s="1">
        <v>45659</v>
      </c>
      <c r="F38" s="1">
        <v>45661</v>
      </c>
      <c r="G38" t="s">
        <v>99</v>
      </c>
      <c r="H38" t="s">
        <v>23</v>
      </c>
      <c r="I38" t="s">
        <v>37</v>
      </c>
      <c r="J38">
        <v>16</v>
      </c>
      <c r="K38" t="s">
        <v>46</v>
      </c>
      <c r="L38" t="s">
        <v>26</v>
      </c>
      <c r="M38" t="s">
        <v>82</v>
      </c>
      <c r="N38">
        <v>1.2</v>
      </c>
      <c r="O38" s="3">
        <v>6763.12</v>
      </c>
      <c r="P38">
        <v>0</v>
      </c>
      <c r="Q38">
        <v>4.5</v>
      </c>
      <c r="R38">
        <v>0.83</v>
      </c>
      <c r="S38" t="str">
        <f t="shared" si="0"/>
        <v>January</v>
      </c>
    </row>
    <row r="39" spans="1:19" x14ac:dyDescent="0.2">
      <c r="A39" t="s">
        <v>135</v>
      </c>
      <c r="B39" t="s">
        <v>136</v>
      </c>
      <c r="C39" t="s">
        <v>122</v>
      </c>
      <c r="D39" t="s">
        <v>49</v>
      </c>
      <c r="E39" s="1">
        <v>45703</v>
      </c>
      <c r="F39" s="1">
        <v>45705</v>
      </c>
      <c r="G39" t="s">
        <v>71</v>
      </c>
      <c r="H39" t="s">
        <v>23</v>
      </c>
      <c r="I39" t="s">
        <v>37</v>
      </c>
      <c r="J39">
        <v>30</v>
      </c>
      <c r="K39" t="s">
        <v>78</v>
      </c>
      <c r="L39" t="s">
        <v>26</v>
      </c>
      <c r="M39" t="s">
        <v>27</v>
      </c>
      <c r="N39">
        <v>1.7</v>
      </c>
      <c r="O39" s="3">
        <v>6763.12</v>
      </c>
      <c r="P39">
        <v>0</v>
      </c>
      <c r="Q39">
        <v>3.8</v>
      </c>
      <c r="R39">
        <v>0.78</v>
      </c>
      <c r="S39" t="str">
        <f t="shared" si="0"/>
        <v>February</v>
      </c>
    </row>
    <row r="40" spans="1:19" x14ac:dyDescent="0.2">
      <c r="A40" t="s">
        <v>137</v>
      </c>
      <c r="B40" t="s">
        <v>138</v>
      </c>
      <c r="C40" t="s">
        <v>122</v>
      </c>
      <c r="D40" t="s">
        <v>21</v>
      </c>
      <c r="E40" s="1">
        <v>45766</v>
      </c>
      <c r="F40" s="1">
        <v>45774</v>
      </c>
      <c r="G40" t="s">
        <v>99</v>
      </c>
      <c r="H40" t="s">
        <v>50</v>
      </c>
      <c r="I40" t="s">
        <v>31</v>
      </c>
      <c r="J40">
        <v>5</v>
      </c>
      <c r="K40" t="s">
        <v>103</v>
      </c>
      <c r="L40" t="s">
        <v>32</v>
      </c>
      <c r="M40" t="s">
        <v>82</v>
      </c>
      <c r="N40">
        <v>7.7</v>
      </c>
      <c r="O40" s="3">
        <v>6763.12</v>
      </c>
      <c r="P40">
        <v>1</v>
      </c>
      <c r="Q40">
        <v>3.6</v>
      </c>
      <c r="R40">
        <v>0.79</v>
      </c>
      <c r="S40" t="str">
        <f t="shared" si="0"/>
        <v>April</v>
      </c>
    </row>
    <row r="41" spans="1:19" x14ac:dyDescent="0.2">
      <c r="A41" t="s">
        <v>139</v>
      </c>
      <c r="B41" t="s">
        <v>140</v>
      </c>
      <c r="C41" t="s">
        <v>20</v>
      </c>
      <c r="D41" t="s">
        <v>42</v>
      </c>
      <c r="E41" s="1">
        <v>45672</v>
      </c>
      <c r="F41" s="1">
        <v>45674</v>
      </c>
      <c r="G41" t="s">
        <v>50</v>
      </c>
      <c r="H41" t="s">
        <v>23</v>
      </c>
      <c r="I41" t="s">
        <v>31</v>
      </c>
      <c r="J41">
        <v>8</v>
      </c>
      <c r="K41" t="s">
        <v>103</v>
      </c>
      <c r="L41" t="s">
        <v>32</v>
      </c>
      <c r="M41" t="s">
        <v>39</v>
      </c>
      <c r="N41">
        <v>1.4</v>
      </c>
      <c r="O41" s="3">
        <v>6763.12</v>
      </c>
      <c r="P41">
        <v>0</v>
      </c>
      <c r="Q41">
        <v>4.3</v>
      </c>
      <c r="R41">
        <v>0.78</v>
      </c>
      <c r="S41" t="str">
        <f t="shared" si="0"/>
        <v>January</v>
      </c>
    </row>
    <row r="42" spans="1:19" x14ac:dyDescent="0.2">
      <c r="A42" t="s">
        <v>141</v>
      </c>
      <c r="B42" t="s">
        <v>142</v>
      </c>
      <c r="C42" t="s">
        <v>20</v>
      </c>
      <c r="D42" t="s">
        <v>49</v>
      </c>
      <c r="E42" s="1">
        <v>45843</v>
      </c>
      <c r="F42" s="1">
        <v>45846</v>
      </c>
      <c r="G42" t="s">
        <v>36</v>
      </c>
      <c r="H42" t="s">
        <v>44</v>
      </c>
      <c r="I42" t="s">
        <v>81</v>
      </c>
      <c r="J42">
        <v>21</v>
      </c>
      <c r="K42" t="s">
        <v>78</v>
      </c>
      <c r="L42" t="s">
        <v>32</v>
      </c>
      <c r="M42" t="s">
        <v>27</v>
      </c>
      <c r="N42">
        <v>2.5</v>
      </c>
      <c r="O42" s="3">
        <v>6763.12</v>
      </c>
      <c r="P42">
        <v>0</v>
      </c>
      <c r="Q42">
        <v>4.5</v>
      </c>
      <c r="R42">
        <v>0.84</v>
      </c>
      <c r="S42" t="str">
        <f t="shared" si="0"/>
        <v>July</v>
      </c>
    </row>
    <row r="43" spans="1:19" x14ac:dyDescent="0.2">
      <c r="A43" t="s">
        <v>143</v>
      </c>
      <c r="B43" t="s">
        <v>144</v>
      </c>
      <c r="C43" t="s">
        <v>30</v>
      </c>
      <c r="D43" t="s">
        <v>35</v>
      </c>
      <c r="E43" s="1">
        <v>45941</v>
      </c>
      <c r="F43" s="1">
        <v>45947</v>
      </c>
      <c r="G43" t="s">
        <v>68</v>
      </c>
      <c r="H43" t="s">
        <v>50</v>
      </c>
      <c r="I43" t="s">
        <v>24</v>
      </c>
      <c r="J43">
        <v>25</v>
      </c>
      <c r="K43" t="s">
        <v>78</v>
      </c>
      <c r="L43" t="s">
        <v>32</v>
      </c>
      <c r="M43" t="s">
        <v>27</v>
      </c>
      <c r="N43">
        <v>5.6</v>
      </c>
      <c r="O43" s="3">
        <v>6763.12</v>
      </c>
      <c r="P43">
        <v>0</v>
      </c>
      <c r="Q43">
        <v>4.8</v>
      </c>
      <c r="R43">
        <v>0.81</v>
      </c>
      <c r="S43" t="str">
        <f t="shared" si="0"/>
        <v>October</v>
      </c>
    </row>
    <row r="44" spans="1:19" x14ac:dyDescent="0.2">
      <c r="A44" t="s">
        <v>145</v>
      </c>
      <c r="B44" t="s">
        <v>146</v>
      </c>
      <c r="C44" t="s">
        <v>58</v>
      </c>
      <c r="D44" t="s">
        <v>49</v>
      </c>
      <c r="E44" s="1">
        <v>46009</v>
      </c>
      <c r="F44" s="1">
        <v>46012</v>
      </c>
      <c r="G44" t="s">
        <v>71</v>
      </c>
      <c r="H44" t="s">
        <v>50</v>
      </c>
      <c r="I44" t="s">
        <v>100</v>
      </c>
      <c r="J44">
        <v>1</v>
      </c>
      <c r="K44" t="s">
        <v>103</v>
      </c>
      <c r="L44" t="s">
        <v>32</v>
      </c>
      <c r="M44" t="s">
        <v>82</v>
      </c>
      <c r="N44">
        <v>2.4</v>
      </c>
      <c r="O44" s="3">
        <v>6763.12</v>
      </c>
      <c r="P44">
        <v>0</v>
      </c>
      <c r="Q44">
        <v>4</v>
      </c>
      <c r="R44">
        <v>0.75</v>
      </c>
      <c r="S44" t="str">
        <f t="shared" si="0"/>
        <v>December</v>
      </c>
    </row>
    <row r="45" spans="1:19" x14ac:dyDescent="0.2">
      <c r="A45" t="s">
        <v>147</v>
      </c>
      <c r="B45" t="s">
        <v>148</v>
      </c>
      <c r="C45" t="s">
        <v>62</v>
      </c>
      <c r="D45" t="s">
        <v>42</v>
      </c>
      <c r="E45" s="1">
        <v>45836</v>
      </c>
      <c r="F45" s="1">
        <v>45837</v>
      </c>
      <c r="G45" t="s">
        <v>50</v>
      </c>
      <c r="H45" t="s">
        <v>50</v>
      </c>
      <c r="I45" t="s">
        <v>24</v>
      </c>
      <c r="J45">
        <v>76</v>
      </c>
      <c r="K45" t="s">
        <v>65</v>
      </c>
      <c r="L45" t="s">
        <v>26</v>
      </c>
      <c r="M45" t="s">
        <v>27</v>
      </c>
      <c r="N45">
        <v>1</v>
      </c>
      <c r="O45" s="3">
        <v>6763.12</v>
      </c>
      <c r="P45">
        <v>0</v>
      </c>
      <c r="Q45">
        <v>3.6</v>
      </c>
      <c r="R45">
        <v>0.85</v>
      </c>
      <c r="S45" t="str">
        <f t="shared" si="0"/>
        <v>June</v>
      </c>
    </row>
    <row r="46" spans="1:19" x14ac:dyDescent="0.2">
      <c r="A46" t="s">
        <v>149</v>
      </c>
      <c r="B46" t="s">
        <v>150</v>
      </c>
      <c r="C46" t="s">
        <v>20</v>
      </c>
      <c r="D46" t="s">
        <v>21</v>
      </c>
      <c r="E46" s="1">
        <v>45977</v>
      </c>
      <c r="F46" s="1">
        <v>45978</v>
      </c>
      <c r="G46" t="s">
        <v>68</v>
      </c>
      <c r="H46" t="s">
        <v>50</v>
      </c>
      <c r="I46" t="s">
        <v>24</v>
      </c>
      <c r="J46">
        <v>47</v>
      </c>
      <c r="K46" t="s">
        <v>25</v>
      </c>
      <c r="L46" t="s">
        <v>32</v>
      </c>
      <c r="M46" t="s">
        <v>27</v>
      </c>
      <c r="N46">
        <v>0.9</v>
      </c>
      <c r="O46" s="3">
        <v>6763.12</v>
      </c>
      <c r="P46">
        <v>1</v>
      </c>
      <c r="Q46">
        <v>2.4</v>
      </c>
      <c r="R46">
        <v>0.81</v>
      </c>
      <c r="S46" t="str">
        <f t="shared" si="0"/>
        <v>November</v>
      </c>
    </row>
    <row r="47" spans="1:19" x14ac:dyDescent="0.2">
      <c r="A47" t="s">
        <v>151</v>
      </c>
      <c r="B47" t="s">
        <v>152</v>
      </c>
      <c r="C47" t="s">
        <v>122</v>
      </c>
      <c r="D47" t="s">
        <v>42</v>
      </c>
      <c r="E47" s="1">
        <v>46017</v>
      </c>
      <c r="F47" s="1">
        <v>46022</v>
      </c>
      <c r="G47" t="s">
        <v>68</v>
      </c>
      <c r="H47" t="s">
        <v>23</v>
      </c>
      <c r="I47" t="s">
        <v>100</v>
      </c>
      <c r="J47">
        <v>59</v>
      </c>
      <c r="K47" t="s">
        <v>38</v>
      </c>
      <c r="L47" t="s">
        <v>32</v>
      </c>
      <c r="M47" t="s">
        <v>82</v>
      </c>
      <c r="N47">
        <v>4.9000000000000004</v>
      </c>
      <c r="O47" s="3">
        <v>6763.12</v>
      </c>
      <c r="P47">
        <v>0</v>
      </c>
      <c r="Q47">
        <v>2.9</v>
      </c>
      <c r="R47">
        <v>0.81</v>
      </c>
      <c r="S47" t="str">
        <f t="shared" si="0"/>
        <v>December</v>
      </c>
    </row>
    <row r="48" spans="1:19" x14ac:dyDescent="0.2">
      <c r="A48" t="s">
        <v>153</v>
      </c>
      <c r="B48" t="s">
        <v>154</v>
      </c>
      <c r="C48" t="s">
        <v>122</v>
      </c>
      <c r="D48" t="s">
        <v>42</v>
      </c>
      <c r="E48" s="1">
        <v>45971</v>
      </c>
      <c r="F48" s="1">
        <v>45974</v>
      </c>
      <c r="G48" t="s">
        <v>59</v>
      </c>
      <c r="H48" t="s">
        <v>50</v>
      </c>
      <c r="I48" t="s">
        <v>31</v>
      </c>
      <c r="J48">
        <v>59</v>
      </c>
      <c r="K48" t="s">
        <v>38</v>
      </c>
      <c r="L48" t="s">
        <v>32</v>
      </c>
      <c r="M48" t="s">
        <v>27</v>
      </c>
      <c r="N48">
        <v>2.9</v>
      </c>
      <c r="O48" s="3">
        <v>6763.12</v>
      </c>
      <c r="P48">
        <v>0</v>
      </c>
      <c r="Q48">
        <v>3.6</v>
      </c>
      <c r="R48">
        <v>0.79</v>
      </c>
      <c r="S48" t="str">
        <f t="shared" si="0"/>
        <v>November</v>
      </c>
    </row>
    <row r="49" spans="1:19" x14ac:dyDescent="0.2">
      <c r="A49" t="s">
        <v>155</v>
      </c>
      <c r="B49" t="s">
        <v>156</v>
      </c>
      <c r="C49" t="s">
        <v>30</v>
      </c>
      <c r="D49" t="s">
        <v>35</v>
      </c>
      <c r="E49" s="1">
        <v>45827</v>
      </c>
      <c r="F49" s="1">
        <v>45829</v>
      </c>
      <c r="G49" t="s">
        <v>99</v>
      </c>
      <c r="H49" t="s">
        <v>50</v>
      </c>
      <c r="I49" t="s">
        <v>55</v>
      </c>
      <c r="J49">
        <v>87</v>
      </c>
      <c r="K49" t="s">
        <v>65</v>
      </c>
      <c r="L49" t="s">
        <v>32</v>
      </c>
      <c r="M49" t="s">
        <v>27</v>
      </c>
      <c r="N49">
        <v>1.6</v>
      </c>
      <c r="O49" s="3">
        <v>6763.12</v>
      </c>
      <c r="P49">
        <v>1</v>
      </c>
      <c r="Q49">
        <v>3.2</v>
      </c>
      <c r="R49">
        <v>0.84</v>
      </c>
      <c r="S49" t="str">
        <f t="shared" si="0"/>
        <v>June</v>
      </c>
    </row>
    <row r="50" spans="1:19" x14ac:dyDescent="0.2">
      <c r="A50" t="s">
        <v>157</v>
      </c>
      <c r="B50" t="s">
        <v>158</v>
      </c>
      <c r="C50" t="s">
        <v>122</v>
      </c>
      <c r="D50" t="s">
        <v>42</v>
      </c>
      <c r="E50" s="1">
        <v>45776</v>
      </c>
      <c r="F50" s="1">
        <v>45781</v>
      </c>
      <c r="G50" t="s">
        <v>36</v>
      </c>
      <c r="H50" t="s">
        <v>23</v>
      </c>
      <c r="I50" t="s">
        <v>31</v>
      </c>
      <c r="J50">
        <v>13</v>
      </c>
      <c r="K50" t="s">
        <v>46</v>
      </c>
      <c r="L50" t="s">
        <v>26</v>
      </c>
      <c r="M50" t="s">
        <v>27</v>
      </c>
      <c r="N50">
        <v>4.0999999999999996</v>
      </c>
      <c r="O50" s="3">
        <v>6763.12</v>
      </c>
      <c r="P50">
        <v>0</v>
      </c>
      <c r="Q50">
        <v>4.4000000000000004</v>
      </c>
      <c r="R50">
        <v>0.77</v>
      </c>
      <c r="S50" t="str">
        <f t="shared" si="0"/>
        <v>April</v>
      </c>
    </row>
    <row r="51" spans="1:19" x14ac:dyDescent="0.2">
      <c r="A51" t="s">
        <v>159</v>
      </c>
      <c r="B51" t="s">
        <v>160</v>
      </c>
      <c r="C51" t="s">
        <v>20</v>
      </c>
      <c r="D51" t="s">
        <v>49</v>
      </c>
      <c r="E51" s="1">
        <v>46014</v>
      </c>
      <c r="F51" s="1">
        <v>46015</v>
      </c>
      <c r="G51" t="s">
        <v>116</v>
      </c>
      <c r="H51" t="s">
        <v>23</v>
      </c>
      <c r="I51" t="s">
        <v>117</v>
      </c>
      <c r="J51">
        <v>31</v>
      </c>
      <c r="K51" t="s">
        <v>78</v>
      </c>
      <c r="L51" t="s">
        <v>32</v>
      </c>
      <c r="M51" t="s">
        <v>82</v>
      </c>
      <c r="N51">
        <v>0.2</v>
      </c>
      <c r="O51" s="3">
        <v>6763.12</v>
      </c>
      <c r="P51">
        <v>0</v>
      </c>
      <c r="Q51">
        <v>3.1</v>
      </c>
      <c r="R51">
        <v>0.76</v>
      </c>
      <c r="S51" t="str">
        <f t="shared" si="0"/>
        <v>December</v>
      </c>
    </row>
    <row r="52" spans="1:19" x14ac:dyDescent="0.2">
      <c r="A52" t="s">
        <v>161</v>
      </c>
      <c r="B52" t="s">
        <v>162</v>
      </c>
      <c r="C52" t="s">
        <v>20</v>
      </c>
      <c r="D52" t="s">
        <v>49</v>
      </c>
      <c r="E52" s="1">
        <v>45746</v>
      </c>
      <c r="F52" s="1">
        <v>45747</v>
      </c>
      <c r="G52" t="s">
        <v>50</v>
      </c>
      <c r="H52" t="s">
        <v>23</v>
      </c>
      <c r="I52" t="s">
        <v>31</v>
      </c>
      <c r="J52">
        <v>28</v>
      </c>
      <c r="K52" t="s">
        <v>78</v>
      </c>
      <c r="L52" t="s">
        <v>32</v>
      </c>
      <c r="M52" t="s">
        <v>27</v>
      </c>
      <c r="N52">
        <v>0.3</v>
      </c>
      <c r="O52" s="3">
        <v>6763.12</v>
      </c>
      <c r="P52">
        <v>0</v>
      </c>
      <c r="Q52">
        <v>3.4</v>
      </c>
      <c r="R52">
        <v>0.74</v>
      </c>
      <c r="S52" t="str">
        <f t="shared" si="0"/>
        <v>March</v>
      </c>
    </row>
    <row r="53" spans="1:19" x14ac:dyDescent="0.2">
      <c r="A53" t="s">
        <v>163</v>
      </c>
      <c r="B53" t="s">
        <v>164</v>
      </c>
      <c r="C53" t="s">
        <v>20</v>
      </c>
      <c r="D53" t="s">
        <v>21</v>
      </c>
      <c r="E53" s="1">
        <v>45808</v>
      </c>
      <c r="F53" s="1">
        <v>45810</v>
      </c>
      <c r="G53" t="s">
        <v>50</v>
      </c>
      <c r="H53" t="s">
        <v>23</v>
      </c>
      <c r="I53" t="s">
        <v>117</v>
      </c>
      <c r="J53">
        <v>50</v>
      </c>
      <c r="K53" t="s">
        <v>38</v>
      </c>
      <c r="L53" t="s">
        <v>26</v>
      </c>
      <c r="M53" t="s">
        <v>27</v>
      </c>
      <c r="N53">
        <v>1.6</v>
      </c>
      <c r="O53" s="3">
        <v>6763.12</v>
      </c>
      <c r="P53">
        <v>0</v>
      </c>
      <c r="Q53">
        <v>3.4</v>
      </c>
      <c r="R53">
        <v>0.73</v>
      </c>
      <c r="S53" t="str">
        <f t="shared" si="0"/>
        <v>May</v>
      </c>
    </row>
    <row r="54" spans="1:19" x14ac:dyDescent="0.2">
      <c r="A54" t="s">
        <v>165</v>
      </c>
      <c r="B54" t="s">
        <v>166</v>
      </c>
      <c r="C54" t="s">
        <v>62</v>
      </c>
      <c r="D54" t="s">
        <v>42</v>
      </c>
      <c r="E54" s="1">
        <v>45685</v>
      </c>
      <c r="F54" s="1">
        <v>45686</v>
      </c>
      <c r="G54" t="s">
        <v>50</v>
      </c>
      <c r="H54" t="s">
        <v>23</v>
      </c>
      <c r="I54" t="s">
        <v>51</v>
      </c>
      <c r="J54">
        <v>47</v>
      </c>
      <c r="K54" t="s">
        <v>25</v>
      </c>
      <c r="L54" t="s">
        <v>26</v>
      </c>
      <c r="M54" t="s">
        <v>27</v>
      </c>
      <c r="N54">
        <v>0.4</v>
      </c>
      <c r="O54" s="3">
        <v>6763.12</v>
      </c>
      <c r="P54">
        <v>0</v>
      </c>
      <c r="Q54">
        <v>4.4000000000000004</v>
      </c>
      <c r="R54">
        <v>0.91</v>
      </c>
      <c r="S54" t="str">
        <f t="shared" si="0"/>
        <v>January</v>
      </c>
    </row>
    <row r="55" spans="1:19" x14ac:dyDescent="0.2">
      <c r="A55" t="s">
        <v>167</v>
      </c>
      <c r="B55" t="s">
        <v>168</v>
      </c>
      <c r="C55" t="s">
        <v>122</v>
      </c>
      <c r="D55" t="s">
        <v>49</v>
      </c>
      <c r="E55" s="1">
        <v>45947</v>
      </c>
      <c r="F55" s="1">
        <v>45968</v>
      </c>
      <c r="G55" t="s">
        <v>59</v>
      </c>
      <c r="H55" t="s">
        <v>23</v>
      </c>
      <c r="I55" t="s">
        <v>31</v>
      </c>
      <c r="J55">
        <v>71</v>
      </c>
      <c r="K55" t="s">
        <v>169</v>
      </c>
      <c r="L55" t="s">
        <v>26</v>
      </c>
      <c r="M55" t="s">
        <v>27</v>
      </c>
      <c r="N55">
        <v>21</v>
      </c>
      <c r="O55" s="3">
        <v>6763.12</v>
      </c>
      <c r="P55">
        <v>0</v>
      </c>
      <c r="Q55">
        <v>3.2</v>
      </c>
      <c r="R55">
        <v>0.69</v>
      </c>
      <c r="S55" t="str">
        <f t="shared" si="0"/>
        <v>October</v>
      </c>
    </row>
    <row r="56" spans="1:19" x14ac:dyDescent="0.2">
      <c r="A56" t="s">
        <v>170</v>
      </c>
      <c r="B56" t="s">
        <v>171</v>
      </c>
      <c r="C56" t="s">
        <v>30</v>
      </c>
      <c r="D56" t="s">
        <v>49</v>
      </c>
      <c r="E56" s="1">
        <v>45895</v>
      </c>
      <c r="F56" s="1">
        <v>45897</v>
      </c>
      <c r="G56" t="s">
        <v>50</v>
      </c>
      <c r="H56" t="s">
        <v>23</v>
      </c>
      <c r="I56" t="s">
        <v>37</v>
      </c>
      <c r="J56">
        <v>51</v>
      </c>
      <c r="K56" t="s">
        <v>38</v>
      </c>
      <c r="L56" t="s">
        <v>26</v>
      </c>
      <c r="M56" t="s">
        <v>27</v>
      </c>
      <c r="N56">
        <v>1.1000000000000001</v>
      </c>
      <c r="O56" s="3">
        <v>6763.12</v>
      </c>
      <c r="P56">
        <v>0</v>
      </c>
      <c r="Q56">
        <v>4</v>
      </c>
      <c r="R56">
        <v>0.87</v>
      </c>
      <c r="S56" t="str">
        <f t="shared" si="0"/>
        <v>August</v>
      </c>
    </row>
    <row r="57" spans="1:19" x14ac:dyDescent="0.2">
      <c r="A57" t="s">
        <v>172</v>
      </c>
      <c r="B57" t="s">
        <v>173</v>
      </c>
      <c r="C57" t="s">
        <v>30</v>
      </c>
      <c r="D57" t="s">
        <v>35</v>
      </c>
      <c r="E57" s="1">
        <v>45688</v>
      </c>
      <c r="F57" s="1">
        <v>45689</v>
      </c>
      <c r="G57" t="s">
        <v>36</v>
      </c>
      <c r="H57" t="s">
        <v>50</v>
      </c>
      <c r="I57" t="s">
        <v>81</v>
      </c>
      <c r="J57">
        <v>21</v>
      </c>
      <c r="K57" t="s">
        <v>78</v>
      </c>
      <c r="L57" t="s">
        <v>26</v>
      </c>
      <c r="M57" t="s">
        <v>27</v>
      </c>
      <c r="N57">
        <v>0.6</v>
      </c>
      <c r="O57" s="3">
        <v>6763.12</v>
      </c>
      <c r="P57">
        <v>0</v>
      </c>
      <c r="Q57">
        <v>4</v>
      </c>
      <c r="R57">
        <v>0.79</v>
      </c>
      <c r="S57" t="str">
        <f t="shared" si="0"/>
        <v>January</v>
      </c>
    </row>
    <row r="58" spans="1:19" x14ac:dyDescent="0.2">
      <c r="A58" t="s">
        <v>174</v>
      </c>
      <c r="B58" t="s">
        <v>175</v>
      </c>
      <c r="C58" t="s">
        <v>30</v>
      </c>
      <c r="D58" t="s">
        <v>21</v>
      </c>
      <c r="E58" s="1">
        <v>45739</v>
      </c>
      <c r="F58" s="1">
        <v>45747</v>
      </c>
      <c r="G58" t="s">
        <v>43</v>
      </c>
      <c r="H58" t="s">
        <v>23</v>
      </c>
      <c r="I58" t="s">
        <v>45</v>
      </c>
      <c r="J58">
        <v>51</v>
      </c>
      <c r="K58" t="s">
        <v>38</v>
      </c>
      <c r="L58" t="s">
        <v>26</v>
      </c>
      <c r="M58" t="s">
        <v>27</v>
      </c>
      <c r="N58">
        <v>7.3</v>
      </c>
      <c r="O58" s="3">
        <v>6763.12</v>
      </c>
      <c r="P58">
        <v>1</v>
      </c>
      <c r="Q58">
        <v>4.2</v>
      </c>
      <c r="R58">
        <v>0.87</v>
      </c>
      <c r="S58" t="str">
        <f t="shared" si="0"/>
        <v>March</v>
      </c>
    </row>
    <row r="59" spans="1:19" x14ac:dyDescent="0.2">
      <c r="A59" t="s">
        <v>176</v>
      </c>
      <c r="B59" t="s">
        <v>177</v>
      </c>
      <c r="C59" t="s">
        <v>20</v>
      </c>
      <c r="D59" t="s">
        <v>42</v>
      </c>
      <c r="E59" s="1">
        <v>45860</v>
      </c>
      <c r="F59" s="1">
        <v>45864</v>
      </c>
      <c r="G59" t="s">
        <v>36</v>
      </c>
      <c r="H59" t="s">
        <v>50</v>
      </c>
      <c r="I59" t="s">
        <v>55</v>
      </c>
      <c r="J59">
        <v>87</v>
      </c>
      <c r="K59" t="s">
        <v>65</v>
      </c>
      <c r="L59" t="s">
        <v>26</v>
      </c>
      <c r="M59" t="s">
        <v>27</v>
      </c>
      <c r="N59">
        <v>3.9</v>
      </c>
      <c r="O59" s="3">
        <v>6763.12</v>
      </c>
      <c r="P59">
        <v>0</v>
      </c>
      <c r="Q59">
        <v>4.4000000000000004</v>
      </c>
      <c r="R59">
        <v>0.71</v>
      </c>
      <c r="S59" t="str">
        <f t="shared" si="0"/>
        <v>July</v>
      </c>
    </row>
    <row r="60" spans="1:19" x14ac:dyDescent="0.2">
      <c r="A60" t="s">
        <v>178</v>
      </c>
      <c r="B60" t="s">
        <v>179</v>
      </c>
      <c r="C60" t="s">
        <v>62</v>
      </c>
      <c r="D60" t="s">
        <v>49</v>
      </c>
      <c r="E60" s="1">
        <v>45855</v>
      </c>
      <c r="F60" s="1">
        <v>45857</v>
      </c>
      <c r="G60" t="s">
        <v>22</v>
      </c>
      <c r="H60" t="s">
        <v>50</v>
      </c>
      <c r="I60" t="s">
        <v>37</v>
      </c>
      <c r="J60">
        <v>52</v>
      </c>
      <c r="K60" t="s">
        <v>38</v>
      </c>
      <c r="L60" t="s">
        <v>32</v>
      </c>
      <c r="M60" t="s">
        <v>82</v>
      </c>
      <c r="N60">
        <v>1.8</v>
      </c>
      <c r="O60" s="3">
        <v>6763.12</v>
      </c>
      <c r="P60">
        <v>0</v>
      </c>
      <c r="Q60">
        <v>3.9</v>
      </c>
      <c r="R60">
        <v>0.83</v>
      </c>
      <c r="S60" t="str">
        <f t="shared" si="0"/>
        <v>July</v>
      </c>
    </row>
    <row r="61" spans="1:19" x14ac:dyDescent="0.2">
      <c r="A61" t="s">
        <v>180</v>
      </c>
      <c r="B61" t="s">
        <v>181</v>
      </c>
      <c r="C61" t="s">
        <v>62</v>
      </c>
      <c r="D61" t="s">
        <v>35</v>
      </c>
      <c r="E61" s="1">
        <v>45950</v>
      </c>
      <c r="F61" s="1">
        <v>45953</v>
      </c>
      <c r="G61" t="s">
        <v>116</v>
      </c>
      <c r="H61" t="s">
        <v>50</v>
      </c>
      <c r="I61" t="s">
        <v>100</v>
      </c>
      <c r="J61">
        <v>53</v>
      </c>
      <c r="K61" t="s">
        <v>38</v>
      </c>
      <c r="L61" t="s">
        <v>26</v>
      </c>
      <c r="M61" t="s">
        <v>27</v>
      </c>
      <c r="N61">
        <v>2.5</v>
      </c>
      <c r="O61" s="3">
        <v>6763.12</v>
      </c>
      <c r="P61">
        <v>0</v>
      </c>
      <c r="Q61">
        <v>2.9</v>
      </c>
      <c r="R61">
        <v>0.9</v>
      </c>
      <c r="S61" t="str">
        <f t="shared" si="0"/>
        <v>October</v>
      </c>
    </row>
    <row r="62" spans="1:19" x14ac:dyDescent="0.2">
      <c r="A62" t="s">
        <v>182</v>
      </c>
      <c r="B62" t="s">
        <v>183</v>
      </c>
      <c r="C62" t="s">
        <v>58</v>
      </c>
      <c r="D62" t="s">
        <v>42</v>
      </c>
      <c r="E62" s="1">
        <v>45755</v>
      </c>
      <c r="F62" s="1">
        <v>45756</v>
      </c>
      <c r="G62" t="s">
        <v>50</v>
      </c>
      <c r="H62" t="s">
        <v>44</v>
      </c>
      <c r="I62" t="s">
        <v>45</v>
      </c>
      <c r="J62">
        <v>16</v>
      </c>
      <c r="K62" t="s">
        <v>46</v>
      </c>
      <c r="L62" t="s">
        <v>26</v>
      </c>
      <c r="M62" t="s">
        <v>27</v>
      </c>
      <c r="N62">
        <v>0.2</v>
      </c>
      <c r="O62" s="3">
        <v>6763.12</v>
      </c>
      <c r="P62">
        <v>1</v>
      </c>
      <c r="Q62">
        <v>3.6</v>
      </c>
      <c r="R62">
        <v>0.78</v>
      </c>
      <c r="S62" t="str">
        <f t="shared" si="0"/>
        <v>April</v>
      </c>
    </row>
    <row r="63" spans="1:19" x14ac:dyDescent="0.2">
      <c r="A63" t="s">
        <v>184</v>
      </c>
      <c r="B63" t="s">
        <v>185</v>
      </c>
      <c r="C63" t="s">
        <v>122</v>
      </c>
      <c r="D63" t="s">
        <v>42</v>
      </c>
      <c r="E63" s="1">
        <v>45995</v>
      </c>
      <c r="F63" s="1">
        <v>45999</v>
      </c>
      <c r="G63" t="s">
        <v>71</v>
      </c>
      <c r="H63" t="s">
        <v>23</v>
      </c>
      <c r="I63" t="s">
        <v>81</v>
      </c>
      <c r="J63">
        <v>0</v>
      </c>
      <c r="K63" t="s">
        <v>103</v>
      </c>
      <c r="L63" t="s">
        <v>26</v>
      </c>
      <c r="M63" t="s">
        <v>82</v>
      </c>
      <c r="N63">
        <v>3.9</v>
      </c>
      <c r="O63" s="3">
        <v>6763.12</v>
      </c>
      <c r="P63">
        <v>0</v>
      </c>
      <c r="Q63">
        <v>3.9</v>
      </c>
      <c r="R63">
        <v>0.77</v>
      </c>
      <c r="S63" t="str">
        <f t="shared" si="0"/>
        <v>December</v>
      </c>
    </row>
    <row r="64" spans="1:19" x14ac:dyDescent="0.2">
      <c r="A64" t="s">
        <v>186</v>
      </c>
      <c r="B64" t="s">
        <v>187</v>
      </c>
      <c r="C64" t="s">
        <v>30</v>
      </c>
      <c r="D64" t="s">
        <v>49</v>
      </c>
      <c r="E64" s="1">
        <v>45820</v>
      </c>
      <c r="F64" s="1">
        <v>45822</v>
      </c>
      <c r="G64" t="s">
        <v>68</v>
      </c>
      <c r="H64" t="s">
        <v>50</v>
      </c>
      <c r="I64" t="s">
        <v>100</v>
      </c>
      <c r="J64">
        <v>19</v>
      </c>
      <c r="K64" t="s">
        <v>78</v>
      </c>
      <c r="L64" t="s">
        <v>32</v>
      </c>
      <c r="M64" t="s">
        <v>82</v>
      </c>
      <c r="N64">
        <v>1.2</v>
      </c>
      <c r="O64" s="3">
        <v>6763.12</v>
      </c>
      <c r="P64">
        <v>0</v>
      </c>
      <c r="Q64">
        <v>4.0999999999999996</v>
      </c>
      <c r="R64">
        <v>0.74</v>
      </c>
      <c r="S64" t="str">
        <f t="shared" si="0"/>
        <v>June</v>
      </c>
    </row>
    <row r="65" spans="1:19" x14ac:dyDescent="0.2">
      <c r="A65" t="s">
        <v>188</v>
      </c>
      <c r="B65" t="s">
        <v>189</v>
      </c>
      <c r="C65" t="s">
        <v>122</v>
      </c>
      <c r="D65" t="s">
        <v>35</v>
      </c>
      <c r="E65" s="1">
        <v>45958</v>
      </c>
      <c r="F65" s="1">
        <v>45960</v>
      </c>
      <c r="G65" t="s">
        <v>116</v>
      </c>
      <c r="H65" t="s">
        <v>23</v>
      </c>
      <c r="I65" t="s">
        <v>117</v>
      </c>
      <c r="J65">
        <v>2</v>
      </c>
      <c r="K65" t="s">
        <v>103</v>
      </c>
      <c r="L65" t="s">
        <v>26</v>
      </c>
      <c r="M65" t="s">
        <v>39</v>
      </c>
      <c r="N65">
        <v>1.9</v>
      </c>
      <c r="O65" s="3">
        <v>6763.12</v>
      </c>
      <c r="P65">
        <v>0</v>
      </c>
      <c r="Q65">
        <v>3.5</v>
      </c>
      <c r="R65">
        <v>0.73</v>
      </c>
      <c r="S65" t="str">
        <f t="shared" si="0"/>
        <v>October</v>
      </c>
    </row>
    <row r="66" spans="1:19" x14ac:dyDescent="0.2">
      <c r="A66" t="s">
        <v>190</v>
      </c>
      <c r="B66" t="s">
        <v>191</v>
      </c>
      <c r="C66" t="s">
        <v>122</v>
      </c>
      <c r="D66" t="s">
        <v>49</v>
      </c>
      <c r="E66" s="1">
        <v>45745</v>
      </c>
      <c r="F66" s="1">
        <v>45747</v>
      </c>
      <c r="G66" t="s">
        <v>22</v>
      </c>
      <c r="H66" t="s">
        <v>50</v>
      </c>
      <c r="I66" t="s">
        <v>55</v>
      </c>
      <c r="J66">
        <v>41</v>
      </c>
      <c r="K66" t="s">
        <v>25</v>
      </c>
      <c r="L66" t="s">
        <v>32</v>
      </c>
      <c r="M66" t="s">
        <v>27</v>
      </c>
      <c r="N66">
        <v>1.4</v>
      </c>
      <c r="O66" s="3">
        <v>6763.12</v>
      </c>
      <c r="P66">
        <v>0</v>
      </c>
      <c r="Q66">
        <v>4.5999999999999996</v>
      </c>
      <c r="R66">
        <v>0.84</v>
      </c>
      <c r="S66" t="str">
        <f t="shared" si="0"/>
        <v>March</v>
      </c>
    </row>
    <row r="67" spans="1:19" x14ac:dyDescent="0.2">
      <c r="A67" t="s">
        <v>192</v>
      </c>
      <c r="B67" t="s">
        <v>193</v>
      </c>
      <c r="C67" t="s">
        <v>62</v>
      </c>
      <c r="D67" t="s">
        <v>35</v>
      </c>
      <c r="E67" s="1">
        <v>45671</v>
      </c>
      <c r="F67" s="1">
        <v>45675</v>
      </c>
      <c r="G67" t="s">
        <v>36</v>
      </c>
      <c r="H67" t="s">
        <v>23</v>
      </c>
      <c r="I67" t="s">
        <v>37</v>
      </c>
      <c r="J67">
        <v>80</v>
      </c>
      <c r="K67" t="s">
        <v>65</v>
      </c>
      <c r="L67" t="s">
        <v>26</v>
      </c>
      <c r="M67" t="s">
        <v>27</v>
      </c>
      <c r="N67">
        <v>3.4</v>
      </c>
      <c r="O67" s="3">
        <v>6763.12</v>
      </c>
      <c r="P67">
        <v>0</v>
      </c>
      <c r="Q67">
        <v>3.9</v>
      </c>
      <c r="R67">
        <v>0.83</v>
      </c>
      <c r="S67" t="str">
        <f t="shared" ref="S67:S130" si="1">TEXT(E67, "mmmm")</f>
        <v>January</v>
      </c>
    </row>
    <row r="68" spans="1:19" x14ac:dyDescent="0.2">
      <c r="A68" t="s">
        <v>194</v>
      </c>
      <c r="B68" t="s">
        <v>195</v>
      </c>
      <c r="C68" t="s">
        <v>20</v>
      </c>
      <c r="D68" t="s">
        <v>21</v>
      </c>
      <c r="E68" s="1">
        <v>45678</v>
      </c>
      <c r="F68" s="1">
        <v>45681</v>
      </c>
      <c r="G68" t="s">
        <v>99</v>
      </c>
      <c r="H68" t="s">
        <v>23</v>
      </c>
      <c r="I68" t="s">
        <v>100</v>
      </c>
      <c r="J68">
        <v>40</v>
      </c>
      <c r="K68" t="s">
        <v>25</v>
      </c>
      <c r="L68" t="s">
        <v>32</v>
      </c>
      <c r="M68" t="s">
        <v>27</v>
      </c>
      <c r="N68">
        <v>2.2999999999999998</v>
      </c>
      <c r="O68" s="3">
        <v>6763.12</v>
      </c>
      <c r="P68">
        <v>0</v>
      </c>
      <c r="Q68">
        <v>3.3</v>
      </c>
      <c r="R68">
        <v>0.8</v>
      </c>
      <c r="S68" t="str">
        <f t="shared" si="1"/>
        <v>January</v>
      </c>
    </row>
    <row r="69" spans="1:19" x14ac:dyDescent="0.2">
      <c r="A69" t="s">
        <v>196</v>
      </c>
      <c r="B69" t="s">
        <v>197</v>
      </c>
      <c r="C69" t="s">
        <v>122</v>
      </c>
      <c r="D69" t="s">
        <v>49</v>
      </c>
      <c r="E69" s="1">
        <v>45794</v>
      </c>
      <c r="F69" s="1">
        <v>45796</v>
      </c>
      <c r="G69" t="s">
        <v>116</v>
      </c>
      <c r="H69" t="s">
        <v>23</v>
      </c>
      <c r="I69" t="s">
        <v>31</v>
      </c>
      <c r="J69">
        <v>58</v>
      </c>
      <c r="K69" t="s">
        <v>38</v>
      </c>
      <c r="L69" t="s">
        <v>26</v>
      </c>
      <c r="M69" t="s">
        <v>27</v>
      </c>
      <c r="N69">
        <v>1.3</v>
      </c>
      <c r="O69" s="3">
        <v>6763.12</v>
      </c>
      <c r="P69">
        <v>1</v>
      </c>
      <c r="Q69">
        <v>3.6</v>
      </c>
      <c r="R69">
        <v>0.79</v>
      </c>
      <c r="S69" t="str">
        <f t="shared" si="1"/>
        <v>May</v>
      </c>
    </row>
    <row r="70" spans="1:19" x14ac:dyDescent="0.2">
      <c r="A70" t="s">
        <v>198</v>
      </c>
      <c r="B70" t="s">
        <v>199</v>
      </c>
      <c r="C70" t="s">
        <v>122</v>
      </c>
      <c r="D70" t="s">
        <v>42</v>
      </c>
      <c r="E70" s="1">
        <v>46005</v>
      </c>
      <c r="F70" s="1">
        <v>46007</v>
      </c>
      <c r="G70" t="s">
        <v>63</v>
      </c>
      <c r="H70" t="s">
        <v>23</v>
      </c>
      <c r="I70" t="s">
        <v>24</v>
      </c>
      <c r="J70">
        <v>77</v>
      </c>
      <c r="K70" t="s">
        <v>65</v>
      </c>
      <c r="L70" t="s">
        <v>26</v>
      </c>
      <c r="M70" t="s">
        <v>27</v>
      </c>
      <c r="N70">
        <v>1.4</v>
      </c>
      <c r="O70" s="3">
        <v>6763.12</v>
      </c>
      <c r="P70">
        <v>1</v>
      </c>
      <c r="Q70">
        <v>5</v>
      </c>
      <c r="R70">
        <v>0.73</v>
      </c>
      <c r="S70" t="str">
        <f t="shared" si="1"/>
        <v>December</v>
      </c>
    </row>
    <row r="71" spans="1:19" x14ac:dyDescent="0.2">
      <c r="A71" t="s">
        <v>200</v>
      </c>
      <c r="B71" t="s">
        <v>201</v>
      </c>
      <c r="C71" t="s">
        <v>30</v>
      </c>
      <c r="D71" t="s">
        <v>21</v>
      </c>
      <c r="E71" s="1">
        <v>45675</v>
      </c>
      <c r="F71" s="1">
        <v>45676</v>
      </c>
      <c r="G71" t="s">
        <v>63</v>
      </c>
      <c r="H71" t="s">
        <v>50</v>
      </c>
      <c r="I71" t="s">
        <v>55</v>
      </c>
      <c r="J71">
        <v>69</v>
      </c>
      <c r="K71" t="s">
        <v>169</v>
      </c>
      <c r="L71" t="s">
        <v>32</v>
      </c>
      <c r="M71" t="s">
        <v>39</v>
      </c>
      <c r="N71">
        <v>0.6</v>
      </c>
      <c r="O71" s="3">
        <v>6763.12</v>
      </c>
      <c r="P71">
        <v>0</v>
      </c>
      <c r="Q71">
        <v>4.3</v>
      </c>
      <c r="R71">
        <v>0.84</v>
      </c>
      <c r="S71" t="str">
        <f t="shared" si="1"/>
        <v>January</v>
      </c>
    </row>
    <row r="72" spans="1:19" x14ac:dyDescent="0.2">
      <c r="A72" t="s">
        <v>202</v>
      </c>
      <c r="B72" t="s">
        <v>203</v>
      </c>
      <c r="C72" t="s">
        <v>62</v>
      </c>
      <c r="D72" t="s">
        <v>42</v>
      </c>
      <c r="E72" s="1">
        <v>45792</v>
      </c>
      <c r="F72" s="1">
        <v>45793</v>
      </c>
      <c r="G72" t="s">
        <v>116</v>
      </c>
      <c r="H72" t="s">
        <v>50</v>
      </c>
      <c r="I72" t="s">
        <v>24</v>
      </c>
      <c r="J72">
        <v>59</v>
      </c>
      <c r="K72" t="s">
        <v>38</v>
      </c>
      <c r="L72" t="s">
        <v>32</v>
      </c>
      <c r="M72" t="s">
        <v>27</v>
      </c>
      <c r="N72">
        <v>0.3</v>
      </c>
      <c r="O72" s="3">
        <v>6763.12</v>
      </c>
      <c r="P72">
        <v>0</v>
      </c>
      <c r="Q72">
        <v>4.5</v>
      </c>
      <c r="R72">
        <v>0.82</v>
      </c>
      <c r="S72" t="str">
        <f t="shared" si="1"/>
        <v>May</v>
      </c>
    </row>
    <row r="73" spans="1:19" x14ac:dyDescent="0.2">
      <c r="A73" t="s">
        <v>204</v>
      </c>
      <c r="B73" t="s">
        <v>205</v>
      </c>
      <c r="C73" t="s">
        <v>30</v>
      </c>
      <c r="D73" t="s">
        <v>42</v>
      </c>
      <c r="E73" s="1">
        <v>45697</v>
      </c>
      <c r="F73" s="1">
        <v>45699</v>
      </c>
      <c r="G73" t="s">
        <v>71</v>
      </c>
      <c r="H73" t="s">
        <v>44</v>
      </c>
      <c r="I73" t="s">
        <v>31</v>
      </c>
      <c r="J73">
        <v>71</v>
      </c>
      <c r="K73" t="s">
        <v>169</v>
      </c>
      <c r="L73" t="s">
        <v>32</v>
      </c>
      <c r="M73" t="s">
        <v>39</v>
      </c>
      <c r="N73">
        <v>1.2</v>
      </c>
      <c r="O73" s="3">
        <v>6763.12</v>
      </c>
      <c r="P73">
        <v>0</v>
      </c>
      <c r="Q73">
        <v>3.3</v>
      </c>
      <c r="R73">
        <v>0.83</v>
      </c>
      <c r="S73" t="str">
        <f t="shared" si="1"/>
        <v>February</v>
      </c>
    </row>
    <row r="74" spans="1:19" x14ac:dyDescent="0.2">
      <c r="A74" t="s">
        <v>206</v>
      </c>
      <c r="B74" t="s">
        <v>207</v>
      </c>
      <c r="C74" t="s">
        <v>30</v>
      </c>
      <c r="D74" t="s">
        <v>35</v>
      </c>
      <c r="E74" s="1">
        <v>45998</v>
      </c>
      <c r="F74" s="1">
        <v>46005</v>
      </c>
      <c r="G74" t="s">
        <v>71</v>
      </c>
      <c r="H74" t="s">
        <v>23</v>
      </c>
      <c r="I74" t="s">
        <v>55</v>
      </c>
      <c r="J74">
        <v>25</v>
      </c>
      <c r="K74" t="s">
        <v>78</v>
      </c>
      <c r="L74" t="s">
        <v>26</v>
      </c>
      <c r="M74" t="s">
        <v>27</v>
      </c>
      <c r="N74">
        <v>6.4</v>
      </c>
      <c r="O74" s="3">
        <v>6763.12</v>
      </c>
      <c r="P74">
        <v>0</v>
      </c>
      <c r="Q74">
        <v>3.5</v>
      </c>
      <c r="R74">
        <v>0.8</v>
      </c>
      <c r="S74" t="str">
        <f t="shared" si="1"/>
        <v>December</v>
      </c>
    </row>
    <row r="75" spans="1:19" x14ac:dyDescent="0.2">
      <c r="A75" t="s">
        <v>208</v>
      </c>
      <c r="B75" t="s">
        <v>209</v>
      </c>
      <c r="C75" t="s">
        <v>30</v>
      </c>
      <c r="D75" t="s">
        <v>35</v>
      </c>
      <c r="E75" s="1">
        <v>45904</v>
      </c>
      <c r="F75" s="1">
        <v>45905</v>
      </c>
      <c r="G75" t="s">
        <v>22</v>
      </c>
      <c r="H75" t="s">
        <v>50</v>
      </c>
      <c r="I75" t="s">
        <v>64</v>
      </c>
      <c r="J75">
        <v>38</v>
      </c>
      <c r="K75" t="s">
        <v>25</v>
      </c>
      <c r="L75" t="s">
        <v>26</v>
      </c>
      <c r="M75" t="s">
        <v>27</v>
      </c>
      <c r="N75">
        <v>0.8</v>
      </c>
      <c r="O75" s="3">
        <v>6763.12</v>
      </c>
      <c r="P75">
        <v>0</v>
      </c>
      <c r="Q75">
        <v>3.5</v>
      </c>
      <c r="R75">
        <v>0.76</v>
      </c>
      <c r="S75" t="str">
        <f t="shared" si="1"/>
        <v>September</v>
      </c>
    </row>
    <row r="76" spans="1:19" x14ac:dyDescent="0.2">
      <c r="A76" t="s">
        <v>210</v>
      </c>
      <c r="B76" t="s">
        <v>211</v>
      </c>
      <c r="C76" t="s">
        <v>62</v>
      </c>
      <c r="D76" t="s">
        <v>49</v>
      </c>
      <c r="E76" s="1">
        <v>45936</v>
      </c>
      <c r="F76" s="1">
        <v>45937</v>
      </c>
      <c r="G76" t="s">
        <v>50</v>
      </c>
      <c r="H76" t="s">
        <v>50</v>
      </c>
      <c r="I76" t="s">
        <v>45</v>
      </c>
      <c r="J76">
        <v>36</v>
      </c>
      <c r="K76" t="s">
        <v>25</v>
      </c>
      <c r="L76" t="s">
        <v>26</v>
      </c>
      <c r="M76" t="s">
        <v>82</v>
      </c>
      <c r="N76">
        <v>0.6</v>
      </c>
      <c r="O76" s="3">
        <v>6763.12</v>
      </c>
      <c r="P76">
        <v>0</v>
      </c>
      <c r="Q76">
        <v>3.8</v>
      </c>
      <c r="R76">
        <v>0.82</v>
      </c>
      <c r="S76" t="str">
        <f t="shared" si="1"/>
        <v>October</v>
      </c>
    </row>
    <row r="77" spans="1:19" x14ac:dyDescent="0.2">
      <c r="A77" t="s">
        <v>212</v>
      </c>
      <c r="B77" t="s">
        <v>213</v>
      </c>
      <c r="C77" t="s">
        <v>20</v>
      </c>
      <c r="D77" t="s">
        <v>49</v>
      </c>
      <c r="E77" s="1">
        <v>45918</v>
      </c>
      <c r="F77" s="1">
        <v>45920</v>
      </c>
      <c r="G77" t="s">
        <v>68</v>
      </c>
      <c r="H77" t="s">
        <v>50</v>
      </c>
      <c r="I77" t="s">
        <v>64</v>
      </c>
      <c r="J77">
        <v>72</v>
      </c>
      <c r="K77" t="s">
        <v>169</v>
      </c>
      <c r="L77" t="s">
        <v>32</v>
      </c>
      <c r="M77" t="s">
        <v>82</v>
      </c>
      <c r="N77">
        <v>1.5</v>
      </c>
      <c r="O77" s="3">
        <v>6763.12</v>
      </c>
      <c r="P77">
        <v>0</v>
      </c>
      <c r="Q77">
        <v>3.8</v>
      </c>
      <c r="R77">
        <v>0.83</v>
      </c>
      <c r="S77" t="str">
        <f t="shared" si="1"/>
        <v>September</v>
      </c>
    </row>
    <row r="78" spans="1:19" x14ac:dyDescent="0.2">
      <c r="A78" t="s">
        <v>214</v>
      </c>
      <c r="B78" t="s">
        <v>215</v>
      </c>
      <c r="C78" t="s">
        <v>58</v>
      </c>
      <c r="D78" t="s">
        <v>21</v>
      </c>
      <c r="E78" s="1">
        <v>45897</v>
      </c>
      <c r="F78" s="1">
        <v>45900</v>
      </c>
      <c r="G78" t="s">
        <v>99</v>
      </c>
      <c r="H78" t="s">
        <v>50</v>
      </c>
      <c r="I78" t="s">
        <v>31</v>
      </c>
      <c r="J78">
        <v>37</v>
      </c>
      <c r="K78" t="s">
        <v>25</v>
      </c>
      <c r="L78" t="s">
        <v>26</v>
      </c>
      <c r="M78" t="s">
        <v>27</v>
      </c>
      <c r="N78">
        <v>2.2000000000000002</v>
      </c>
      <c r="O78" s="3">
        <v>6763.12</v>
      </c>
      <c r="P78">
        <v>0</v>
      </c>
      <c r="Q78">
        <v>3.6</v>
      </c>
      <c r="R78">
        <v>0.77</v>
      </c>
      <c r="S78" t="str">
        <f t="shared" si="1"/>
        <v>August</v>
      </c>
    </row>
    <row r="79" spans="1:19" x14ac:dyDescent="0.2">
      <c r="A79" t="s">
        <v>216</v>
      </c>
      <c r="B79" t="s">
        <v>217</v>
      </c>
      <c r="C79" t="s">
        <v>122</v>
      </c>
      <c r="D79" t="s">
        <v>49</v>
      </c>
      <c r="E79" s="1">
        <v>45940</v>
      </c>
      <c r="F79" s="1">
        <v>45942</v>
      </c>
      <c r="G79" t="s">
        <v>50</v>
      </c>
      <c r="H79" t="s">
        <v>50</v>
      </c>
      <c r="I79" t="s">
        <v>55</v>
      </c>
      <c r="J79">
        <v>85</v>
      </c>
      <c r="K79" t="s">
        <v>65</v>
      </c>
      <c r="L79" t="s">
        <v>26</v>
      </c>
      <c r="M79" t="s">
        <v>39</v>
      </c>
      <c r="N79">
        <v>1.4</v>
      </c>
      <c r="O79" s="3">
        <v>6763.12</v>
      </c>
      <c r="P79">
        <v>0</v>
      </c>
      <c r="Q79">
        <v>3.5</v>
      </c>
      <c r="R79">
        <v>0.78</v>
      </c>
      <c r="S79" t="str">
        <f t="shared" si="1"/>
        <v>October</v>
      </c>
    </row>
    <row r="80" spans="1:19" x14ac:dyDescent="0.2">
      <c r="A80" t="s">
        <v>218</v>
      </c>
      <c r="B80" t="s">
        <v>219</v>
      </c>
      <c r="C80" t="s">
        <v>30</v>
      </c>
      <c r="D80" t="s">
        <v>49</v>
      </c>
      <c r="E80" s="1">
        <v>45660</v>
      </c>
      <c r="F80" s="1">
        <v>45663</v>
      </c>
      <c r="G80" t="s">
        <v>36</v>
      </c>
      <c r="H80" t="s">
        <v>50</v>
      </c>
      <c r="I80" t="s">
        <v>24</v>
      </c>
      <c r="J80">
        <v>16</v>
      </c>
      <c r="K80" t="s">
        <v>46</v>
      </c>
      <c r="L80" t="s">
        <v>32</v>
      </c>
      <c r="M80" t="s">
        <v>27</v>
      </c>
      <c r="N80">
        <v>2.6</v>
      </c>
      <c r="O80" s="3">
        <v>6763.12</v>
      </c>
      <c r="P80">
        <v>0</v>
      </c>
      <c r="Q80">
        <v>3.4</v>
      </c>
      <c r="R80">
        <v>0.86</v>
      </c>
      <c r="S80" t="str">
        <f t="shared" si="1"/>
        <v>January</v>
      </c>
    </row>
    <row r="81" spans="1:19" x14ac:dyDescent="0.2">
      <c r="A81" t="s">
        <v>220</v>
      </c>
      <c r="B81" t="s">
        <v>221</v>
      </c>
      <c r="C81" t="s">
        <v>62</v>
      </c>
      <c r="D81" t="s">
        <v>49</v>
      </c>
      <c r="E81" s="1">
        <v>45973</v>
      </c>
      <c r="F81" s="1">
        <v>45977</v>
      </c>
      <c r="G81" t="s">
        <v>22</v>
      </c>
      <c r="H81" t="s">
        <v>44</v>
      </c>
      <c r="I81" t="s">
        <v>100</v>
      </c>
      <c r="J81">
        <v>15</v>
      </c>
      <c r="K81" t="s">
        <v>46</v>
      </c>
      <c r="L81" t="s">
        <v>32</v>
      </c>
      <c r="M81" t="s">
        <v>27</v>
      </c>
      <c r="N81">
        <v>3.5</v>
      </c>
      <c r="O81" s="3">
        <v>6763.12</v>
      </c>
      <c r="P81">
        <v>0</v>
      </c>
      <c r="Q81">
        <v>3.8</v>
      </c>
      <c r="R81">
        <v>0.83</v>
      </c>
      <c r="S81" t="str">
        <f t="shared" si="1"/>
        <v>November</v>
      </c>
    </row>
    <row r="82" spans="1:19" x14ac:dyDescent="0.2">
      <c r="A82" t="s">
        <v>222</v>
      </c>
      <c r="B82" t="s">
        <v>223</v>
      </c>
      <c r="C82" t="s">
        <v>30</v>
      </c>
      <c r="D82" t="s">
        <v>49</v>
      </c>
      <c r="E82" s="1">
        <v>45928</v>
      </c>
      <c r="F82" s="1">
        <v>45929</v>
      </c>
      <c r="G82" t="s">
        <v>68</v>
      </c>
      <c r="H82" t="s">
        <v>50</v>
      </c>
      <c r="I82" t="s">
        <v>31</v>
      </c>
      <c r="J82">
        <v>65</v>
      </c>
      <c r="K82" t="s">
        <v>169</v>
      </c>
      <c r="L82" t="s">
        <v>32</v>
      </c>
      <c r="M82" t="s">
        <v>82</v>
      </c>
      <c r="N82">
        <v>0.8</v>
      </c>
      <c r="O82" s="3">
        <v>6763.12</v>
      </c>
      <c r="P82">
        <v>0</v>
      </c>
      <c r="Q82">
        <v>4.5999999999999996</v>
      </c>
      <c r="R82">
        <v>0.82</v>
      </c>
      <c r="S82" t="str">
        <f t="shared" si="1"/>
        <v>September</v>
      </c>
    </row>
    <row r="83" spans="1:19" x14ac:dyDescent="0.2">
      <c r="A83" t="s">
        <v>224</v>
      </c>
      <c r="B83" t="s">
        <v>225</v>
      </c>
      <c r="C83" t="s">
        <v>30</v>
      </c>
      <c r="D83" t="s">
        <v>35</v>
      </c>
      <c r="E83" s="1">
        <v>45927</v>
      </c>
      <c r="F83" s="1">
        <v>45935</v>
      </c>
      <c r="G83" t="s">
        <v>71</v>
      </c>
      <c r="H83" t="s">
        <v>50</v>
      </c>
      <c r="I83" t="s">
        <v>64</v>
      </c>
      <c r="J83">
        <v>69</v>
      </c>
      <c r="K83" t="s">
        <v>169</v>
      </c>
      <c r="L83" t="s">
        <v>32</v>
      </c>
      <c r="M83" t="s">
        <v>27</v>
      </c>
      <c r="N83">
        <v>7.4</v>
      </c>
      <c r="O83" s="3">
        <v>6763.12</v>
      </c>
      <c r="P83">
        <v>0</v>
      </c>
      <c r="Q83">
        <v>2.8</v>
      </c>
      <c r="R83">
        <v>0.8</v>
      </c>
      <c r="S83" t="str">
        <f t="shared" si="1"/>
        <v>September</v>
      </c>
    </row>
    <row r="84" spans="1:19" x14ac:dyDescent="0.2">
      <c r="A84" t="s">
        <v>226</v>
      </c>
      <c r="B84" t="s">
        <v>227</v>
      </c>
      <c r="C84" t="s">
        <v>20</v>
      </c>
      <c r="D84" t="s">
        <v>35</v>
      </c>
      <c r="E84" s="1">
        <v>45801</v>
      </c>
      <c r="F84" s="1">
        <v>45813</v>
      </c>
      <c r="G84" t="s">
        <v>71</v>
      </c>
      <c r="H84" t="s">
        <v>50</v>
      </c>
      <c r="I84" t="s">
        <v>64</v>
      </c>
      <c r="J84">
        <v>61</v>
      </c>
      <c r="K84" t="s">
        <v>38</v>
      </c>
      <c r="L84" t="s">
        <v>32</v>
      </c>
      <c r="M84" t="s">
        <v>39</v>
      </c>
      <c r="N84">
        <v>11.4</v>
      </c>
      <c r="O84" s="3">
        <v>6763.12</v>
      </c>
      <c r="P84">
        <v>0</v>
      </c>
      <c r="Q84">
        <v>3.9</v>
      </c>
      <c r="R84">
        <v>0.84</v>
      </c>
      <c r="S84" t="str">
        <f t="shared" si="1"/>
        <v>May</v>
      </c>
    </row>
    <row r="85" spans="1:19" x14ac:dyDescent="0.2">
      <c r="A85" t="s">
        <v>228</v>
      </c>
      <c r="B85" t="s">
        <v>229</v>
      </c>
      <c r="C85" t="s">
        <v>30</v>
      </c>
      <c r="D85" t="s">
        <v>35</v>
      </c>
      <c r="E85" s="1">
        <v>45950</v>
      </c>
      <c r="F85" s="1">
        <v>45956</v>
      </c>
      <c r="G85" t="s">
        <v>59</v>
      </c>
      <c r="H85" t="s">
        <v>50</v>
      </c>
      <c r="I85" t="s">
        <v>100</v>
      </c>
      <c r="J85">
        <v>28</v>
      </c>
      <c r="K85" t="s">
        <v>78</v>
      </c>
      <c r="L85" t="s">
        <v>32</v>
      </c>
      <c r="M85" t="s">
        <v>39</v>
      </c>
      <c r="N85">
        <v>5.6</v>
      </c>
      <c r="O85" s="3">
        <v>6763.12</v>
      </c>
      <c r="P85">
        <v>0</v>
      </c>
      <c r="Q85">
        <v>4.5999999999999996</v>
      </c>
      <c r="R85">
        <v>0.83</v>
      </c>
      <c r="S85" t="str">
        <f t="shared" si="1"/>
        <v>October</v>
      </c>
    </row>
    <row r="86" spans="1:19" x14ac:dyDescent="0.2">
      <c r="A86" t="s">
        <v>230</v>
      </c>
      <c r="B86" t="s">
        <v>231</v>
      </c>
      <c r="C86" t="s">
        <v>30</v>
      </c>
      <c r="D86" t="s">
        <v>42</v>
      </c>
      <c r="E86" s="1">
        <v>45797</v>
      </c>
      <c r="F86" s="1">
        <v>45798</v>
      </c>
      <c r="G86" t="s">
        <v>116</v>
      </c>
      <c r="H86" t="s">
        <v>23</v>
      </c>
      <c r="I86" t="s">
        <v>51</v>
      </c>
      <c r="J86">
        <v>0</v>
      </c>
      <c r="K86" t="s">
        <v>103</v>
      </c>
      <c r="L86" t="s">
        <v>32</v>
      </c>
      <c r="M86" t="s">
        <v>27</v>
      </c>
      <c r="N86">
        <v>0.7</v>
      </c>
      <c r="O86" s="3">
        <v>6763.12</v>
      </c>
      <c r="P86">
        <v>0</v>
      </c>
      <c r="Q86">
        <v>3.8</v>
      </c>
      <c r="R86">
        <v>0.8</v>
      </c>
      <c r="S86" t="str">
        <f t="shared" si="1"/>
        <v>May</v>
      </c>
    </row>
    <row r="87" spans="1:19" x14ac:dyDescent="0.2">
      <c r="A87" t="s">
        <v>232</v>
      </c>
      <c r="B87" t="s">
        <v>233</v>
      </c>
      <c r="C87" t="s">
        <v>62</v>
      </c>
      <c r="D87" t="s">
        <v>42</v>
      </c>
      <c r="E87" s="1">
        <v>45675</v>
      </c>
      <c r="F87" s="1">
        <v>45679</v>
      </c>
      <c r="G87" t="s">
        <v>116</v>
      </c>
      <c r="H87" t="s">
        <v>50</v>
      </c>
      <c r="I87" t="s">
        <v>51</v>
      </c>
      <c r="J87">
        <v>29</v>
      </c>
      <c r="K87" t="s">
        <v>78</v>
      </c>
      <c r="L87" t="s">
        <v>32</v>
      </c>
      <c r="M87" t="s">
        <v>27</v>
      </c>
      <c r="N87">
        <v>3.1</v>
      </c>
      <c r="O87" s="3">
        <v>6763.12</v>
      </c>
      <c r="P87">
        <v>0</v>
      </c>
      <c r="Q87">
        <v>3.6</v>
      </c>
      <c r="R87">
        <v>0.78</v>
      </c>
      <c r="S87" t="str">
        <f t="shared" si="1"/>
        <v>January</v>
      </c>
    </row>
    <row r="88" spans="1:19" x14ac:dyDescent="0.2">
      <c r="A88" t="s">
        <v>234</v>
      </c>
      <c r="B88" t="s">
        <v>235</v>
      </c>
      <c r="C88" t="s">
        <v>20</v>
      </c>
      <c r="D88" t="s">
        <v>42</v>
      </c>
      <c r="E88" s="1">
        <v>45989</v>
      </c>
      <c r="F88" s="1">
        <v>45993</v>
      </c>
      <c r="G88" t="s">
        <v>71</v>
      </c>
      <c r="H88" t="s">
        <v>23</v>
      </c>
      <c r="I88" t="s">
        <v>37</v>
      </c>
      <c r="J88">
        <v>42</v>
      </c>
      <c r="K88" t="s">
        <v>25</v>
      </c>
      <c r="L88" t="s">
        <v>32</v>
      </c>
      <c r="M88" t="s">
        <v>27</v>
      </c>
      <c r="N88">
        <v>3.9</v>
      </c>
      <c r="O88" s="3">
        <v>6763.12</v>
      </c>
      <c r="P88">
        <v>0</v>
      </c>
      <c r="Q88">
        <v>4.5</v>
      </c>
      <c r="R88">
        <v>0.84</v>
      </c>
      <c r="S88" t="str">
        <f t="shared" si="1"/>
        <v>November</v>
      </c>
    </row>
    <row r="89" spans="1:19" x14ac:dyDescent="0.2">
      <c r="A89" t="s">
        <v>236</v>
      </c>
      <c r="B89" t="s">
        <v>237</v>
      </c>
      <c r="C89" t="s">
        <v>122</v>
      </c>
      <c r="D89" t="s">
        <v>35</v>
      </c>
      <c r="E89" s="1">
        <v>45743</v>
      </c>
      <c r="F89" s="1">
        <v>45746</v>
      </c>
      <c r="G89" t="s">
        <v>68</v>
      </c>
      <c r="H89" t="s">
        <v>23</v>
      </c>
      <c r="I89" t="s">
        <v>55</v>
      </c>
      <c r="J89">
        <v>37</v>
      </c>
      <c r="K89" t="s">
        <v>25</v>
      </c>
      <c r="L89" t="s">
        <v>26</v>
      </c>
      <c r="M89" t="s">
        <v>52</v>
      </c>
      <c r="N89">
        <v>3</v>
      </c>
      <c r="O89" s="3">
        <v>6763.12</v>
      </c>
      <c r="P89">
        <v>0</v>
      </c>
      <c r="Q89">
        <v>3.3</v>
      </c>
      <c r="R89">
        <v>0.75</v>
      </c>
      <c r="S89" t="str">
        <f t="shared" si="1"/>
        <v>March</v>
      </c>
    </row>
    <row r="90" spans="1:19" x14ac:dyDescent="0.2">
      <c r="A90" t="s">
        <v>238</v>
      </c>
      <c r="B90" t="s">
        <v>239</v>
      </c>
      <c r="C90" t="s">
        <v>122</v>
      </c>
      <c r="D90" t="s">
        <v>49</v>
      </c>
      <c r="E90" s="1">
        <v>45695</v>
      </c>
      <c r="F90" s="1">
        <v>45702</v>
      </c>
      <c r="G90" t="s">
        <v>63</v>
      </c>
      <c r="H90" t="s">
        <v>50</v>
      </c>
      <c r="I90" t="s">
        <v>24</v>
      </c>
      <c r="J90">
        <v>83</v>
      </c>
      <c r="K90" t="s">
        <v>65</v>
      </c>
      <c r="L90" t="s">
        <v>32</v>
      </c>
      <c r="M90" t="s">
        <v>39</v>
      </c>
      <c r="N90">
        <v>6.7</v>
      </c>
      <c r="O90" s="3">
        <v>6763.12</v>
      </c>
      <c r="P90">
        <v>1</v>
      </c>
      <c r="Q90">
        <v>3.9</v>
      </c>
      <c r="R90">
        <v>0.78</v>
      </c>
      <c r="S90" t="str">
        <f t="shared" si="1"/>
        <v>February</v>
      </c>
    </row>
    <row r="91" spans="1:19" x14ac:dyDescent="0.2">
      <c r="A91" t="s">
        <v>240</v>
      </c>
      <c r="B91" t="s">
        <v>241</v>
      </c>
      <c r="C91" t="s">
        <v>58</v>
      </c>
      <c r="D91" t="s">
        <v>35</v>
      </c>
      <c r="E91" s="1">
        <v>45884</v>
      </c>
      <c r="F91" s="1">
        <v>45886</v>
      </c>
      <c r="G91" t="s">
        <v>22</v>
      </c>
      <c r="H91" t="s">
        <v>23</v>
      </c>
      <c r="I91" t="s">
        <v>81</v>
      </c>
      <c r="J91">
        <v>78</v>
      </c>
      <c r="K91" t="s">
        <v>65</v>
      </c>
      <c r="L91" t="s">
        <v>32</v>
      </c>
      <c r="M91" t="s">
        <v>27</v>
      </c>
      <c r="N91">
        <v>1.3</v>
      </c>
      <c r="O91" s="3">
        <v>6763.12</v>
      </c>
      <c r="P91">
        <v>0</v>
      </c>
      <c r="Q91">
        <v>3.3</v>
      </c>
      <c r="R91">
        <v>0.84</v>
      </c>
      <c r="S91" t="str">
        <f t="shared" si="1"/>
        <v>August</v>
      </c>
    </row>
    <row r="92" spans="1:19" x14ac:dyDescent="0.2">
      <c r="A92" t="s">
        <v>242</v>
      </c>
      <c r="B92" t="s">
        <v>243</v>
      </c>
      <c r="C92" t="s">
        <v>30</v>
      </c>
      <c r="D92" t="s">
        <v>21</v>
      </c>
      <c r="E92" s="1">
        <v>45743</v>
      </c>
      <c r="F92" s="1">
        <v>45746</v>
      </c>
      <c r="G92" t="s">
        <v>63</v>
      </c>
      <c r="H92" t="s">
        <v>44</v>
      </c>
      <c r="I92" t="s">
        <v>31</v>
      </c>
      <c r="J92">
        <v>70</v>
      </c>
      <c r="K92" t="s">
        <v>169</v>
      </c>
      <c r="L92" t="s">
        <v>26</v>
      </c>
      <c r="M92" t="s">
        <v>27</v>
      </c>
      <c r="N92">
        <v>2.2000000000000002</v>
      </c>
      <c r="O92" s="3">
        <v>6763.12</v>
      </c>
      <c r="P92">
        <v>1</v>
      </c>
      <c r="Q92">
        <v>2.8</v>
      </c>
      <c r="R92">
        <v>0.85</v>
      </c>
      <c r="S92" t="str">
        <f t="shared" si="1"/>
        <v>March</v>
      </c>
    </row>
    <row r="93" spans="1:19" x14ac:dyDescent="0.2">
      <c r="A93" t="s">
        <v>244</v>
      </c>
      <c r="B93" t="s">
        <v>245</v>
      </c>
      <c r="C93" t="s">
        <v>30</v>
      </c>
      <c r="D93" t="s">
        <v>35</v>
      </c>
      <c r="E93" s="1">
        <v>45971</v>
      </c>
      <c r="F93" s="1">
        <v>45992</v>
      </c>
      <c r="G93" t="s">
        <v>59</v>
      </c>
      <c r="H93" t="s">
        <v>50</v>
      </c>
      <c r="I93" t="s">
        <v>100</v>
      </c>
      <c r="J93">
        <v>2</v>
      </c>
      <c r="K93" t="s">
        <v>103</v>
      </c>
      <c r="L93" t="s">
        <v>26</v>
      </c>
      <c r="M93" t="s">
        <v>39</v>
      </c>
      <c r="N93">
        <v>21</v>
      </c>
      <c r="O93" s="3">
        <v>6763.12</v>
      </c>
      <c r="P93">
        <v>0</v>
      </c>
      <c r="Q93">
        <v>3.5</v>
      </c>
      <c r="R93">
        <v>0.88</v>
      </c>
      <c r="S93" t="str">
        <f t="shared" si="1"/>
        <v>November</v>
      </c>
    </row>
    <row r="94" spans="1:19" x14ac:dyDescent="0.2">
      <c r="A94" t="s">
        <v>246</v>
      </c>
      <c r="B94" t="s">
        <v>247</v>
      </c>
      <c r="C94" t="s">
        <v>58</v>
      </c>
      <c r="D94" t="s">
        <v>42</v>
      </c>
      <c r="E94" s="1">
        <v>45819</v>
      </c>
      <c r="F94" s="1">
        <v>45822</v>
      </c>
      <c r="G94" t="s">
        <v>22</v>
      </c>
      <c r="H94" t="s">
        <v>50</v>
      </c>
      <c r="I94" t="s">
        <v>24</v>
      </c>
      <c r="J94">
        <v>11</v>
      </c>
      <c r="K94" t="s">
        <v>103</v>
      </c>
      <c r="L94" t="s">
        <v>32</v>
      </c>
      <c r="M94" t="s">
        <v>27</v>
      </c>
      <c r="N94">
        <v>2.9</v>
      </c>
      <c r="O94" s="3">
        <v>6763.12</v>
      </c>
      <c r="P94">
        <v>0</v>
      </c>
      <c r="Q94">
        <v>3.1</v>
      </c>
      <c r="R94">
        <v>0.73</v>
      </c>
      <c r="S94" t="str">
        <f t="shared" si="1"/>
        <v>June</v>
      </c>
    </row>
    <row r="95" spans="1:19" x14ac:dyDescent="0.2">
      <c r="A95" t="s">
        <v>248</v>
      </c>
      <c r="B95" t="s">
        <v>249</v>
      </c>
      <c r="C95" t="s">
        <v>58</v>
      </c>
      <c r="D95" t="s">
        <v>35</v>
      </c>
      <c r="E95" s="1">
        <v>45659</v>
      </c>
      <c r="F95" s="1">
        <v>45665</v>
      </c>
      <c r="G95" t="s">
        <v>68</v>
      </c>
      <c r="H95" t="s">
        <v>44</v>
      </c>
      <c r="I95" t="s">
        <v>100</v>
      </c>
      <c r="J95">
        <v>39</v>
      </c>
      <c r="K95" t="s">
        <v>25</v>
      </c>
      <c r="L95" t="s">
        <v>32</v>
      </c>
      <c r="M95" t="s">
        <v>39</v>
      </c>
      <c r="N95">
        <v>5.2</v>
      </c>
      <c r="O95" s="3">
        <v>6763.12</v>
      </c>
      <c r="P95">
        <v>0</v>
      </c>
      <c r="Q95">
        <v>3.9</v>
      </c>
      <c r="R95">
        <v>0.79</v>
      </c>
      <c r="S95" t="str">
        <f t="shared" si="1"/>
        <v>January</v>
      </c>
    </row>
    <row r="96" spans="1:19" x14ac:dyDescent="0.2">
      <c r="A96" t="s">
        <v>250</v>
      </c>
      <c r="B96" t="s">
        <v>251</v>
      </c>
      <c r="C96" t="s">
        <v>62</v>
      </c>
      <c r="D96" t="s">
        <v>49</v>
      </c>
      <c r="E96" s="1">
        <v>46005</v>
      </c>
      <c r="F96" s="1">
        <v>46010</v>
      </c>
      <c r="G96" t="s">
        <v>68</v>
      </c>
      <c r="H96" t="s">
        <v>44</v>
      </c>
      <c r="I96" t="s">
        <v>55</v>
      </c>
      <c r="J96">
        <v>56</v>
      </c>
      <c r="K96" t="s">
        <v>38</v>
      </c>
      <c r="L96" t="s">
        <v>32</v>
      </c>
      <c r="M96" t="s">
        <v>82</v>
      </c>
      <c r="N96">
        <v>4.4000000000000004</v>
      </c>
      <c r="O96" s="3">
        <v>6763.12</v>
      </c>
      <c r="P96">
        <v>0</v>
      </c>
      <c r="Q96">
        <v>4.5999999999999996</v>
      </c>
      <c r="R96">
        <v>0.84</v>
      </c>
      <c r="S96" t="str">
        <f t="shared" si="1"/>
        <v>December</v>
      </c>
    </row>
    <row r="97" spans="1:19" x14ac:dyDescent="0.2">
      <c r="A97" t="s">
        <v>252</v>
      </c>
      <c r="B97" t="s">
        <v>253</v>
      </c>
      <c r="C97" t="s">
        <v>122</v>
      </c>
      <c r="D97" t="s">
        <v>42</v>
      </c>
      <c r="E97" s="1">
        <v>45845</v>
      </c>
      <c r="F97" s="1">
        <v>45855</v>
      </c>
      <c r="G97" t="s">
        <v>71</v>
      </c>
      <c r="H97" t="s">
        <v>50</v>
      </c>
      <c r="I97" t="s">
        <v>45</v>
      </c>
      <c r="J97">
        <v>61</v>
      </c>
      <c r="K97" t="s">
        <v>38</v>
      </c>
      <c r="L97" t="s">
        <v>26</v>
      </c>
      <c r="M97" t="s">
        <v>39</v>
      </c>
      <c r="N97">
        <v>9.3000000000000007</v>
      </c>
      <c r="O97" s="3">
        <v>6763.12</v>
      </c>
      <c r="P97">
        <v>0</v>
      </c>
      <c r="Q97">
        <v>4.8</v>
      </c>
      <c r="R97">
        <v>0.79</v>
      </c>
      <c r="S97" t="str">
        <f t="shared" si="1"/>
        <v>July</v>
      </c>
    </row>
    <row r="98" spans="1:19" x14ac:dyDescent="0.2">
      <c r="A98" t="s">
        <v>254</v>
      </c>
      <c r="B98" t="s">
        <v>255</v>
      </c>
      <c r="C98" t="s">
        <v>30</v>
      </c>
      <c r="D98" t="s">
        <v>49</v>
      </c>
      <c r="E98" s="1">
        <v>45753</v>
      </c>
      <c r="F98" s="1">
        <v>45755</v>
      </c>
      <c r="G98" t="s">
        <v>50</v>
      </c>
      <c r="H98" t="s">
        <v>23</v>
      </c>
      <c r="I98" t="s">
        <v>31</v>
      </c>
      <c r="J98">
        <v>26</v>
      </c>
      <c r="K98" t="s">
        <v>78</v>
      </c>
      <c r="L98" t="s">
        <v>32</v>
      </c>
      <c r="M98" t="s">
        <v>27</v>
      </c>
      <c r="N98">
        <v>1.2</v>
      </c>
      <c r="O98" s="3">
        <v>6763.12</v>
      </c>
      <c r="P98">
        <v>0</v>
      </c>
      <c r="Q98">
        <v>3.8</v>
      </c>
      <c r="R98">
        <v>0.9</v>
      </c>
      <c r="S98" t="str">
        <f t="shared" si="1"/>
        <v>April</v>
      </c>
    </row>
    <row r="99" spans="1:19" x14ac:dyDescent="0.2">
      <c r="A99" t="s">
        <v>256</v>
      </c>
      <c r="B99" t="s">
        <v>257</v>
      </c>
      <c r="C99" t="s">
        <v>20</v>
      </c>
      <c r="D99" t="s">
        <v>35</v>
      </c>
      <c r="E99" s="1">
        <v>45905</v>
      </c>
      <c r="F99" s="1">
        <v>45912</v>
      </c>
      <c r="G99" t="s">
        <v>99</v>
      </c>
      <c r="H99" t="s">
        <v>50</v>
      </c>
      <c r="I99" t="s">
        <v>45</v>
      </c>
      <c r="J99">
        <v>10</v>
      </c>
      <c r="K99" t="s">
        <v>103</v>
      </c>
      <c r="L99" t="s">
        <v>32</v>
      </c>
      <c r="M99" t="s">
        <v>27</v>
      </c>
      <c r="N99">
        <v>6.2</v>
      </c>
      <c r="O99" s="3">
        <v>6763.12</v>
      </c>
      <c r="P99">
        <v>0</v>
      </c>
      <c r="Q99">
        <v>4.5</v>
      </c>
      <c r="R99">
        <v>0.79</v>
      </c>
      <c r="S99" t="str">
        <f t="shared" si="1"/>
        <v>September</v>
      </c>
    </row>
    <row r="100" spans="1:19" x14ac:dyDescent="0.2">
      <c r="A100" t="s">
        <v>258</v>
      </c>
      <c r="B100" t="s">
        <v>259</v>
      </c>
      <c r="C100" t="s">
        <v>58</v>
      </c>
      <c r="D100" t="s">
        <v>42</v>
      </c>
      <c r="E100" s="1">
        <v>45851</v>
      </c>
      <c r="F100" s="1">
        <v>45853</v>
      </c>
      <c r="G100" t="s">
        <v>43</v>
      </c>
      <c r="H100" t="s">
        <v>23</v>
      </c>
      <c r="I100" t="s">
        <v>81</v>
      </c>
      <c r="J100">
        <v>29</v>
      </c>
      <c r="K100" t="s">
        <v>78</v>
      </c>
      <c r="L100" t="s">
        <v>26</v>
      </c>
      <c r="M100" t="s">
        <v>27</v>
      </c>
      <c r="N100">
        <v>1.5</v>
      </c>
      <c r="O100" s="3">
        <v>6763.12</v>
      </c>
      <c r="P100">
        <v>0</v>
      </c>
      <c r="Q100">
        <v>4.0999999999999996</v>
      </c>
      <c r="R100">
        <v>0.75</v>
      </c>
      <c r="S100" t="str">
        <f t="shared" si="1"/>
        <v>July</v>
      </c>
    </row>
    <row r="101" spans="1:19" x14ac:dyDescent="0.2">
      <c r="A101" t="s">
        <v>260</v>
      </c>
      <c r="B101" t="s">
        <v>261</v>
      </c>
      <c r="C101" t="s">
        <v>30</v>
      </c>
      <c r="D101" t="s">
        <v>49</v>
      </c>
      <c r="E101" s="1">
        <v>45668</v>
      </c>
      <c r="F101" s="1">
        <v>45669</v>
      </c>
      <c r="G101" t="s">
        <v>71</v>
      </c>
      <c r="H101" t="s">
        <v>50</v>
      </c>
      <c r="I101" t="s">
        <v>117</v>
      </c>
      <c r="J101">
        <v>72</v>
      </c>
      <c r="K101" t="s">
        <v>169</v>
      </c>
      <c r="L101" t="s">
        <v>26</v>
      </c>
      <c r="M101" t="s">
        <v>39</v>
      </c>
      <c r="N101">
        <v>0.8</v>
      </c>
      <c r="O101" s="3">
        <v>6763.12</v>
      </c>
      <c r="P101">
        <v>0</v>
      </c>
      <c r="Q101">
        <v>3.7</v>
      </c>
      <c r="R101">
        <v>0.78</v>
      </c>
      <c r="S101" t="str">
        <f t="shared" si="1"/>
        <v>January</v>
      </c>
    </row>
    <row r="102" spans="1:19" x14ac:dyDescent="0.2">
      <c r="A102" t="s">
        <v>262</v>
      </c>
      <c r="B102" t="s">
        <v>263</v>
      </c>
      <c r="C102" t="s">
        <v>20</v>
      </c>
      <c r="D102" t="s">
        <v>21</v>
      </c>
      <c r="E102" s="1">
        <v>45935</v>
      </c>
      <c r="F102" s="1">
        <v>45937</v>
      </c>
      <c r="G102" t="s">
        <v>99</v>
      </c>
      <c r="H102" t="s">
        <v>50</v>
      </c>
      <c r="I102" t="s">
        <v>45</v>
      </c>
      <c r="J102">
        <v>89</v>
      </c>
      <c r="K102" t="s">
        <v>65</v>
      </c>
      <c r="L102" t="s">
        <v>32</v>
      </c>
      <c r="M102" t="s">
        <v>82</v>
      </c>
      <c r="N102">
        <v>1.4</v>
      </c>
      <c r="O102" s="3">
        <v>6763.12</v>
      </c>
      <c r="P102">
        <v>0</v>
      </c>
      <c r="Q102">
        <v>2.7</v>
      </c>
      <c r="R102">
        <v>0.84</v>
      </c>
      <c r="S102" t="str">
        <f t="shared" si="1"/>
        <v>October</v>
      </c>
    </row>
    <row r="103" spans="1:19" x14ac:dyDescent="0.2">
      <c r="A103" t="s">
        <v>264</v>
      </c>
      <c r="B103" t="s">
        <v>265</v>
      </c>
      <c r="C103" t="s">
        <v>30</v>
      </c>
      <c r="D103" t="s">
        <v>49</v>
      </c>
      <c r="E103" s="1">
        <v>45804</v>
      </c>
      <c r="F103" s="1">
        <v>45806</v>
      </c>
      <c r="G103" t="s">
        <v>22</v>
      </c>
      <c r="H103" t="s">
        <v>23</v>
      </c>
      <c r="I103" t="s">
        <v>100</v>
      </c>
      <c r="J103">
        <v>85</v>
      </c>
      <c r="K103" t="s">
        <v>65</v>
      </c>
      <c r="L103" t="s">
        <v>32</v>
      </c>
      <c r="M103" t="s">
        <v>27</v>
      </c>
      <c r="N103">
        <v>1.6</v>
      </c>
      <c r="O103" s="3">
        <v>6763.12</v>
      </c>
      <c r="P103">
        <v>0</v>
      </c>
      <c r="Q103">
        <v>4.9000000000000004</v>
      </c>
      <c r="R103">
        <v>0.8</v>
      </c>
      <c r="S103" t="str">
        <f t="shared" si="1"/>
        <v>May</v>
      </c>
    </row>
    <row r="104" spans="1:19" x14ac:dyDescent="0.2">
      <c r="A104" t="s">
        <v>266</v>
      </c>
      <c r="B104" t="s">
        <v>267</v>
      </c>
      <c r="C104" t="s">
        <v>62</v>
      </c>
      <c r="D104" t="s">
        <v>42</v>
      </c>
      <c r="E104" s="1">
        <v>45913</v>
      </c>
      <c r="F104" s="1">
        <v>45916</v>
      </c>
      <c r="G104" t="s">
        <v>43</v>
      </c>
      <c r="H104" t="s">
        <v>44</v>
      </c>
      <c r="I104" t="s">
        <v>31</v>
      </c>
      <c r="J104">
        <v>53</v>
      </c>
      <c r="K104" t="s">
        <v>38</v>
      </c>
      <c r="L104" t="s">
        <v>32</v>
      </c>
      <c r="M104" t="s">
        <v>39</v>
      </c>
      <c r="N104">
        <v>2.1</v>
      </c>
      <c r="O104" s="3">
        <v>6763.12</v>
      </c>
      <c r="P104">
        <v>0</v>
      </c>
      <c r="Q104">
        <v>3.3</v>
      </c>
      <c r="R104">
        <v>0.88</v>
      </c>
      <c r="S104" t="str">
        <f t="shared" si="1"/>
        <v>September</v>
      </c>
    </row>
    <row r="105" spans="1:19" x14ac:dyDescent="0.2">
      <c r="A105" t="s">
        <v>268</v>
      </c>
      <c r="B105" t="s">
        <v>269</v>
      </c>
      <c r="C105" t="s">
        <v>62</v>
      </c>
      <c r="D105" t="s">
        <v>21</v>
      </c>
      <c r="E105" s="1">
        <v>45984</v>
      </c>
      <c r="F105" s="1">
        <v>45987</v>
      </c>
      <c r="G105" t="s">
        <v>99</v>
      </c>
      <c r="H105" t="s">
        <v>23</v>
      </c>
      <c r="I105" t="s">
        <v>81</v>
      </c>
      <c r="J105">
        <v>8</v>
      </c>
      <c r="K105" t="s">
        <v>103</v>
      </c>
      <c r="L105" t="s">
        <v>26</v>
      </c>
      <c r="M105" t="s">
        <v>39</v>
      </c>
      <c r="N105">
        <v>2.9</v>
      </c>
      <c r="O105" s="3">
        <v>6763.12</v>
      </c>
      <c r="P105">
        <v>0</v>
      </c>
      <c r="Q105">
        <v>4.7</v>
      </c>
      <c r="R105">
        <v>0.77</v>
      </c>
      <c r="S105" t="str">
        <f t="shared" si="1"/>
        <v>November</v>
      </c>
    </row>
    <row r="106" spans="1:19" x14ac:dyDescent="0.2">
      <c r="A106" t="s">
        <v>270</v>
      </c>
      <c r="B106" t="s">
        <v>271</v>
      </c>
      <c r="C106" t="s">
        <v>20</v>
      </c>
      <c r="D106" t="s">
        <v>49</v>
      </c>
      <c r="E106" s="1">
        <v>45880</v>
      </c>
      <c r="F106" s="1">
        <v>45882</v>
      </c>
      <c r="G106" t="s">
        <v>36</v>
      </c>
      <c r="H106" t="s">
        <v>50</v>
      </c>
      <c r="I106" t="s">
        <v>55</v>
      </c>
      <c r="J106">
        <v>88</v>
      </c>
      <c r="K106" t="s">
        <v>65</v>
      </c>
      <c r="L106" t="s">
        <v>26</v>
      </c>
      <c r="M106" t="s">
        <v>27</v>
      </c>
      <c r="N106">
        <v>1.8</v>
      </c>
      <c r="O106" s="3">
        <v>6763.12</v>
      </c>
      <c r="P106">
        <v>1</v>
      </c>
      <c r="Q106">
        <v>4.2</v>
      </c>
      <c r="R106">
        <v>0.82</v>
      </c>
      <c r="S106" t="str">
        <f t="shared" si="1"/>
        <v>August</v>
      </c>
    </row>
    <row r="107" spans="1:19" x14ac:dyDescent="0.2">
      <c r="A107" t="s">
        <v>272</v>
      </c>
      <c r="B107" t="s">
        <v>273</v>
      </c>
      <c r="C107" t="s">
        <v>62</v>
      </c>
      <c r="D107" t="s">
        <v>21</v>
      </c>
      <c r="E107" s="1">
        <v>45903</v>
      </c>
      <c r="F107" s="1">
        <v>45904</v>
      </c>
      <c r="G107" t="s">
        <v>116</v>
      </c>
      <c r="H107" t="s">
        <v>50</v>
      </c>
      <c r="I107" t="s">
        <v>64</v>
      </c>
      <c r="J107">
        <v>13</v>
      </c>
      <c r="K107" t="s">
        <v>46</v>
      </c>
      <c r="L107" t="s">
        <v>26</v>
      </c>
      <c r="M107" t="s">
        <v>27</v>
      </c>
      <c r="N107">
        <v>0.2</v>
      </c>
      <c r="O107" s="3">
        <v>6763.12</v>
      </c>
      <c r="P107">
        <v>0</v>
      </c>
      <c r="Q107">
        <v>3.3</v>
      </c>
      <c r="R107">
        <v>0.81</v>
      </c>
      <c r="S107" t="str">
        <f t="shared" si="1"/>
        <v>September</v>
      </c>
    </row>
    <row r="108" spans="1:19" x14ac:dyDescent="0.2">
      <c r="A108" t="s">
        <v>274</v>
      </c>
      <c r="B108" t="s">
        <v>275</v>
      </c>
      <c r="C108" t="s">
        <v>62</v>
      </c>
      <c r="D108" t="s">
        <v>35</v>
      </c>
      <c r="E108" s="1">
        <v>45750</v>
      </c>
      <c r="F108" s="1">
        <v>45754</v>
      </c>
      <c r="G108" t="s">
        <v>59</v>
      </c>
      <c r="H108" t="s">
        <v>44</v>
      </c>
      <c r="I108" t="s">
        <v>81</v>
      </c>
      <c r="J108">
        <v>24</v>
      </c>
      <c r="K108" t="s">
        <v>78</v>
      </c>
      <c r="L108" t="s">
        <v>32</v>
      </c>
      <c r="M108" t="s">
        <v>27</v>
      </c>
      <c r="N108">
        <v>3.8</v>
      </c>
      <c r="O108" s="3">
        <v>6763.12</v>
      </c>
      <c r="P108">
        <v>0</v>
      </c>
      <c r="Q108">
        <v>4</v>
      </c>
      <c r="R108">
        <v>0.87</v>
      </c>
      <c r="S108" t="str">
        <f t="shared" si="1"/>
        <v>April</v>
      </c>
    </row>
    <row r="109" spans="1:19" x14ac:dyDescent="0.2">
      <c r="A109" t="s">
        <v>276</v>
      </c>
      <c r="B109" t="s">
        <v>277</v>
      </c>
      <c r="C109" t="s">
        <v>30</v>
      </c>
      <c r="D109" t="s">
        <v>42</v>
      </c>
      <c r="E109" s="1">
        <v>45744</v>
      </c>
      <c r="F109" s="1">
        <v>45745</v>
      </c>
      <c r="G109" t="s">
        <v>43</v>
      </c>
      <c r="H109" t="s">
        <v>44</v>
      </c>
      <c r="I109" t="s">
        <v>31</v>
      </c>
      <c r="J109">
        <v>88</v>
      </c>
      <c r="K109" t="s">
        <v>65</v>
      </c>
      <c r="L109" t="s">
        <v>32</v>
      </c>
      <c r="M109" t="s">
        <v>39</v>
      </c>
      <c r="N109">
        <v>0.7</v>
      </c>
      <c r="O109" s="3">
        <v>6763.12</v>
      </c>
      <c r="P109">
        <v>0</v>
      </c>
      <c r="Q109">
        <v>5</v>
      </c>
      <c r="R109">
        <v>0.82</v>
      </c>
      <c r="S109" t="str">
        <f t="shared" si="1"/>
        <v>March</v>
      </c>
    </row>
    <row r="110" spans="1:19" x14ac:dyDescent="0.2">
      <c r="A110" t="s">
        <v>278</v>
      </c>
      <c r="B110" t="s">
        <v>279</v>
      </c>
      <c r="C110" t="s">
        <v>122</v>
      </c>
      <c r="D110" t="s">
        <v>35</v>
      </c>
      <c r="E110" s="1">
        <v>45809</v>
      </c>
      <c r="F110" s="1">
        <v>45810</v>
      </c>
      <c r="G110" t="s">
        <v>50</v>
      </c>
      <c r="H110" t="s">
        <v>50</v>
      </c>
      <c r="I110" t="s">
        <v>55</v>
      </c>
      <c r="J110">
        <v>45</v>
      </c>
      <c r="K110" t="s">
        <v>25</v>
      </c>
      <c r="L110" t="s">
        <v>26</v>
      </c>
      <c r="M110" t="s">
        <v>39</v>
      </c>
      <c r="N110">
        <v>1</v>
      </c>
      <c r="O110" s="3">
        <v>6763.12</v>
      </c>
      <c r="P110">
        <v>0</v>
      </c>
      <c r="Q110">
        <v>4.5999999999999996</v>
      </c>
      <c r="R110">
        <v>0.76</v>
      </c>
      <c r="S110" t="str">
        <f t="shared" si="1"/>
        <v>June</v>
      </c>
    </row>
    <row r="111" spans="1:19" x14ac:dyDescent="0.2">
      <c r="A111" t="s">
        <v>280</v>
      </c>
      <c r="B111" t="s">
        <v>281</v>
      </c>
      <c r="C111" t="s">
        <v>58</v>
      </c>
      <c r="D111" t="s">
        <v>21</v>
      </c>
      <c r="E111" s="1">
        <v>45969</v>
      </c>
      <c r="F111" s="1">
        <v>45972</v>
      </c>
      <c r="G111" t="s">
        <v>116</v>
      </c>
      <c r="H111" t="s">
        <v>23</v>
      </c>
      <c r="I111" t="s">
        <v>31</v>
      </c>
      <c r="J111">
        <v>18</v>
      </c>
      <c r="K111" t="s">
        <v>78</v>
      </c>
      <c r="L111" t="s">
        <v>32</v>
      </c>
      <c r="M111" t="s">
        <v>82</v>
      </c>
      <c r="N111">
        <v>2.6</v>
      </c>
      <c r="O111" s="3">
        <v>6763.12</v>
      </c>
      <c r="P111">
        <v>0</v>
      </c>
      <c r="Q111">
        <v>3.6</v>
      </c>
      <c r="R111">
        <v>0.73</v>
      </c>
      <c r="S111" t="str">
        <f t="shared" si="1"/>
        <v>November</v>
      </c>
    </row>
    <row r="112" spans="1:19" x14ac:dyDescent="0.2">
      <c r="A112" t="s">
        <v>282</v>
      </c>
      <c r="B112" t="s">
        <v>283</v>
      </c>
      <c r="C112" t="s">
        <v>30</v>
      </c>
      <c r="D112" t="s">
        <v>21</v>
      </c>
      <c r="E112" s="1">
        <v>45849</v>
      </c>
      <c r="F112" s="1">
        <v>45852</v>
      </c>
      <c r="G112" t="s">
        <v>71</v>
      </c>
      <c r="H112" t="s">
        <v>50</v>
      </c>
      <c r="I112" t="s">
        <v>31</v>
      </c>
      <c r="J112">
        <v>45</v>
      </c>
      <c r="K112" t="s">
        <v>25</v>
      </c>
      <c r="L112" t="s">
        <v>26</v>
      </c>
      <c r="M112" t="s">
        <v>82</v>
      </c>
      <c r="N112">
        <v>3</v>
      </c>
      <c r="O112" s="3">
        <v>6763.12</v>
      </c>
      <c r="P112">
        <v>0</v>
      </c>
      <c r="Q112">
        <v>3.5</v>
      </c>
      <c r="R112">
        <v>0.79</v>
      </c>
      <c r="S112" t="str">
        <f t="shared" si="1"/>
        <v>July</v>
      </c>
    </row>
    <row r="113" spans="1:19" x14ac:dyDescent="0.2">
      <c r="A113" t="s">
        <v>284</v>
      </c>
      <c r="B113" t="s">
        <v>285</v>
      </c>
      <c r="C113" t="s">
        <v>122</v>
      </c>
      <c r="D113" t="s">
        <v>35</v>
      </c>
      <c r="E113" s="1">
        <v>45785</v>
      </c>
      <c r="F113" s="1">
        <v>45786</v>
      </c>
      <c r="G113" t="s">
        <v>116</v>
      </c>
      <c r="H113" t="s">
        <v>50</v>
      </c>
      <c r="I113" t="s">
        <v>45</v>
      </c>
      <c r="J113">
        <v>7</v>
      </c>
      <c r="K113" t="s">
        <v>103</v>
      </c>
      <c r="L113" t="s">
        <v>32</v>
      </c>
      <c r="M113" t="s">
        <v>82</v>
      </c>
      <c r="N113">
        <v>0.7</v>
      </c>
      <c r="O113" s="3">
        <v>6763.12</v>
      </c>
      <c r="P113">
        <v>0</v>
      </c>
      <c r="Q113">
        <v>4</v>
      </c>
      <c r="R113">
        <v>0.81</v>
      </c>
      <c r="S113" t="str">
        <f t="shared" si="1"/>
        <v>May</v>
      </c>
    </row>
    <row r="114" spans="1:19" x14ac:dyDescent="0.2">
      <c r="A114" t="s">
        <v>286</v>
      </c>
      <c r="B114" t="s">
        <v>287</v>
      </c>
      <c r="C114" t="s">
        <v>122</v>
      </c>
      <c r="D114" t="s">
        <v>21</v>
      </c>
      <c r="E114" s="1">
        <v>45942</v>
      </c>
      <c r="F114" s="1">
        <v>45945</v>
      </c>
      <c r="G114" t="s">
        <v>22</v>
      </c>
      <c r="H114" t="s">
        <v>50</v>
      </c>
      <c r="I114" t="s">
        <v>24</v>
      </c>
      <c r="J114">
        <v>28</v>
      </c>
      <c r="K114" t="s">
        <v>78</v>
      </c>
      <c r="L114" t="s">
        <v>32</v>
      </c>
      <c r="M114" t="s">
        <v>52</v>
      </c>
      <c r="N114">
        <v>2.1</v>
      </c>
      <c r="O114" s="3">
        <v>6763.12</v>
      </c>
      <c r="P114">
        <v>0</v>
      </c>
      <c r="Q114">
        <v>3.8</v>
      </c>
      <c r="R114">
        <v>0.74</v>
      </c>
      <c r="S114" t="str">
        <f t="shared" si="1"/>
        <v>October</v>
      </c>
    </row>
    <row r="115" spans="1:19" x14ac:dyDescent="0.2">
      <c r="A115" t="s">
        <v>288</v>
      </c>
      <c r="B115" t="s">
        <v>289</v>
      </c>
      <c r="C115" t="s">
        <v>62</v>
      </c>
      <c r="D115" t="s">
        <v>49</v>
      </c>
      <c r="E115" s="1">
        <v>45969</v>
      </c>
      <c r="F115" s="1">
        <v>45975</v>
      </c>
      <c r="G115" t="s">
        <v>50</v>
      </c>
      <c r="H115" t="s">
        <v>50</v>
      </c>
      <c r="I115" t="s">
        <v>81</v>
      </c>
      <c r="J115">
        <v>86</v>
      </c>
      <c r="K115" t="s">
        <v>65</v>
      </c>
      <c r="L115" t="s">
        <v>32</v>
      </c>
      <c r="M115" t="s">
        <v>82</v>
      </c>
      <c r="N115">
        <v>5.0999999999999996</v>
      </c>
      <c r="O115" s="3">
        <v>6763.12</v>
      </c>
      <c r="P115">
        <v>0</v>
      </c>
      <c r="Q115">
        <v>4.4000000000000004</v>
      </c>
      <c r="R115">
        <v>0.83</v>
      </c>
      <c r="S115" t="str">
        <f t="shared" si="1"/>
        <v>November</v>
      </c>
    </row>
    <row r="116" spans="1:19" x14ac:dyDescent="0.2">
      <c r="A116" t="s">
        <v>290</v>
      </c>
      <c r="B116" t="s">
        <v>291</v>
      </c>
      <c r="C116" t="s">
        <v>122</v>
      </c>
      <c r="D116" t="s">
        <v>21</v>
      </c>
      <c r="E116" s="1">
        <v>45987</v>
      </c>
      <c r="F116" s="1">
        <v>45989</v>
      </c>
      <c r="G116" t="s">
        <v>50</v>
      </c>
      <c r="H116" t="s">
        <v>50</v>
      </c>
      <c r="I116" t="s">
        <v>100</v>
      </c>
      <c r="J116">
        <v>27</v>
      </c>
      <c r="K116" t="s">
        <v>78</v>
      </c>
      <c r="L116" t="s">
        <v>32</v>
      </c>
      <c r="M116" t="s">
        <v>82</v>
      </c>
      <c r="N116">
        <v>1.5</v>
      </c>
      <c r="O116" s="3">
        <v>6763.12</v>
      </c>
      <c r="P116">
        <v>0</v>
      </c>
      <c r="Q116">
        <v>4.0999999999999996</v>
      </c>
      <c r="R116">
        <v>0.79</v>
      </c>
      <c r="S116" t="str">
        <f t="shared" si="1"/>
        <v>November</v>
      </c>
    </row>
    <row r="117" spans="1:19" x14ac:dyDescent="0.2">
      <c r="A117" t="s">
        <v>292</v>
      </c>
      <c r="B117" t="s">
        <v>293</v>
      </c>
      <c r="C117" t="s">
        <v>58</v>
      </c>
      <c r="D117" t="s">
        <v>35</v>
      </c>
      <c r="E117" s="1">
        <v>45767</v>
      </c>
      <c r="F117" s="1">
        <v>45771</v>
      </c>
      <c r="G117" t="s">
        <v>43</v>
      </c>
      <c r="H117" t="s">
        <v>23</v>
      </c>
      <c r="I117" t="s">
        <v>51</v>
      </c>
      <c r="J117">
        <v>81</v>
      </c>
      <c r="K117" t="s">
        <v>65</v>
      </c>
      <c r="L117" t="s">
        <v>26</v>
      </c>
      <c r="M117" t="s">
        <v>82</v>
      </c>
      <c r="N117">
        <v>3.9</v>
      </c>
      <c r="O117" s="3">
        <v>6763.12</v>
      </c>
      <c r="P117">
        <v>0</v>
      </c>
      <c r="Q117">
        <v>2.9</v>
      </c>
      <c r="R117">
        <v>0.81</v>
      </c>
      <c r="S117" t="str">
        <f t="shared" si="1"/>
        <v>April</v>
      </c>
    </row>
    <row r="118" spans="1:19" x14ac:dyDescent="0.2">
      <c r="A118" t="s">
        <v>294</v>
      </c>
      <c r="B118" t="s">
        <v>295</v>
      </c>
      <c r="C118" t="s">
        <v>122</v>
      </c>
      <c r="D118" t="s">
        <v>42</v>
      </c>
      <c r="E118" s="1">
        <v>45917</v>
      </c>
      <c r="F118" s="1">
        <v>45919</v>
      </c>
      <c r="G118" t="s">
        <v>22</v>
      </c>
      <c r="H118" t="s">
        <v>50</v>
      </c>
      <c r="I118" t="s">
        <v>117</v>
      </c>
      <c r="J118">
        <v>49</v>
      </c>
      <c r="K118" t="s">
        <v>25</v>
      </c>
      <c r="L118" t="s">
        <v>32</v>
      </c>
      <c r="M118" t="s">
        <v>82</v>
      </c>
      <c r="N118">
        <v>1.3</v>
      </c>
      <c r="O118" s="3">
        <v>6763.12</v>
      </c>
      <c r="P118">
        <v>0</v>
      </c>
      <c r="Q118">
        <v>4.2</v>
      </c>
      <c r="R118">
        <v>0.78</v>
      </c>
      <c r="S118" t="str">
        <f t="shared" si="1"/>
        <v>September</v>
      </c>
    </row>
    <row r="119" spans="1:19" x14ac:dyDescent="0.2">
      <c r="A119" t="s">
        <v>296</v>
      </c>
      <c r="B119" t="s">
        <v>297</v>
      </c>
      <c r="C119" t="s">
        <v>30</v>
      </c>
      <c r="D119" t="s">
        <v>42</v>
      </c>
      <c r="E119" s="1">
        <v>45873</v>
      </c>
      <c r="F119" s="1">
        <v>45874</v>
      </c>
      <c r="G119" t="s">
        <v>50</v>
      </c>
      <c r="H119" t="s">
        <v>50</v>
      </c>
      <c r="I119" t="s">
        <v>55</v>
      </c>
      <c r="J119">
        <v>59</v>
      </c>
      <c r="K119" t="s">
        <v>38</v>
      </c>
      <c r="L119" t="s">
        <v>26</v>
      </c>
      <c r="M119" t="s">
        <v>82</v>
      </c>
      <c r="N119">
        <v>0.5</v>
      </c>
      <c r="O119" s="3">
        <v>6763.12</v>
      </c>
      <c r="P119">
        <v>0</v>
      </c>
      <c r="Q119">
        <v>3.6</v>
      </c>
      <c r="R119">
        <v>0.81</v>
      </c>
      <c r="S119" t="str">
        <f t="shared" si="1"/>
        <v>August</v>
      </c>
    </row>
    <row r="120" spans="1:19" x14ac:dyDescent="0.2">
      <c r="A120" t="s">
        <v>298</v>
      </c>
      <c r="B120" t="s">
        <v>299</v>
      </c>
      <c r="C120" t="s">
        <v>62</v>
      </c>
      <c r="D120" t="s">
        <v>21</v>
      </c>
      <c r="E120" s="1">
        <v>45821</v>
      </c>
      <c r="F120" s="1">
        <v>45828</v>
      </c>
      <c r="G120" t="s">
        <v>43</v>
      </c>
      <c r="H120" t="s">
        <v>50</v>
      </c>
      <c r="I120" t="s">
        <v>81</v>
      </c>
      <c r="J120">
        <v>63</v>
      </c>
      <c r="K120" t="s">
        <v>38</v>
      </c>
      <c r="L120" t="s">
        <v>26</v>
      </c>
      <c r="M120" t="s">
        <v>52</v>
      </c>
      <c r="N120">
        <v>6.1</v>
      </c>
      <c r="O120" s="3">
        <v>6763.12</v>
      </c>
      <c r="P120">
        <v>0</v>
      </c>
      <c r="Q120">
        <v>3.9</v>
      </c>
      <c r="R120">
        <v>0.85</v>
      </c>
      <c r="S120" t="str">
        <f t="shared" si="1"/>
        <v>June</v>
      </c>
    </row>
    <row r="121" spans="1:19" x14ac:dyDescent="0.2">
      <c r="A121" t="s">
        <v>300</v>
      </c>
      <c r="B121" t="s">
        <v>301</v>
      </c>
      <c r="C121" t="s">
        <v>30</v>
      </c>
      <c r="D121" t="s">
        <v>21</v>
      </c>
      <c r="E121" s="1">
        <v>45802</v>
      </c>
      <c r="F121" s="1">
        <v>45803</v>
      </c>
      <c r="G121" t="s">
        <v>36</v>
      </c>
      <c r="H121" t="s">
        <v>50</v>
      </c>
      <c r="I121" t="s">
        <v>24</v>
      </c>
      <c r="J121">
        <v>50</v>
      </c>
      <c r="K121" t="s">
        <v>38</v>
      </c>
      <c r="L121" t="s">
        <v>26</v>
      </c>
      <c r="M121" t="s">
        <v>39</v>
      </c>
      <c r="N121">
        <v>0.2</v>
      </c>
      <c r="O121" s="3">
        <v>6763.12</v>
      </c>
      <c r="P121">
        <v>0</v>
      </c>
      <c r="Q121">
        <v>4</v>
      </c>
      <c r="R121">
        <v>0.74</v>
      </c>
      <c r="S121" t="str">
        <f t="shared" si="1"/>
        <v>May</v>
      </c>
    </row>
    <row r="122" spans="1:19" x14ac:dyDescent="0.2">
      <c r="A122" t="s">
        <v>302</v>
      </c>
      <c r="B122" t="s">
        <v>303</v>
      </c>
      <c r="C122" t="s">
        <v>30</v>
      </c>
      <c r="D122" t="s">
        <v>35</v>
      </c>
      <c r="E122" s="1">
        <v>45699</v>
      </c>
      <c r="F122" s="1">
        <v>45701</v>
      </c>
      <c r="G122" t="s">
        <v>63</v>
      </c>
      <c r="H122" t="s">
        <v>50</v>
      </c>
      <c r="I122" t="s">
        <v>24</v>
      </c>
      <c r="J122">
        <v>3</v>
      </c>
      <c r="K122" t="s">
        <v>103</v>
      </c>
      <c r="L122" t="s">
        <v>26</v>
      </c>
      <c r="M122" t="s">
        <v>39</v>
      </c>
      <c r="N122">
        <v>1.9</v>
      </c>
      <c r="O122" s="3">
        <v>6763.12</v>
      </c>
      <c r="P122">
        <v>0</v>
      </c>
      <c r="Q122">
        <v>4.5999999999999996</v>
      </c>
      <c r="R122">
        <v>0.77</v>
      </c>
      <c r="S122" t="str">
        <f t="shared" si="1"/>
        <v>February</v>
      </c>
    </row>
    <row r="123" spans="1:19" x14ac:dyDescent="0.2">
      <c r="A123" t="s">
        <v>304</v>
      </c>
      <c r="B123" t="s">
        <v>305</v>
      </c>
      <c r="C123" t="s">
        <v>122</v>
      </c>
      <c r="D123" t="s">
        <v>35</v>
      </c>
      <c r="E123" s="1">
        <v>45758</v>
      </c>
      <c r="F123" s="1">
        <v>45768</v>
      </c>
      <c r="G123" t="s">
        <v>63</v>
      </c>
      <c r="H123" t="s">
        <v>23</v>
      </c>
      <c r="I123" t="s">
        <v>31</v>
      </c>
      <c r="J123">
        <v>83</v>
      </c>
      <c r="K123" t="s">
        <v>65</v>
      </c>
      <c r="L123" t="s">
        <v>26</v>
      </c>
      <c r="M123" t="s">
        <v>39</v>
      </c>
      <c r="N123">
        <v>9.8000000000000007</v>
      </c>
      <c r="O123" s="3">
        <v>6763.12</v>
      </c>
      <c r="P123">
        <v>1</v>
      </c>
      <c r="Q123">
        <v>4.3</v>
      </c>
      <c r="R123">
        <v>0.76</v>
      </c>
      <c r="S123" t="str">
        <f t="shared" si="1"/>
        <v>April</v>
      </c>
    </row>
    <row r="124" spans="1:19" x14ac:dyDescent="0.2">
      <c r="A124" t="s">
        <v>306</v>
      </c>
      <c r="B124" t="s">
        <v>307</v>
      </c>
      <c r="C124" t="s">
        <v>58</v>
      </c>
      <c r="D124" t="s">
        <v>21</v>
      </c>
      <c r="E124" s="1">
        <v>45858</v>
      </c>
      <c r="F124" s="1">
        <v>45859</v>
      </c>
      <c r="G124" t="s">
        <v>50</v>
      </c>
      <c r="H124" t="s">
        <v>50</v>
      </c>
      <c r="I124" t="s">
        <v>100</v>
      </c>
      <c r="J124">
        <v>43</v>
      </c>
      <c r="K124" t="s">
        <v>25</v>
      </c>
      <c r="L124" t="s">
        <v>26</v>
      </c>
      <c r="M124" t="s">
        <v>82</v>
      </c>
      <c r="N124">
        <v>0.9</v>
      </c>
      <c r="O124" s="3">
        <v>6763.12</v>
      </c>
      <c r="P124">
        <v>0</v>
      </c>
      <c r="Q124">
        <v>3.3</v>
      </c>
      <c r="R124">
        <v>0.72</v>
      </c>
      <c r="S124" t="str">
        <f t="shared" si="1"/>
        <v>July</v>
      </c>
    </row>
    <row r="125" spans="1:19" x14ac:dyDescent="0.2">
      <c r="A125" t="s">
        <v>308</v>
      </c>
      <c r="B125" t="s">
        <v>309</v>
      </c>
      <c r="C125" t="s">
        <v>122</v>
      </c>
      <c r="D125" t="s">
        <v>42</v>
      </c>
      <c r="E125" s="1">
        <v>45981</v>
      </c>
      <c r="F125" s="1">
        <v>45982</v>
      </c>
      <c r="G125" t="s">
        <v>43</v>
      </c>
      <c r="H125" t="s">
        <v>23</v>
      </c>
      <c r="I125" t="s">
        <v>81</v>
      </c>
      <c r="J125">
        <v>59</v>
      </c>
      <c r="K125" t="s">
        <v>38</v>
      </c>
      <c r="L125" t="s">
        <v>32</v>
      </c>
      <c r="M125" t="s">
        <v>39</v>
      </c>
      <c r="N125">
        <v>0.5</v>
      </c>
      <c r="O125" s="3">
        <v>6763.12</v>
      </c>
      <c r="P125">
        <v>0</v>
      </c>
      <c r="Q125">
        <v>3.9</v>
      </c>
      <c r="R125">
        <v>0.72</v>
      </c>
      <c r="S125" t="str">
        <f t="shared" si="1"/>
        <v>November</v>
      </c>
    </row>
    <row r="126" spans="1:19" x14ac:dyDescent="0.2">
      <c r="A126" t="s">
        <v>310</v>
      </c>
      <c r="B126" t="s">
        <v>311</v>
      </c>
      <c r="C126" t="s">
        <v>30</v>
      </c>
      <c r="D126" t="s">
        <v>49</v>
      </c>
      <c r="E126" s="1">
        <v>45974</v>
      </c>
      <c r="F126" s="1">
        <v>45978</v>
      </c>
      <c r="G126" t="s">
        <v>68</v>
      </c>
      <c r="H126" t="s">
        <v>44</v>
      </c>
      <c r="I126" t="s">
        <v>45</v>
      </c>
      <c r="J126">
        <v>50</v>
      </c>
      <c r="K126" t="s">
        <v>38</v>
      </c>
      <c r="L126" t="s">
        <v>26</v>
      </c>
      <c r="M126" t="s">
        <v>82</v>
      </c>
      <c r="N126">
        <v>3.4</v>
      </c>
      <c r="O126" s="3">
        <v>6763.12</v>
      </c>
      <c r="P126">
        <v>0</v>
      </c>
      <c r="Q126">
        <v>3.6</v>
      </c>
      <c r="R126">
        <v>0.85</v>
      </c>
      <c r="S126" t="str">
        <f t="shared" si="1"/>
        <v>November</v>
      </c>
    </row>
    <row r="127" spans="1:19" x14ac:dyDescent="0.2">
      <c r="A127" t="s">
        <v>312</v>
      </c>
      <c r="B127" t="s">
        <v>313</v>
      </c>
      <c r="C127" t="s">
        <v>122</v>
      </c>
      <c r="D127" t="s">
        <v>21</v>
      </c>
      <c r="E127" s="1">
        <v>45726</v>
      </c>
      <c r="F127" s="1">
        <v>45729</v>
      </c>
      <c r="G127" t="s">
        <v>36</v>
      </c>
      <c r="H127" t="s">
        <v>50</v>
      </c>
      <c r="I127" t="s">
        <v>100</v>
      </c>
      <c r="J127">
        <v>59</v>
      </c>
      <c r="K127" t="s">
        <v>38</v>
      </c>
      <c r="L127" t="s">
        <v>26</v>
      </c>
      <c r="M127" t="s">
        <v>82</v>
      </c>
      <c r="N127">
        <v>2.4</v>
      </c>
      <c r="O127" s="3">
        <v>6763.12</v>
      </c>
      <c r="P127">
        <v>1</v>
      </c>
      <c r="Q127">
        <v>2.9</v>
      </c>
      <c r="R127">
        <v>0.79</v>
      </c>
      <c r="S127" t="str">
        <f t="shared" si="1"/>
        <v>March</v>
      </c>
    </row>
    <row r="128" spans="1:19" x14ac:dyDescent="0.2">
      <c r="A128" t="s">
        <v>314</v>
      </c>
      <c r="B128" t="s">
        <v>315</v>
      </c>
      <c r="C128" t="s">
        <v>122</v>
      </c>
      <c r="D128" t="s">
        <v>42</v>
      </c>
      <c r="E128" s="1">
        <v>45905</v>
      </c>
      <c r="F128" s="1">
        <v>45906</v>
      </c>
      <c r="G128" t="s">
        <v>71</v>
      </c>
      <c r="H128" t="s">
        <v>44</v>
      </c>
      <c r="I128" t="s">
        <v>31</v>
      </c>
      <c r="J128">
        <v>32</v>
      </c>
      <c r="K128" t="s">
        <v>78</v>
      </c>
      <c r="L128" t="s">
        <v>32</v>
      </c>
      <c r="M128" t="s">
        <v>52</v>
      </c>
      <c r="N128">
        <v>0.6</v>
      </c>
      <c r="O128" s="3">
        <v>6763.12</v>
      </c>
      <c r="P128">
        <v>0</v>
      </c>
      <c r="Q128">
        <v>3.8</v>
      </c>
      <c r="R128">
        <v>0.79</v>
      </c>
      <c r="S128" t="str">
        <f t="shared" si="1"/>
        <v>September</v>
      </c>
    </row>
    <row r="129" spans="1:19" x14ac:dyDescent="0.2">
      <c r="A129" t="s">
        <v>316</v>
      </c>
      <c r="B129" t="s">
        <v>317</v>
      </c>
      <c r="C129" t="s">
        <v>30</v>
      </c>
      <c r="D129" t="s">
        <v>21</v>
      </c>
      <c r="E129" s="1">
        <v>45688</v>
      </c>
      <c r="F129" s="1">
        <v>45691</v>
      </c>
      <c r="G129" t="s">
        <v>22</v>
      </c>
      <c r="H129" t="s">
        <v>44</v>
      </c>
      <c r="I129" t="s">
        <v>45</v>
      </c>
      <c r="J129">
        <v>76</v>
      </c>
      <c r="K129" t="s">
        <v>65</v>
      </c>
      <c r="L129" t="s">
        <v>26</v>
      </c>
      <c r="M129" t="s">
        <v>27</v>
      </c>
      <c r="N129">
        <v>2.2999999999999998</v>
      </c>
      <c r="O129" s="3">
        <v>6763.12</v>
      </c>
      <c r="P129">
        <v>0</v>
      </c>
      <c r="Q129">
        <v>5</v>
      </c>
      <c r="R129">
        <v>0.79</v>
      </c>
      <c r="S129" t="str">
        <f t="shared" si="1"/>
        <v>January</v>
      </c>
    </row>
    <row r="130" spans="1:19" x14ac:dyDescent="0.2">
      <c r="A130" t="s">
        <v>318</v>
      </c>
      <c r="B130" t="s">
        <v>319</v>
      </c>
      <c r="C130" t="s">
        <v>20</v>
      </c>
      <c r="D130" t="s">
        <v>35</v>
      </c>
      <c r="E130" s="1">
        <v>45904</v>
      </c>
      <c r="F130" s="1">
        <v>45907</v>
      </c>
      <c r="G130" t="s">
        <v>68</v>
      </c>
      <c r="H130" t="s">
        <v>23</v>
      </c>
      <c r="I130" t="s">
        <v>55</v>
      </c>
      <c r="J130">
        <v>20</v>
      </c>
      <c r="K130" t="s">
        <v>78</v>
      </c>
      <c r="L130" t="s">
        <v>32</v>
      </c>
      <c r="M130" t="s">
        <v>39</v>
      </c>
      <c r="N130">
        <v>2.5</v>
      </c>
      <c r="O130" s="3">
        <v>6763.12</v>
      </c>
      <c r="P130">
        <v>0</v>
      </c>
      <c r="Q130">
        <v>2.9</v>
      </c>
      <c r="R130">
        <v>0.8</v>
      </c>
      <c r="S130" t="str">
        <f t="shared" si="1"/>
        <v>September</v>
      </c>
    </row>
    <row r="131" spans="1:19" x14ac:dyDescent="0.2">
      <c r="A131" t="s">
        <v>320</v>
      </c>
      <c r="B131" t="s">
        <v>321</v>
      </c>
      <c r="C131" t="s">
        <v>30</v>
      </c>
      <c r="D131" t="s">
        <v>21</v>
      </c>
      <c r="E131" s="1">
        <v>45782</v>
      </c>
      <c r="F131" s="1">
        <v>45785</v>
      </c>
      <c r="G131" t="s">
        <v>99</v>
      </c>
      <c r="H131" t="s">
        <v>23</v>
      </c>
      <c r="I131" t="s">
        <v>100</v>
      </c>
      <c r="J131">
        <v>59</v>
      </c>
      <c r="K131" t="s">
        <v>38</v>
      </c>
      <c r="L131" t="s">
        <v>26</v>
      </c>
      <c r="M131" t="s">
        <v>82</v>
      </c>
      <c r="N131">
        <v>2.9</v>
      </c>
      <c r="O131" s="3">
        <v>6763.12</v>
      </c>
      <c r="P131">
        <v>0</v>
      </c>
      <c r="Q131">
        <v>3.9</v>
      </c>
      <c r="R131">
        <v>0.84</v>
      </c>
      <c r="S131" t="str">
        <f t="shared" ref="S131:S194" si="2">TEXT(E131, "mmmm")</f>
        <v>May</v>
      </c>
    </row>
    <row r="132" spans="1:19" x14ac:dyDescent="0.2">
      <c r="A132" t="s">
        <v>322</v>
      </c>
      <c r="B132" t="s">
        <v>323</v>
      </c>
      <c r="C132" t="s">
        <v>122</v>
      </c>
      <c r="D132" t="s">
        <v>35</v>
      </c>
      <c r="E132" s="1">
        <v>45822</v>
      </c>
      <c r="F132" s="1">
        <v>45826</v>
      </c>
      <c r="G132" t="s">
        <v>43</v>
      </c>
      <c r="H132" t="s">
        <v>23</v>
      </c>
      <c r="I132" t="s">
        <v>117</v>
      </c>
      <c r="J132">
        <v>52</v>
      </c>
      <c r="K132" t="s">
        <v>38</v>
      </c>
      <c r="L132" t="s">
        <v>32</v>
      </c>
      <c r="M132" t="s">
        <v>52</v>
      </c>
      <c r="N132">
        <v>3.7</v>
      </c>
      <c r="O132" s="3">
        <v>6763.12</v>
      </c>
      <c r="P132">
        <v>0</v>
      </c>
      <c r="Q132">
        <v>3.9</v>
      </c>
      <c r="R132">
        <v>0.77</v>
      </c>
      <c r="S132" t="str">
        <f t="shared" si="2"/>
        <v>June</v>
      </c>
    </row>
    <row r="133" spans="1:19" x14ac:dyDescent="0.2">
      <c r="A133" t="s">
        <v>324</v>
      </c>
      <c r="B133" t="s">
        <v>325</v>
      </c>
      <c r="C133" t="s">
        <v>58</v>
      </c>
      <c r="D133" t="s">
        <v>42</v>
      </c>
      <c r="E133" s="1">
        <v>45919</v>
      </c>
      <c r="F133" s="1">
        <v>45920</v>
      </c>
      <c r="G133" t="s">
        <v>63</v>
      </c>
      <c r="H133" t="s">
        <v>23</v>
      </c>
      <c r="I133" t="s">
        <v>64</v>
      </c>
      <c r="J133">
        <v>45</v>
      </c>
      <c r="K133" t="s">
        <v>25</v>
      </c>
      <c r="L133" t="s">
        <v>26</v>
      </c>
      <c r="M133" t="s">
        <v>82</v>
      </c>
      <c r="N133">
        <v>1</v>
      </c>
      <c r="O133" s="3">
        <v>6763.12</v>
      </c>
      <c r="P133">
        <v>0</v>
      </c>
      <c r="Q133">
        <v>4.0999999999999996</v>
      </c>
      <c r="R133">
        <v>0.77</v>
      </c>
      <c r="S133" t="str">
        <f t="shared" si="2"/>
        <v>September</v>
      </c>
    </row>
    <row r="134" spans="1:19" x14ac:dyDescent="0.2">
      <c r="A134" t="s">
        <v>326</v>
      </c>
      <c r="B134" t="s">
        <v>327</v>
      </c>
      <c r="C134" t="s">
        <v>58</v>
      </c>
      <c r="D134" t="s">
        <v>21</v>
      </c>
      <c r="E134" s="1">
        <v>45813</v>
      </c>
      <c r="F134" s="1">
        <v>45816</v>
      </c>
      <c r="G134" t="s">
        <v>22</v>
      </c>
      <c r="H134" t="s">
        <v>23</v>
      </c>
      <c r="I134" t="s">
        <v>117</v>
      </c>
      <c r="J134">
        <v>1</v>
      </c>
      <c r="K134" t="s">
        <v>103</v>
      </c>
      <c r="L134" t="s">
        <v>32</v>
      </c>
      <c r="M134" t="s">
        <v>39</v>
      </c>
      <c r="N134">
        <v>2.2999999999999998</v>
      </c>
      <c r="O134" s="3">
        <v>6763.12</v>
      </c>
      <c r="P134">
        <v>0</v>
      </c>
      <c r="Q134">
        <v>3.3</v>
      </c>
      <c r="R134">
        <v>0.72</v>
      </c>
      <c r="S134" t="str">
        <f t="shared" si="2"/>
        <v>June</v>
      </c>
    </row>
    <row r="135" spans="1:19" x14ac:dyDescent="0.2">
      <c r="A135" t="s">
        <v>328</v>
      </c>
      <c r="B135" t="s">
        <v>329</v>
      </c>
      <c r="C135" t="s">
        <v>122</v>
      </c>
      <c r="D135" t="s">
        <v>49</v>
      </c>
      <c r="E135" s="1">
        <v>45952</v>
      </c>
      <c r="F135" s="1">
        <v>45955</v>
      </c>
      <c r="G135" t="s">
        <v>116</v>
      </c>
      <c r="H135" t="s">
        <v>50</v>
      </c>
      <c r="I135" t="s">
        <v>100</v>
      </c>
      <c r="J135">
        <v>35</v>
      </c>
      <c r="K135" t="s">
        <v>25</v>
      </c>
      <c r="L135" t="s">
        <v>26</v>
      </c>
      <c r="M135" t="s">
        <v>39</v>
      </c>
      <c r="N135">
        <v>2.4</v>
      </c>
      <c r="O135" s="3">
        <v>6763.12</v>
      </c>
      <c r="P135">
        <v>0</v>
      </c>
      <c r="Q135">
        <v>3</v>
      </c>
      <c r="R135">
        <v>0.78</v>
      </c>
      <c r="S135" t="str">
        <f t="shared" si="2"/>
        <v>October</v>
      </c>
    </row>
    <row r="136" spans="1:19" x14ac:dyDescent="0.2">
      <c r="A136" t="s">
        <v>330</v>
      </c>
      <c r="B136" t="s">
        <v>331</v>
      </c>
      <c r="C136" t="s">
        <v>122</v>
      </c>
      <c r="D136" t="s">
        <v>21</v>
      </c>
      <c r="E136" s="1">
        <v>45852</v>
      </c>
      <c r="F136" s="1">
        <v>45857</v>
      </c>
      <c r="G136" t="s">
        <v>116</v>
      </c>
      <c r="H136" t="s">
        <v>44</v>
      </c>
      <c r="I136" t="s">
        <v>55</v>
      </c>
      <c r="J136">
        <v>4</v>
      </c>
      <c r="K136" t="s">
        <v>103</v>
      </c>
      <c r="L136" t="s">
        <v>32</v>
      </c>
      <c r="M136" t="s">
        <v>27</v>
      </c>
      <c r="N136">
        <v>4.3</v>
      </c>
      <c r="O136" s="3">
        <v>6763.12</v>
      </c>
      <c r="P136">
        <v>0</v>
      </c>
      <c r="Q136">
        <v>3.1</v>
      </c>
      <c r="R136">
        <v>0.83</v>
      </c>
      <c r="S136" t="str">
        <f t="shared" si="2"/>
        <v>July</v>
      </c>
    </row>
    <row r="137" spans="1:19" x14ac:dyDescent="0.2">
      <c r="A137" t="s">
        <v>332</v>
      </c>
      <c r="B137" t="s">
        <v>333</v>
      </c>
      <c r="C137" t="s">
        <v>122</v>
      </c>
      <c r="D137" t="s">
        <v>42</v>
      </c>
      <c r="E137" s="1">
        <v>46022</v>
      </c>
      <c r="F137" s="1">
        <v>46024</v>
      </c>
      <c r="G137" t="s">
        <v>36</v>
      </c>
      <c r="H137" t="s">
        <v>23</v>
      </c>
      <c r="I137" t="s">
        <v>31</v>
      </c>
      <c r="J137">
        <v>45</v>
      </c>
      <c r="K137" t="s">
        <v>25</v>
      </c>
      <c r="L137" t="s">
        <v>26</v>
      </c>
      <c r="M137" t="s">
        <v>52</v>
      </c>
      <c r="N137">
        <v>1.6</v>
      </c>
      <c r="O137" s="3">
        <v>6763.12</v>
      </c>
      <c r="P137">
        <v>1</v>
      </c>
      <c r="Q137">
        <v>4.7</v>
      </c>
      <c r="R137">
        <v>0.83</v>
      </c>
      <c r="S137" t="str">
        <f t="shared" si="2"/>
        <v>December</v>
      </c>
    </row>
    <row r="138" spans="1:19" x14ac:dyDescent="0.2">
      <c r="A138" t="s">
        <v>334</v>
      </c>
      <c r="B138" t="s">
        <v>335</v>
      </c>
      <c r="C138" t="s">
        <v>62</v>
      </c>
      <c r="D138" t="s">
        <v>49</v>
      </c>
      <c r="E138" s="1">
        <v>45890</v>
      </c>
      <c r="F138" s="1">
        <v>45897</v>
      </c>
      <c r="G138" t="s">
        <v>99</v>
      </c>
      <c r="H138" t="s">
        <v>23</v>
      </c>
      <c r="I138" t="s">
        <v>100</v>
      </c>
      <c r="J138">
        <v>62</v>
      </c>
      <c r="K138" t="s">
        <v>38</v>
      </c>
      <c r="L138" t="s">
        <v>32</v>
      </c>
      <c r="M138" t="s">
        <v>27</v>
      </c>
      <c r="N138">
        <v>6.8</v>
      </c>
      <c r="O138" s="3">
        <v>6763.12</v>
      </c>
      <c r="P138">
        <v>0</v>
      </c>
      <c r="Q138">
        <v>3.3</v>
      </c>
      <c r="R138">
        <v>0.89</v>
      </c>
      <c r="S138" t="str">
        <f t="shared" si="2"/>
        <v>August</v>
      </c>
    </row>
    <row r="139" spans="1:19" x14ac:dyDescent="0.2">
      <c r="A139" t="s">
        <v>336</v>
      </c>
      <c r="B139" t="s">
        <v>337</v>
      </c>
      <c r="C139" t="s">
        <v>30</v>
      </c>
      <c r="D139" t="s">
        <v>21</v>
      </c>
      <c r="E139" s="1">
        <v>45766</v>
      </c>
      <c r="F139" s="1">
        <v>45777</v>
      </c>
      <c r="G139" t="s">
        <v>59</v>
      </c>
      <c r="H139" t="s">
        <v>50</v>
      </c>
      <c r="I139" t="s">
        <v>55</v>
      </c>
      <c r="J139">
        <v>47</v>
      </c>
      <c r="K139" t="s">
        <v>25</v>
      </c>
      <c r="L139" t="s">
        <v>26</v>
      </c>
      <c r="M139" t="s">
        <v>82</v>
      </c>
      <c r="N139">
        <v>10.1</v>
      </c>
      <c r="O139" s="3">
        <v>6763.12</v>
      </c>
      <c r="P139">
        <v>0</v>
      </c>
      <c r="Q139">
        <v>3.3</v>
      </c>
      <c r="R139">
        <v>0.83</v>
      </c>
      <c r="S139" t="str">
        <f t="shared" si="2"/>
        <v>April</v>
      </c>
    </row>
    <row r="140" spans="1:19" x14ac:dyDescent="0.2">
      <c r="A140" t="s">
        <v>338</v>
      </c>
      <c r="B140" t="s">
        <v>339</v>
      </c>
      <c r="C140" t="s">
        <v>30</v>
      </c>
      <c r="D140" t="s">
        <v>35</v>
      </c>
      <c r="E140" s="1">
        <v>45940</v>
      </c>
      <c r="F140" s="1">
        <v>45943</v>
      </c>
      <c r="G140" t="s">
        <v>36</v>
      </c>
      <c r="H140" t="s">
        <v>50</v>
      </c>
      <c r="I140" t="s">
        <v>55</v>
      </c>
      <c r="J140">
        <v>68</v>
      </c>
      <c r="K140" t="s">
        <v>169</v>
      </c>
      <c r="L140" t="s">
        <v>32</v>
      </c>
      <c r="M140" t="s">
        <v>82</v>
      </c>
      <c r="N140">
        <v>3</v>
      </c>
      <c r="O140" s="3">
        <v>6763.12</v>
      </c>
      <c r="P140">
        <v>1</v>
      </c>
      <c r="Q140">
        <v>5</v>
      </c>
      <c r="R140">
        <v>0.82</v>
      </c>
      <c r="S140" t="str">
        <f t="shared" si="2"/>
        <v>October</v>
      </c>
    </row>
    <row r="141" spans="1:19" x14ac:dyDescent="0.2">
      <c r="A141" t="s">
        <v>340</v>
      </c>
      <c r="B141" t="s">
        <v>341</v>
      </c>
      <c r="C141" t="s">
        <v>20</v>
      </c>
      <c r="D141" t="s">
        <v>42</v>
      </c>
      <c r="E141" s="1">
        <v>45806</v>
      </c>
      <c r="F141" s="1">
        <v>45811</v>
      </c>
      <c r="G141" t="s">
        <v>71</v>
      </c>
      <c r="H141" t="s">
        <v>50</v>
      </c>
      <c r="I141" t="s">
        <v>31</v>
      </c>
      <c r="J141">
        <v>32</v>
      </c>
      <c r="K141" t="s">
        <v>78</v>
      </c>
      <c r="L141" t="s">
        <v>32</v>
      </c>
      <c r="M141" t="s">
        <v>39</v>
      </c>
      <c r="N141">
        <v>4.4000000000000004</v>
      </c>
      <c r="O141" s="3">
        <v>6763.12</v>
      </c>
      <c r="P141">
        <v>1</v>
      </c>
      <c r="Q141">
        <v>3.5</v>
      </c>
      <c r="R141">
        <v>0.78</v>
      </c>
      <c r="S141" t="str">
        <f t="shared" si="2"/>
        <v>May</v>
      </c>
    </row>
    <row r="142" spans="1:19" x14ac:dyDescent="0.2">
      <c r="A142" t="s">
        <v>342</v>
      </c>
      <c r="B142" t="s">
        <v>343</v>
      </c>
      <c r="C142" t="s">
        <v>30</v>
      </c>
      <c r="D142" t="s">
        <v>49</v>
      </c>
      <c r="E142" s="1">
        <v>45852</v>
      </c>
      <c r="F142" s="1">
        <v>45853</v>
      </c>
      <c r="G142" t="s">
        <v>50</v>
      </c>
      <c r="H142" t="s">
        <v>50</v>
      </c>
      <c r="I142" t="s">
        <v>51</v>
      </c>
      <c r="J142">
        <v>27</v>
      </c>
      <c r="K142" t="s">
        <v>78</v>
      </c>
      <c r="L142" t="s">
        <v>32</v>
      </c>
      <c r="M142" t="s">
        <v>27</v>
      </c>
      <c r="N142">
        <v>0.2</v>
      </c>
      <c r="O142" s="3">
        <v>6763.12</v>
      </c>
      <c r="P142">
        <v>0</v>
      </c>
      <c r="Q142">
        <v>3.9</v>
      </c>
      <c r="R142">
        <v>0.75</v>
      </c>
      <c r="S142" t="str">
        <f t="shared" si="2"/>
        <v>July</v>
      </c>
    </row>
    <row r="143" spans="1:19" x14ac:dyDescent="0.2">
      <c r="A143" t="s">
        <v>344</v>
      </c>
      <c r="B143" t="s">
        <v>345</v>
      </c>
      <c r="C143" t="s">
        <v>30</v>
      </c>
      <c r="D143" t="s">
        <v>35</v>
      </c>
      <c r="E143" s="1">
        <v>45707</v>
      </c>
      <c r="F143" s="1">
        <v>45711</v>
      </c>
      <c r="G143" t="s">
        <v>36</v>
      </c>
      <c r="H143" t="s">
        <v>50</v>
      </c>
      <c r="I143" t="s">
        <v>37</v>
      </c>
      <c r="J143">
        <v>40</v>
      </c>
      <c r="K143" t="s">
        <v>25</v>
      </c>
      <c r="L143" t="s">
        <v>26</v>
      </c>
      <c r="M143" t="s">
        <v>27</v>
      </c>
      <c r="N143">
        <v>3.3</v>
      </c>
      <c r="O143" s="3">
        <v>6763.12</v>
      </c>
      <c r="P143">
        <v>0</v>
      </c>
      <c r="Q143">
        <v>4.5</v>
      </c>
      <c r="R143">
        <v>0.77</v>
      </c>
      <c r="S143" t="str">
        <f t="shared" si="2"/>
        <v>February</v>
      </c>
    </row>
    <row r="144" spans="1:19" x14ac:dyDescent="0.2">
      <c r="A144" t="s">
        <v>346</v>
      </c>
      <c r="B144" t="s">
        <v>347</v>
      </c>
      <c r="C144" t="s">
        <v>30</v>
      </c>
      <c r="D144" t="s">
        <v>42</v>
      </c>
      <c r="E144" s="1">
        <v>45701</v>
      </c>
      <c r="F144" s="1">
        <v>45708</v>
      </c>
      <c r="G144" t="s">
        <v>63</v>
      </c>
      <c r="H144" t="s">
        <v>50</v>
      </c>
      <c r="I144" t="s">
        <v>64</v>
      </c>
      <c r="J144">
        <v>20</v>
      </c>
      <c r="K144" t="s">
        <v>78</v>
      </c>
      <c r="L144" t="s">
        <v>32</v>
      </c>
      <c r="M144" t="s">
        <v>82</v>
      </c>
      <c r="N144">
        <v>6.1</v>
      </c>
      <c r="O144" s="3">
        <v>6763.12</v>
      </c>
      <c r="P144">
        <v>1</v>
      </c>
      <c r="Q144">
        <v>4.5</v>
      </c>
      <c r="R144">
        <v>0.81</v>
      </c>
      <c r="S144" t="str">
        <f t="shared" si="2"/>
        <v>February</v>
      </c>
    </row>
    <row r="145" spans="1:19" x14ac:dyDescent="0.2">
      <c r="A145" t="s">
        <v>348</v>
      </c>
      <c r="B145" t="s">
        <v>349</v>
      </c>
      <c r="C145" t="s">
        <v>58</v>
      </c>
      <c r="D145" t="s">
        <v>35</v>
      </c>
      <c r="E145" s="1">
        <v>45867</v>
      </c>
      <c r="F145" s="1">
        <v>45869</v>
      </c>
      <c r="G145" t="s">
        <v>22</v>
      </c>
      <c r="H145" t="s">
        <v>50</v>
      </c>
      <c r="I145" t="s">
        <v>81</v>
      </c>
      <c r="J145">
        <v>72</v>
      </c>
      <c r="K145" t="s">
        <v>169</v>
      </c>
      <c r="L145" t="s">
        <v>26</v>
      </c>
      <c r="M145" t="s">
        <v>39</v>
      </c>
      <c r="N145">
        <v>1.6</v>
      </c>
      <c r="O145" s="3">
        <v>6763.12</v>
      </c>
      <c r="P145">
        <v>0</v>
      </c>
      <c r="Q145">
        <v>3.1</v>
      </c>
      <c r="R145">
        <v>0.75</v>
      </c>
      <c r="S145" t="str">
        <f t="shared" si="2"/>
        <v>July</v>
      </c>
    </row>
    <row r="146" spans="1:19" x14ac:dyDescent="0.2">
      <c r="A146" t="s">
        <v>350</v>
      </c>
      <c r="B146" t="s">
        <v>351</v>
      </c>
      <c r="C146" t="s">
        <v>58</v>
      </c>
      <c r="D146" t="s">
        <v>21</v>
      </c>
      <c r="E146" s="1">
        <v>45726</v>
      </c>
      <c r="F146" s="1">
        <v>45731</v>
      </c>
      <c r="G146" t="s">
        <v>116</v>
      </c>
      <c r="H146" t="s">
        <v>50</v>
      </c>
      <c r="I146" t="s">
        <v>64</v>
      </c>
      <c r="J146">
        <v>73</v>
      </c>
      <c r="K146" t="s">
        <v>169</v>
      </c>
      <c r="L146" t="s">
        <v>32</v>
      </c>
      <c r="M146" t="s">
        <v>27</v>
      </c>
      <c r="N146">
        <v>4.5999999999999996</v>
      </c>
      <c r="O146" s="3">
        <v>6763.12</v>
      </c>
      <c r="P146">
        <v>0</v>
      </c>
      <c r="Q146">
        <v>3.5</v>
      </c>
      <c r="R146">
        <v>0.81</v>
      </c>
      <c r="S146" t="str">
        <f t="shared" si="2"/>
        <v>March</v>
      </c>
    </row>
    <row r="147" spans="1:19" x14ac:dyDescent="0.2">
      <c r="A147" t="s">
        <v>352</v>
      </c>
      <c r="B147" t="s">
        <v>353</v>
      </c>
      <c r="C147" t="s">
        <v>58</v>
      </c>
      <c r="D147" t="s">
        <v>49</v>
      </c>
      <c r="E147" s="1">
        <v>46022</v>
      </c>
      <c r="F147" s="1">
        <v>46030</v>
      </c>
      <c r="G147" t="s">
        <v>59</v>
      </c>
      <c r="H147" t="s">
        <v>50</v>
      </c>
      <c r="I147" t="s">
        <v>51</v>
      </c>
      <c r="J147">
        <v>37</v>
      </c>
      <c r="K147" t="s">
        <v>25</v>
      </c>
      <c r="L147" t="s">
        <v>26</v>
      </c>
      <c r="M147" t="s">
        <v>39</v>
      </c>
      <c r="N147">
        <v>7.9</v>
      </c>
      <c r="O147" s="3">
        <v>6763.12</v>
      </c>
      <c r="P147">
        <v>0</v>
      </c>
      <c r="Q147">
        <v>3.8</v>
      </c>
      <c r="R147">
        <v>0.8</v>
      </c>
      <c r="S147" t="str">
        <f t="shared" si="2"/>
        <v>December</v>
      </c>
    </row>
    <row r="148" spans="1:19" x14ac:dyDescent="0.2">
      <c r="A148" t="s">
        <v>354</v>
      </c>
      <c r="B148" t="s">
        <v>355</v>
      </c>
      <c r="C148" t="s">
        <v>58</v>
      </c>
      <c r="D148" t="s">
        <v>21</v>
      </c>
      <c r="E148" s="1">
        <v>45970</v>
      </c>
      <c r="F148" s="1">
        <v>45986</v>
      </c>
      <c r="G148" t="s">
        <v>71</v>
      </c>
      <c r="H148" t="s">
        <v>44</v>
      </c>
      <c r="I148" t="s">
        <v>64</v>
      </c>
      <c r="J148">
        <v>72</v>
      </c>
      <c r="K148" t="s">
        <v>169</v>
      </c>
      <c r="L148" t="s">
        <v>32</v>
      </c>
      <c r="M148" t="s">
        <v>27</v>
      </c>
      <c r="N148">
        <v>15.1</v>
      </c>
      <c r="O148" s="3">
        <v>6763.12</v>
      </c>
      <c r="P148">
        <v>0</v>
      </c>
      <c r="Q148">
        <v>4.9000000000000004</v>
      </c>
      <c r="R148">
        <v>0.72</v>
      </c>
      <c r="S148" t="str">
        <f t="shared" si="2"/>
        <v>November</v>
      </c>
    </row>
    <row r="149" spans="1:19" x14ac:dyDescent="0.2">
      <c r="A149" t="s">
        <v>356</v>
      </c>
      <c r="B149" t="s">
        <v>357</v>
      </c>
      <c r="C149" t="s">
        <v>122</v>
      </c>
      <c r="D149" t="s">
        <v>21</v>
      </c>
      <c r="E149" s="1">
        <v>45913</v>
      </c>
      <c r="F149" s="1">
        <v>45916</v>
      </c>
      <c r="G149" t="s">
        <v>71</v>
      </c>
      <c r="H149" t="s">
        <v>50</v>
      </c>
      <c r="I149" t="s">
        <v>117</v>
      </c>
      <c r="J149">
        <v>2</v>
      </c>
      <c r="K149" t="s">
        <v>103</v>
      </c>
      <c r="L149" t="s">
        <v>32</v>
      </c>
      <c r="M149" t="s">
        <v>82</v>
      </c>
      <c r="N149">
        <v>2.4</v>
      </c>
      <c r="O149" s="3">
        <v>6763.12</v>
      </c>
      <c r="P149">
        <v>0</v>
      </c>
      <c r="Q149">
        <v>3.4</v>
      </c>
      <c r="R149">
        <v>0.81</v>
      </c>
      <c r="S149" t="str">
        <f t="shared" si="2"/>
        <v>September</v>
      </c>
    </row>
    <row r="150" spans="1:19" x14ac:dyDescent="0.2">
      <c r="A150" t="s">
        <v>358</v>
      </c>
      <c r="B150" t="s">
        <v>359</v>
      </c>
      <c r="C150" t="s">
        <v>62</v>
      </c>
      <c r="D150" t="s">
        <v>35</v>
      </c>
      <c r="E150" s="1">
        <v>45926</v>
      </c>
      <c r="F150" s="1">
        <v>45933</v>
      </c>
      <c r="G150" t="s">
        <v>71</v>
      </c>
      <c r="H150" t="s">
        <v>50</v>
      </c>
      <c r="I150" t="s">
        <v>55</v>
      </c>
      <c r="J150">
        <v>14</v>
      </c>
      <c r="K150" t="s">
        <v>46</v>
      </c>
      <c r="L150" t="s">
        <v>32</v>
      </c>
      <c r="M150" t="s">
        <v>27</v>
      </c>
      <c r="N150">
        <v>6.9</v>
      </c>
      <c r="O150" s="3">
        <v>6763.12</v>
      </c>
      <c r="P150">
        <v>0</v>
      </c>
      <c r="Q150">
        <v>3.6</v>
      </c>
      <c r="R150">
        <v>0.82</v>
      </c>
      <c r="S150" t="str">
        <f t="shared" si="2"/>
        <v>September</v>
      </c>
    </row>
    <row r="151" spans="1:19" x14ac:dyDescent="0.2">
      <c r="A151" t="s">
        <v>360</v>
      </c>
      <c r="B151" t="s">
        <v>361</v>
      </c>
      <c r="C151" t="s">
        <v>58</v>
      </c>
      <c r="D151" t="s">
        <v>35</v>
      </c>
      <c r="E151" s="1">
        <v>45875</v>
      </c>
      <c r="F151" s="1">
        <v>45876</v>
      </c>
      <c r="G151" t="s">
        <v>50</v>
      </c>
      <c r="H151" t="s">
        <v>50</v>
      </c>
      <c r="I151" t="s">
        <v>55</v>
      </c>
      <c r="J151">
        <v>25</v>
      </c>
      <c r="K151" t="s">
        <v>78</v>
      </c>
      <c r="L151" t="s">
        <v>32</v>
      </c>
      <c r="M151" t="s">
        <v>27</v>
      </c>
      <c r="N151">
        <v>0.3</v>
      </c>
      <c r="O151" s="3">
        <v>6763.12</v>
      </c>
      <c r="P151">
        <v>0</v>
      </c>
      <c r="Q151">
        <v>4</v>
      </c>
      <c r="R151">
        <v>0.78</v>
      </c>
      <c r="S151" t="str">
        <f t="shared" si="2"/>
        <v>August</v>
      </c>
    </row>
    <row r="152" spans="1:19" x14ac:dyDescent="0.2">
      <c r="A152" t="s">
        <v>362</v>
      </c>
      <c r="B152" t="s">
        <v>363</v>
      </c>
      <c r="C152" t="s">
        <v>62</v>
      </c>
      <c r="D152" t="s">
        <v>35</v>
      </c>
      <c r="E152" s="1">
        <v>45680</v>
      </c>
      <c r="F152" s="1">
        <v>45683</v>
      </c>
      <c r="G152" t="s">
        <v>43</v>
      </c>
      <c r="H152" t="s">
        <v>50</v>
      </c>
      <c r="I152" t="s">
        <v>31</v>
      </c>
      <c r="J152">
        <v>35</v>
      </c>
      <c r="K152" t="s">
        <v>25</v>
      </c>
      <c r="L152" t="s">
        <v>32</v>
      </c>
      <c r="M152" t="s">
        <v>27</v>
      </c>
      <c r="N152">
        <v>2.4</v>
      </c>
      <c r="O152" s="3">
        <v>6763.12</v>
      </c>
      <c r="P152">
        <v>0</v>
      </c>
      <c r="Q152">
        <v>4.3</v>
      </c>
      <c r="R152">
        <v>0.87</v>
      </c>
      <c r="S152" t="str">
        <f t="shared" si="2"/>
        <v>January</v>
      </c>
    </row>
    <row r="153" spans="1:19" x14ac:dyDescent="0.2">
      <c r="A153" t="s">
        <v>364</v>
      </c>
      <c r="B153" t="s">
        <v>365</v>
      </c>
      <c r="C153" t="s">
        <v>58</v>
      </c>
      <c r="D153" t="s">
        <v>35</v>
      </c>
      <c r="E153" s="1">
        <v>45801</v>
      </c>
      <c r="F153" s="1">
        <v>45806</v>
      </c>
      <c r="G153" t="s">
        <v>36</v>
      </c>
      <c r="H153" t="s">
        <v>50</v>
      </c>
      <c r="I153" t="s">
        <v>117</v>
      </c>
      <c r="J153">
        <v>21</v>
      </c>
      <c r="K153" t="s">
        <v>78</v>
      </c>
      <c r="L153" t="s">
        <v>32</v>
      </c>
      <c r="M153" t="s">
        <v>39</v>
      </c>
      <c r="N153">
        <v>4.8</v>
      </c>
      <c r="O153" s="3">
        <v>6763.12</v>
      </c>
      <c r="P153">
        <v>0</v>
      </c>
      <c r="Q153">
        <v>4.3</v>
      </c>
      <c r="R153">
        <v>0.8</v>
      </c>
      <c r="S153" t="str">
        <f t="shared" si="2"/>
        <v>May</v>
      </c>
    </row>
    <row r="154" spans="1:19" x14ac:dyDescent="0.2">
      <c r="A154" t="s">
        <v>366</v>
      </c>
      <c r="B154" t="s">
        <v>367</v>
      </c>
      <c r="C154" t="s">
        <v>122</v>
      </c>
      <c r="D154" t="s">
        <v>42</v>
      </c>
      <c r="E154" s="1">
        <v>45838</v>
      </c>
      <c r="F154" s="1">
        <v>45842</v>
      </c>
      <c r="G154" t="s">
        <v>68</v>
      </c>
      <c r="H154" t="s">
        <v>23</v>
      </c>
      <c r="I154" t="s">
        <v>31</v>
      </c>
      <c r="J154">
        <v>46</v>
      </c>
      <c r="K154" t="s">
        <v>25</v>
      </c>
      <c r="L154" t="s">
        <v>32</v>
      </c>
      <c r="M154" t="s">
        <v>39</v>
      </c>
      <c r="N154">
        <v>3.9</v>
      </c>
      <c r="O154" s="3">
        <v>6763.12</v>
      </c>
      <c r="P154">
        <v>0</v>
      </c>
      <c r="Q154">
        <v>3.4</v>
      </c>
      <c r="R154">
        <v>0.76</v>
      </c>
      <c r="S154" t="str">
        <f t="shared" si="2"/>
        <v>June</v>
      </c>
    </row>
    <row r="155" spans="1:19" x14ac:dyDescent="0.2">
      <c r="A155" t="s">
        <v>368</v>
      </c>
      <c r="B155" t="s">
        <v>369</v>
      </c>
      <c r="C155" t="s">
        <v>122</v>
      </c>
      <c r="D155" t="s">
        <v>49</v>
      </c>
      <c r="E155" s="1">
        <v>45992</v>
      </c>
      <c r="F155" s="1">
        <v>45994</v>
      </c>
      <c r="G155" t="s">
        <v>68</v>
      </c>
      <c r="H155" t="s">
        <v>44</v>
      </c>
      <c r="I155" t="s">
        <v>81</v>
      </c>
      <c r="J155">
        <v>72</v>
      </c>
      <c r="K155" t="s">
        <v>169</v>
      </c>
      <c r="L155" t="s">
        <v>26</v>
      </c>
      <c r="M155" t="s">
        <v>82</v>
      </c>
      <c r="N155">
        <v>1.8</v>
      </c>
      <c r="O155" s="3">
        <v>6763.12</v>
      </c>
      <c r="P155">
        <v>0</v>
      </c>
      <c r="Q155">
        <v>3.6</v>
      </c>
      <c r="R155">
        <v>0.82</v>
      </c>
      <c r="S155" t="str">
        <f t="shared" si="2"/>
        <v>December</v>
      </c>
    </row>
    <row r="156" spans="1:19" x14ac:dyDescent="0.2">
      <c r="A156" t="s">
        <v>370</v>
      </c>
      <c r="B156" t="s">
        <v>371</v>
      </c>
      <c r="C156" t="s">
        <v>20</v>
      </c>
      <c r="D156" t="s">
        <v>21</v>
      </c>
      <c r="E156" s="1">
        <v>45738</v>
      </c>
      <c r="F156" s="1">
        <v>45746</v>
      </c>
      <c r="G156" t="s">
        <v>36</v>
      </c>
      <c r="H156" t="s">
        <v>50</v>
      </c>
      <c r="I156" t="s">
        <v>31</v>
      </c>
      <c r="J156">
        <v>41</v>
      </c>
      <c r="K156" t="s">
        <v>25</v>
      </c>
      <c r="L156" t="s">
        <v>32</v>
      </c>
      <c r="M156" t="s">
        <v>39</v>
      </c>
      <c r="N156">
        <v>7.5</v>
      </c>
      <c r="O156" s="3">
        <v>6763.12</v>
      </c>
      <c r="P156">
        <v>0</v>
      </c>
      <c r="Q156">
        <v>3.8</v>
      </c>
      <c r="R156">
        <v>0.73</v>
      </c>
      <c r="S156" t="str">
        <f t="shared" si="2"/>
        <v>March</v>
      </c>
    </row>
    <row r="157" spans="1:19" x14ac:dyDescent="0.2">
      <c r="A157" t="s">
        <v>372</v>
      </c>
      <c r="B157" t="s">
        <v>373</v>
      </c>
      <c r="C157" t="s">
        <v>30</v>
      </c>
      <c r="D157" t="s">
        <v>21</v>
      </c>
      <c r="E157" s="1">
        <v>45839</v>
      </c>
      <c r="F157" s="1">
        <v>45842</v>
      </c>
      <c r="G157" t="s">
        <v>50</v>
      </c>
      <c r="H157" t="s">
        <v>23</v>
      </c>
      <c r="I157" t="s">
        <v>31</v>
      </c>
      <c r="J157">
        <v>40</v>
      </c>
      <c r="K157" t="s">
        <v>25</v>
      </c>
      <c r="L157" t="s">
        <v>26</v>
      </c>
      <c r="M157" t="s">
        <v>27</v>
      </c>
      <c r="N157">
        <v>2.4</v>
      </c>
      <c r="O157" s="3">
        <v>6763.12</v>
      </c>
      <c r="P157">
        <v>0</v>
      </c>
      <c r="Q157">
        <v>4.5</v>
      </c>
      <c r="R157">
        <v>0.87</v>
      </c>
      <c r="S157" t="str">
        <f t="shared" si="2"/>
        <v>July</v>
      </c>
    </row>
    <row r="158" spans="1:19" x14ac:dyDescent="0.2">
      <c r="A158" t="s">
        <v>374</v>
      </c>
      <c r="B158" t="s">
        <v>375</v>
      </c>
      <c r="C158" t="s">
        <v>20</v>
      </c>
      <c r="D158" t="s">
        <v>49</v>
      </c>
      <c r="E158" s="1">
        <v>45783</v>
      </c>
      <c r="F158" s="1">
        <v>45785</v>
      </c>
      <c r="G158" t="s">
        <v>22</v>
      </c>
      <c r="H158" t="s">
        <v>50</v>
      </c>
      <c r="I158" t="s">
        <v>51</v>
      </c>
      <c r="J158">
        <v>5</v>
      </c>
      <c r="K158" t="s">
        <v>103</v>
      </c>
      <c r="L158" t="s">
        <v>32</v>
      </c>
      <c r="M158" t="s">
        <v>27</v>
      </c>
      <c r="N158">
        <v>1.1000000000000001</v>
      </c>
      <c r="O158" s="3">
        <v>6763.12</v>
      </c>
      <c r="P158">
        <v>0</v>
      </c>
      <c r="Q158">
        <v>3.8</v>
      </c>
      <c r="R158">
        <v>0.8</v>
      </c>
      <c r="S158" t="str">
        <f t="shared" si="2"/>
        <v>May</v>
      </c>
    </row>
    <row r="159" spans="1:19" x14ac:dyDescent="0.2">
      <c r="A159" t="s">
        <v>376</v>
      </c>
      <c r="B159" t="s">
        <v>377</v>
      </c>
      <c r="C159" t="s">
        <v>30</v>
      </c>
      <c r="D159" t="s">
        <v>35</v>
      </c>
      <c r="E159" s="1">
        <v>45707</v>
      </c>
      <c r="F159" s="1">
        <v>45711</v>
      </c>
      <c r="G159" t="s">
        <v>63</v>
      </c>
      <c r="H159" t="s">
        <v>50</v>
      </c>
      <c r="I159" t="s">
        <v>31</v>
      </c>
      <c r="J159">
        <v>25</v>
      </c>
      <c r="K159" t="s">
        <v>78</v>
      </c>
      <c r="L159" t="s">
        <v>32</v>
      </c>
      <c r="M159" t="s">
        <v>27</v>
      </c>
      <c r="N159">
        <v>3.1</v>
      </c>
      <c r="O159" s="3">
        <v>6763.12</v>
      </c>
      <c r="P159">
        <v>0</v>
      </c>
      <c r="Q159">
        <v>3.9</v>
      </c>
      <c r="R159">
        <v>0.82</v>
      </c>
      <c r="S159" t="str">
        <f t="shared" si="2"/>
        <v>February</v>
      </c>
    </row>
    <row r="160" spans="1:19" x14ac:dyDescent="0.2">
      <c r="A160" t="s">
        <v>378</v>
      </c>
      <c r="B160" t="s">
        <v>379</v>
      </c>
      <c r="C160" t="s">
        <v>30</v>
      </c>
      <c r="D160" t="s">
        <v>35</v>
      </c>
      <c r="E160" s="1">
        <v>45695</v>
      </c>
      <c r="F160" s="1">
        <v>45698</v>
      </c>
      <c r="G160" t="s">
        <v>43</v>
      </c>
      <c r="H160" t="s">
        <v>50</v>
      </c>
      <c r="I160" t="s">
        <v>100</v>
      </c>
      <c r="J160">
        <v>73</v>
      </c>
      <c r="K160" t="s">
        <v>169</v>
      </c>
      <c r="L160" t="s">
        <v>32</v>
      </c>
      <c r="M160" t="s">
        <v>52</v>
      </c>
      <c r="N160">
        <v>2.2999999999999998</v>
      </c>
      <c r="O160" s="3">
        <v>6763.12</v>
      </c>
      <c r="P160">
        <v>0</v>
      </c>
      <c r="Q160">
        <v>3.3</v>
      </c>
      <c r="R160">
        <v>0.74</v>
      </c>
      <c r="S160" t="str">
        <f t="shared" si="2"/>
        <v>February</v>
      </c>
    </row>
    <row r="161" spans="1:19" x14ac:dyDescent="0.2">
      <c r="A161" t="s">
        <v>380</v>
      </c>
      <c r="B161" t="s">
        <v>381</v>
      </c>
      <c r="C161" t="s">
        <v>62</v>
      </c>
      <c r="D161" t="s">
        <v>49</v>
      </c>
      <c r="E161" s="1">
        <v>45791</v>
      </c>
      <c r="F161" s="1">
        <v>45793</v>
      </c>
      <c r="G161" t="s">
        <v>99</v>
      </c>
      <c r="H161" t="s">
        <v>50</v>
      </c>
      <c r="I161" t="s">
        <v>55</v>
      </c>
      <c r="J161">
        <v>73</v>
      </c>
      <c r="K161" t="s">
        <v>169</v>
      </c>
      <c r="L161" t="s">
        <v>32</v>
      </c>
      <c r="M161" t="s">
        <v>27</v>
      </c>
      <c r="N161">
        <v>2</v>
      </c>
      <c r="O161" s="3">
        <v>6763.12</v>
      </c>
      <c r="P161">
        <v>0</v>
      </c>
      <c r="Q161">
        <v>5</v>
      </c>
      <c r="R161">
        <v>0.82</v>
      </c>
      <c r="S161" t="str">
        <f t="shared" si="2"/>
        <v>May</v>
      </c>
    </row>
    <row r="162" spans="1:19" x14ac:dyDescent="0.2">
      <c r="A162" t="s">
        <v>382</v>
      </c>
      <c r="B162" t="s">
        <v>383</v>
      </c>
      <c r="C162" t="s">
        <v>58</v>
      </c>
      <c r="D162" t="s">
        <v>21</v>
      </c>
      <c r="E162" s="1">
        <v>45688</v>
      </c>
      <c r="F162" s="1">
        <v>45695</v>
      </c>
      <c r="G162" t="s">
        <v>43</v>
      </c>
      <c r="H162" t="s">
        <v>23</v>
      </c>
      <c r="I162" t="s">
        <v>31</v>
      </c>
      <c r="J162">
        <v>9</v>
      </c>
      <c r="K162" t="s">
        <v>103</v>
      </c>
      <c r="L162" t="s">
        <v>32</v>
      </c>
      <c r="M162" t="s">
        <v>52</v>
      </c>
      <c r="N162">
        <v>6.4</v>
      </c>
      <c r="O162" s="3">
        <v>6763.12</v>
      </c>
      <c r="P162">
        <v>0</v>
      </c>
      <c r="Q162">
        <v>4</v>
      </c>
      <c r="R162">
        <v>0.8</v>
      </c>
      <c r="S162" t="str">
        <f t="shared" si="2"/>
        <v>January</v>
      </c>
    </row>
    <row r="163" spans="1:19" x14ac:dyDescent="0.2">
      <c r="A163" t="s">
        <v>384</v>
      </c>
      <c r="B163" t="s">
        <v>385</v>
      </c>
      <c r="C163" t="s">
        <v>20</v>
      </c>
      <c r="D163" t="s">
        <v>49</v>
      </c>
      <c r="E163" s="1">
        <v>45682</v>
      </c>
      <c r="F163" s="1">
        <v>45692</v>
      </c>
      <c r="G163" t="s">
        <v>71</v>
      </c>
      <c r="H163" t="s">
        <v>23</v>
      </c>
      <c r="I163" t="s">
        <v>31</v>
      </c>
      <c r="J163">
        <v>1</v>
      </c>
      <c r="K163" t="s">
        <v>103</v>
      </c>
      <c r="L163" t="s">
        <v>26</v>
      </c>
      <c r="M163" t="s">
        <v>27</v>
      </c>
      <c r="N163">
        <v>9.6999999999999993</v>
      </c>
      <c r="O163" s="3">
        <v>6763.12</v>
      </c>
      <c r="P163">
        <v>1</v>
      </c>
      <c r="Q163">
        <v>4.3</v>
      </c>
      <c r="R163">
        <v>0.78</v>
      </c>
      <c r="S163" t="str">
        <f t="shared" si="2"/>
        <v>January</v>
      </c>
    </row>
    <row r="164" spans="1:19" x14ac:dyDescent="0.2">
      <c r="A164" t="s">
        <v>386</v>
      </c>
      <c r="B164" t="s">
        <v>387</v>
      </c>
      <c r="C164" t="s">
        <v>122</v>
      </c>
      <c r="D164" t="s">
        <v>42</v>
      </c>
      <c r="E164" s="1">
        <v>45786</v>
      </c>
      <c r="F164" s="1">
        <v>45791</v>
      </c>
      <c r="G164" t="s">
        <v>59</v>
      </c>
      <c r="H164" t="s">
        <v>23</v>
      </c>
      <c r="I164" t="s">
        <v>45</v>
      </c>
      <c r="J164">
        <v>75</v>
      </c>
      <c r="K164" t="s">
        <v>65</v>
      </c>
      <c r="L164" t="s">
        <v>26</v>
      </c>
      <c r="M164" t="s">
        <v>27</v>
      </c>
      <c r="N164">
        <v>4.2</v>
      </c>
      <c r="O164" s="3">
        <v>6763.12</v>
      </c>
      <c r="P164">
        <v>0</v>
      </c>
      <c r="Q164">
        <v>3.8</v>
      </c>
      <c r="R164">
        <v>0.81</v>
      </c>
      <c r="S164" t="str">
        <f t="shared" si="2"/>
        <v>May</v>
      </c>
    </row>
    <row r="165" spans="1:19" x14ac:dyDescent="0.2">
      <c r="A165" t="s">
        <v>388</v>
      </c>
      <c r="B165" t="s">
        <v>389</v>
      </c>
      <c r="C165" t="s">
        <v>20</v>
      </c>
      <c r="D165" t="s">
        <v>42</v>
      </c>
      <c r="E165" s="1">
        <v>45731</v>
      </c>
      <c r="F165" s="1">
        <v>45733</v>
      </c>
      <c r="G165" t="s">
        <v>50</v>
      </c>
      <c r="H165" t="s">
        <v>50</v>
      </c>
      <c r="I165" t="s">
        <v>31</v>
      </c>
      <c r="J165">
        <v>15</v>
      </c>
      <c r="K165" t="s">
        <v>46</v>
      </c>
      <c r="L165" t="s">
        <v>26</v>
      </c>
      <c r="M165" t="s">
        <v>27</v>
      </c>
      <c r="N165">
        <v>1.6</v>
      </c>
      <c r="O165" s="3">
        <v>6763.12</v>
      </c>
      <c r="P165">
        <v>0</v>
      </c>
      <c r="Q165">
        <v>3.8</v>
      </c>
      <c r="R165">
        <v>0.8</v>
      </c>
      <c r="S165" t="str">
        <f t="shared" si="2"/>
        <v>March</v>
      </c>
    </row>
    <row r="166" spans="1:19" x14ac:dyDescent="0.2">
      <c r="A166" t="s">
        <v>390</v>
      </c>
      <c r="B166" t="s">
        <v>391</v>
      </c>
      <c r="C166" t="s">
        <v>62</v>
      </c>
      <c r="D166" t="s">
        <v>35</v>
      </c>
      <c r="E166" s="1">
        <v>45860</v>
      </c>
      <c r="F166" s="1">
        <v>45867</v>
      </c>
      <c r="G166" t="s">
        <v>63</v>
      </c>
      <c r="H166" t="s">
        <v>23</v>
      </c>
      <c r="I166" t="s">
        <v>31</v>
      </c>
      <c r="J166">
        <v>52</v>
      </c>
      <c r="K166" t="s">
        <v>38</v>
      </c>
      <c r="L166" t="s">
        <v>32</v>
      </c>
      <c r="M166" t="s">
        <v>27</v>
      </c>
      <c r="N166">
        <v>6.8</v>
      </c>
      <c r="O166" s="3">
        <v>6763.12</v>
      </c>
      <c r="P166">
        <v>0</v>
      </c>
      <c r="Q166">
        <v>3</v>
      </c>
      <c r="R166">
        <v>0.88</v>
      </c>
      <c r="S166" t="str">
        <f t="shared" si="2"/>
        <v>July</v>
      </c>
    </row>
    <row r="167" spans="1:19" x14ac:dyDescent="0.2">
      <c r="A167" t="s">
        <v>392</v>
      </c>
      <c r="B167" t="s">
        <v>393</v>
      </c>
      <c r="C167" t="s">
        <v>58</v>
      </c>
      <c r="D167" t="s">
        <v>35</v>
      </c>
      <c r="E167" s="1">
        <v>45664</v>
      </c>
      <c r="F167" s="1">
        <v>45667</v>
      </c>
      <c r="G167" t="s">
        <v>22</v>
      </c>
      <c r="H167" t="s">
        <v>50</v>
      </c>
      <c r="I167" t="s">
        <v>37</v>
      </c>
      <c r="J167">
        <v>75</v>
      </c>
      <c r="K167" t="s">
        <v>65</v>
      </c>
      <c r="L167" t="s">
        <v>32</v>
      </c>
      <c r="M167" t="s">
        <v>82</v>
      </c>
      <c r="N167">
        <v>2.4</v>
      </c>
      <c r="O167" s="3">
        <v>6763.12</v>
      </c>
      <c r="P167">
        <v>0</v>
      </c>
      <c r="Q167">
        <v>2.6</v>
      </c>
      <c r="R167">
        <v>0.76</v>
      </c>
      <c r="S167" t="str">
        <f t="shared" si="2"/>
        <v>January</v>
      </c>
    </row>
    <row r="168" spans="1:19" x14ac:dyDescent="0.2">
      <c r="A168" t="s">
        <v>394</v>
      </c>
      <c r="B168" t="s">
        <v>395</v>
      </c>
      <c r="C168" t="s">
        <v>58</v>
      </c>
      <c r="D168" t="s">
        <v>35</v>
      </c>
      <c r="E168" s="1">
        <v>45768</v>
      </c>
      <c r="F168" s="1">
        <v>45771</v>
      </c>
      <c r="G168" t="s">
        <v>99</v>
      </c>
      <c r="H168" t="s">
        <v>50</v>
      </c>
      <c r="I168" t="s">
        <v>24</v>
      </c>
      <c r="J168">
        <v>71</v>
      </c>
      <c r="K168" t="s">
        <v>169</v>
      </c>
      <c r="L168" t="s">
        <v>26</v>
      </c>
      <c r="M168" t="s">
        <v>39</v>
      </c>
      <c r="N168">
        <v>2.4</v>
      </c>
      <c r="O168" s="3">
        <v>6763.12</v>
      </c>
      <c r="P168">
        <v>1</v>
      </c>
      <c r="Q168">
        <v>4.7</v>
      </c>
      <c r="R168">
        <v>0.71</v>
      </c>
      <c r="S168" t="str">
        <f t="shared" si="2"/>
        <v>April</v>
      </c>
    </row>
    <row r="169" spans="1:19" x14ac:dyDescent="0.2">
      <c r="A169" t="s">
        <v>396</v>
      </c>
      <c r="B169" t="s">
        <v>397</v>
      </c>
      <c r="C169" t="s">
        <v>20</v>
      </c>
      <c r="D169" t="s">
        <v>42</v>
      </c>
      <c r="E169" s="1">
        <v>45823</v>
      </c>
      <c r="F169" s="1">
        <v>45824</v>
      </c>
      <c r="G169" t="s">
        <v>50</v>
      </c>
      <c r="H169" t="s">
        <v>50</v>
      </c>
      <c r="I169" t="s">
        <v>100</v>
      </c>
      <c r="J169">
        <v>50</v>
      </c>
      <c r="K169" t="s">
        <v>38</v>
      </c>
      <c r="L169" t="s">
        <v>32</v>
      </c>
      <c r="M169" t="s">
        <v>27</v>
      </c>
      <c r="N169">
        <v>0.5</v>
      </c>
      <c r="O169" s="3">
        <v>6763.12</v>
      </c>
      <c r="P169">
        <v>0</v>
      </c>
      <c r="Q169">
        <v>3.7</v>
      </c>
      <c r="R169">
        <v>0.8</v>
      </c>
      <c r="S169" t="str">
        <f t="shared" si="2"/>
        <v>June</v>
      </c>
    </row>
    <row r="170" spans="1:19" x14ac:dyDescent="0.2">
      <c r="A170" t="s">
        <v>398</v>
      </c>
      <c r="B170" t="s">
        <v>399</v>
      </c>
      <c r="C170" t="s">
        <v>122</v>
      </c>
      <c r="D170" t="s">
        <v>42</v>
      </c>
      <c r="E170" s="1">
        <v>46009</v>
      </c>
      <c r="F170" s="1">
        <v>46014</v>
      </c>
      <c r="G170" t="s">
        <v>99</v>
      </c>
      <c r="H170" t="s">
        <v>23</v>
      </c>
      <c r="I170" t="s">
        <v>37</v>
      </c>
      <c r="J170">
        <v>34</v>
      </c>
      <c r="K170" t="s">
        <v>78</v>
      </c>
      <c r="L170" t="s">
        <v>32</v>
      </c>
      <c r="M170" t="s">
        <v>39</v>
      </c>
      <c r="N170">
        <v>4.8</v>
      </c>
      <c r="O170" s="3">
        <v>6763.12</v>
      </c>
      <c r="P170">
        <v>1</v>
      </c>
      <c r="Q170">
        <v>4</v>
      </c>
      <c r="R170">
        <v>0.84</v>
      </c>
      <c r="S170" t="str">
        <f t="shared" si="2"/>
        <v>December</v>
      </c>
    </row>
    <row r="171" spans="1:19" x14ac:dyDescent="0.2">
      <c r="A171" t="s">
        <v>400</v>
      </c>
      <c r="B171" t="s">
        <v>401</v>
      </c>
      <c r="C171" t="s">
        <v>58</v>
      </c>
      <c r="D171" t="s">
        <v>42</v>
      </c>
      <c r="E171" s="1">
        <v>45889</v>
      </c>
      <c r="F171" s="1">
        <v>45890</v>
      </c>
      <c r="G171" t="s">
        <v>68</v>
      </c>
      <c r="H171" t="s">
        <v>44</v>
      </c>
      <c r="I171" t="s">
        <v>64</v>
      </c>
      <c r="J171">
        <v>70</v>
      </c>
      <c r="K171" t="s">
        <v>169</v>
      </c>
      <c r="L171" t="s">
        <v>32</v>
      </c>
      <c r="M171" t="s">
        <v>39</v>
      </c>
      <c r="N171">
        <v>0.7</v>
      </c>
      <c r="O171" s="3">
        <v>6763.12</v>
      </c>
      <c r="P171">
        <v>0</v>
      </c>
      <c r="Q171">
        <v>3.2</v>
      </c>
      <c r="R171">
        <v>0.77</v>
      </c>
      <c r="S171" t="str">
        <f t="shared" si="2"/>
        <v>August</v>
      </c>
    </row>
    <row r="172" spans="1:19" x14ac:dyDescent="0.2">
      <c r="A172" t="s">
        <v>402</v>
      </c>
      <c r="B172" t="s">
        <v>403</v>
      </c>
      <c r="C172" t="s">
        <v>62</v>
      </c>
      <c r="D172" t="s">
        <v>35</v>
      </c>
      <c r="E172" s="1">
        <v>45979</v>
      </c>
      <c r="F172" s="1">
        <v>45980</v>
      </c>
      <c r="G172" t="s">
        <v>50</v>
      </c>
      <c r="H172" t="s">
        <v>50</v>
      </c>
      <c r="I172" t="s">
        <v>64</v>
      </c>
      <c r="J172">
        <v>63</v>
      </c>
      <c r="K172" t="s">
        <v>38</v>
      </c>
      <c r="L172" t="s">
        <v>32</v>
      </c>
      <c r="M172" t="s">
        <v>52</v>
      </c>
      <c r="N172">
        <v>0.8</v>
      </c>
      <c r="O172" s="3">
        <v>6763.12</v>
      </c>
      <c r="P172">
        <v>0</v>
      </c>
      <c r="Q172">
        <v>3.2</v>
      </c>
      <c r="R172">
        <v>0.84</v>
      </c>
      <c r="S172" t="str">
        <f t="shared" si="2"/>
        <v>November</v>
      </c>
    </row>
    <row r="173" spans="1:19" x14ac:dyDescent="0.2">
      <c r="A173" t="s">
        <v>404</v>
      </c>
      <c r="B173" t="s">
        <v>405</v>
      </c>
      <c r="C173" t="s">
        <v>20</v>
      </c>
      <c r="D173" t="s">
        <v>42</v>
      </c>
      <c r="E173" s="1">
        <v>45783</v>
      </c>
      <c r="F173" s="1">
        <v>45785</v>
      </c>
      <c r="G173" t="s">
        <v>116</v>
      </c>
      <c r="H173" t="s">
        <v>23</v>
      </c>
      <c r="I173" t="s">
        <v>37</v>
      </c>
      <c r="J173">
        <v>76</v>
      </c>
      <c r="K173" t="s">
        <v>65</v>
      </c>
      <c r="L173" t="s">
        <v>26</v>
      </c>
      <c r="M173" t="s">
        <v>52</v>
      </c>
      <c r="N173">
        <v>1.3</v>
      </c>
      <c r="O173" s="3">
        <v>6763.12</v>
      </c>
      <c r="P173">
        <v>0</v>
      </c>
      <c r="Q173">
        <v>4.5</v>
      </c>
      <c r="R173">
        <v>0.89</v>
      </c>
      <c r="S173" t="str">
        <f t="shared" si="2"/>
        <v>May</v>
      </c>
    </row>
    <row r="174" spans="1:19" x14ac:dyDescent="0.2">
      <c r="A174" t="s">
        <v>406</v>
      </c>
      <c r="B174" t="s">
        <v>407</v>
      </c>
      <c r="C174" t="s">
        <v>122</v>
      </c>
      <c r="D174" t="s">
        <v>49</v>
      </c>
      <c r="E174" s="1">
        <v>45822</v>
      </c>
      <c r="F174" s="1">
        <v>45824</v>
      </c>
      <c r="G174" t="s">
        <v>71</v>
      </c>
      <c r="H174" t="s">
        <v>23</v>
      </c>
      <c r="I174" t="s">
        <v>100</v>
      </c>
      <c r="J174">
        <v>46</v>
      </c>
      <c r="K174" t="s">
        <v>25</v>
      </c>
      <c r="L174" t="s">
        <v>32</v>
      </c>
      <c r="M174" t="s">
        <v>39</v>
      </c>
      <c r="N174">
        <v>1.1000000000000001</v>
      </c>
      <c r="O174" s="3">
        <v>6763.12</v>
      </c>
      <c r="P174">
        <v>0</v>
      </c>
      <c r="Q174">
        <v>4.9000000000000004</v>
      </c>
      <c r="R174">
        <v>0.83</v>
      </c>
      <c r="S174" t="str">
        <f t="shared" si="2"/>
        <v>June</v>
      </c>
    </row>
    <row r="175" spans="1:19" x14ac:dyDescent="0.2">
      <c r="A175" t="s">
        <v>408</v>
      </c>
      <c r="B175" t="s">
        <v>409</v>
      </c>
      <c r="C175" t="s">
        <v>20</v>
      </c>
      <c r="D175" t="s">
        <v>42</v>
      </c>
      <c r="E175" s="1">
        <v>45811</v>
      </c>
      <c r="F175" s="1">
        <v>45814</v>
      </c>
      <c r="G175" t="s">
        <v>36</v>
      </c>
      <c r="H175" t="s">
        <v>23</v>
      </c>
      <c r="I175" t="s">
        <v>81</v>
      </c>
      <c r="J175">
        <v>85</v>
      </c>
      <c r="K175" t="s">
        <v>65</v>
      </c>
      <c r="L175" t="s">
        <v>32</v>
      </c>
      <c r="M175" t="s">
        <v>82</v>
      </c>
      <c r="N175">
        <v>2.8</v>
      </c>
      <c r="O175" s="3">
        <v>6763.12</v>
      </c>
      <c r="P175">
        <v>0</v>
      </c>
      <c r="Q175">
        <v>3.5</v>
      </c>
      <c r="R175">
        <v>0.83</v>
      </c>
      <c r="S175" t="str">
        <f t="shared" si="2"/>
        <v>June</v>
      </c>
    </row>
    <row r="176" spans="1:19" x14ac:dyDescent="0.2">
      <c r="A176" t="s">
        <v>410</v>
      </c>
      <c r="B176" t="s">
        <v>411</v>
      </c>
      <c r="C176" t="s">
        <v>20</v>
      </c>
      <c r="D176" t="s">
        <v>49</v>
      </c>
      <c r="E176" s="1">
        <v>45981</v>
      </c>
      <c r="F176" s="1">
        <v>45983</v>
      </c>
      <c r="G176" t="s">
        <v>116</v>
      </c>
      <c r="H176" t="s">
        <v>50</v>
      </c>
      <c r="I176" t="s">
        <v>64</v>
      </c>
      <c r="J176">
        <v>70</v>
      </c>
      <c r="K176" t="s">
        <v>169</v>
      </c>
      <c r="L176" t="s">
        <v>26</v>
      </c>
      <c r="M176" t="s">
        <v>82</v>
      </c>
      <c r="N176">
        <v>1.8</v>
      </c>
      <c r="O176" s="3">
        <v>6763.12</v>
      </c>
      <c r="P176">
        <v>0</v>
      </c>
      <c r="Q176">
        <v>4.3</v>
      </c>
      <c r="R176">
        <v>0.81</v>
      </c>
      <c r="S176" t="str">
        <f t="shared" si="2"/>
        <v>November</v>
      </c>
    </row>
    <row r="177" spans="1:19" x14ac:dyDescent="0.2">
      <c r="A177" t="s">
        <v>412</v>
      </c>
      <c r="B177" t="s">
        <v>413</v>
      </c>
      <c r="C177" t="s">
        <v>62</v>
      </c>
      <c r="D177" t="s">
        <v>35</v>
      </c>
      <c r="E177" s="1">
        <v>46008</v>
      </c>
      <c r="F177" s="1">
        <v>46009</v>
      </c>
      <c r="G177" t="s">
        <v>50</v>
      </c>
      <c r="H177" t="s">
        <v>23</v>
      </c>
      <c r="I177" t="s">
        <v>24</v>
      </c>
      <c r="J177">
        <v>5</v>
      </c>
      <c r="K177" t="s">
        <v>103</v>
      </c>
      <c r="L177" t="s">
        <v>26</v>
      </c>
      <c r="M177" t="s">
        <v>39</v>
      </c>
      <c r="N177">
        <v>0.4</v>
      </c>
      <c r="O177" s="3">
        <v>6763.12</v>
      </c>
      <c r="P177">
        <v>0</v>
      </c>
      <c r="Q177">
        <v>3.8</v>
      </c>
      <c r="R177">
        <v>0.87</v>
      </c>
      <c r="S177" t="str">
        <f t="shared" si="2"/>
        <v>December</v>
      </c>
    </row>
    <row r="178" spans="1:19" x14ac:dyDescent="0.2">
      <c r="A178" t="s">
        <v>414</v>
      </c>
      <c r="B178" t="s">
        <v>415</v>
      </c>
      <c r="C178" t="s">
        <v>58</v>
      </c>
      <c r="D178" t="s">
        <v>35</v>
      </c>
      <c r="E178" s="1">
        <v>46009</v>
      </c>
      <c r="F178" s="1">
        <v>46022</v>
      </c>
      <c r="G178" t="s">
        <v>59</v>
      </c>
      <c r="H178" t="s">
        <v>23</v>
      </c>
      <c r="I178" t="s">
        <v>45</v>
      </c>
      <c r="J178">
        <v>26</v>
      </c>
      <c r="K178" t="s">
        <v>78</v>
      </c>
      <c r="L178" t="s">
        <v>32</v>
      </c>
      <c r="M178" t="s">
        <v>39</v>
      </c>
      <c r="N178">
        <v>12.5</v>
      </c>
      <c r="O178" s="3">
        <v>6763.12</v>
      </c>
      <c r="P178">
        <v>0</v>
      </c>
      <c r="Q178">
        <v>3.5</v>
      </c>
      <c r="R178">
        <v>0.78</v>
      </c>
      <c r="S178" t="str">
        <f t="shared" si="2"/>
        <v>December</v>
      </c>
    </row>
    <row r="179" spans="1:19" x14ac:dyDescent="0.2">
      <c r="A179" t="s">
        <v>416</v>
      </c>
      <c r="B179" t="s">
        <v>417</v>
      </c>
      <c r="C179" t="s">
        <v>122</v>
      </c>
      <c r="D179" t="s">
        <v>42</v>
      </c>
      <c r="E179" s="1">
        <v>45932</v>
      </c>
      <c r="F179" s="1">
        <v>45938</v>
      </c>
      <c r="G179" t="s">
        <v>36</v>
      </c>
      <c r="H179" t="s">
        <v>44</v>
      </c>
      <c r="I179" t="s">
        <v>31</v>
      </c>
      <c r="J179">
        <v>72</v>
      </c>
      <c r="K179" t="s">
        <v>169</v>
      </c>
      <c r="L179" t="s">
        <v>32</v>
      </c>
      <c r="M179" t="s">
        <v>27</v>
      </c>
      <c r="N179">
        <v>5.4</v>
      </c>
      <c r="O179" s="3">
        <v>6763.12</v>
      </c>
      <c r="P179">
        <v>0</v>
      </c>
      <c r="Q179">
        <v>5</v>
      </c>
      <c r="R179">
        <v>0.69</v>
      </c>
      <c r="S179" t="str">
        <f t="shared" si="2"/>
        <v>October</v>
      </c>
    </row>
    <row r="180" spans="1:19" x14ac:dyDescent="0.2">
      <c r="A180" t="s">
        <v>418</v>
      </c>
      <c r="B180" t="s">
        <v>419</v>
      </c>
      <c r="C180" t="s">
        <v>122</v>
      </c>
      <c r="D180" t="s">
        <v>21</v>
      </c>
      <c r="E180" s="1">
        <v>45841</v>
      </c>
      <c r="F180" s="1">
        <v>45847</v>
      </c>
      <c r="G180" t="s">
        <v>59</v>
      </c>
      <c r="H180" t="s">
        <v>50</v>
      </c>
      <c r="I180" t="s">
        <v>51</v>
      </c>
      <c r="J180">
        <v>10</v>
      </c>
      <c r="K180" t="s">
        <v>103</v>
      </c>
      <c r="L180" t="s">
        <v>26</v>
      </c>
      <c r="M180" t="s">
        <v>82</v>
      </c>
      <c r="N180">
        <v>5.8</v>
      </c>
      <c r="O180" s="3">
        <v>6763.12</v>
      </c>
      <c r="P180">
        <v>0</v>
      </c>
      <c r="Q180">
        <v>3.5</v>
      </c>
      <c r="R180">
        <v>0.8</v>
      </c>
      <c r="S180" t="str">
        <f t="shared" si="2"/>
        <v>July</v>
      </c>
    </row>
    <row r="181" spans="1:19" x14ac:dyDescent="0.2">
      <c r="A181" t="s">
        <v>420</v>
      </c>
      <c r="B181" t="s">
        <v>421</v>
      </c>
      <c r="C181" t="s">
        <v>20</v>
      </c>
      <c r="D181" t="s">
        <v>21</v>
      </c>
      <c r="E181" s="1">
        <v>45855</v>
      </c>
      <c r="F181" s="1">
        <v>45863</v>
      </c>
      <c r="G181" t="s">
        <v>71</v>
      </c>
      <c r="H181" t="s">
        <v>44</v>
      </c>
      <c r="I181" t="s">
        <v>81</v>
      </c>
      <c r="J181">
        <v>64</v>
      </c>
      <c r="K181" t="s">
        <v>38</v>
      </c>
      <c r="L181" t="s">
        <v>32</v>
      </c>
      <c r="M181" t="s">
        <v>52</v>
      </c>
      <c r="N181">
        <v>7.8</v>
      </c>
      <c r="O181" s="3">
        <v>6763.12</v>
      </c>
      <c r="P181">
        <v>0</v>
      </c>
      <c r="Q181">
        <v>4.4000000000000004</v>
      </c>
      <c r="R181">
        <v>0.79</v>
      </c>
      <c r="S181" t="str">
        <f t="shared" si="2"/>
        <v>July</v>
      </c>
    </row>
    <row r="182" spans="1:19" x14ac:dyDescent="0.2">
      <c r="A182" t="s">
        <v>422</v>
      </c>
      <c r="B182" t="s">
        <v>423</v>
      </c>
      <c r="C182" t="s">
        <v>30</v>
      </c>
      <c r="D182" t="s">
        <v>21</v>
      </c>
      <c r="E182" s="1">
        <v>46015</v>
      </c>
      <c r="F182" s="1">
        <v>46025</v>
      </c>
      <c r="G182" t="s">
        <v>71</v>
      </c>
      <c r="H182" t="s">
        <v>50</v>
      </c>
      <c r="I182" t="s">
        <v>81</v>
      </c>
      <c r="J182">
        <v>30</v>
      </c>
      <c r="K182" t="s">
        <v>78</v>
      </c>
      <c r="L182" t="s">
        <v>32</v>
      </c>
      <c r="M182" t="s">
        <v>27</v>
      </c>
      <c r="N182">
        <v>9.5</v>
      </c>
      <c r="O182" s="3">
        <v>6763.12</v>
      </c>
      <c r="P182">
        <v>0</v>
      </c>
      <c r="Q182">
        <v>3.9</v>
      </c>
      <c r="R182">
        <v>0.8</v>
      </c>
      <c r="S182" t="str">
        <f t="shared" si="2"/>
        <v>December</v>
      </c>
    </row>
    <row r="183" spans="1:19" x14ac:dyDescent="0.2">
      <c r="A183" t="s">
        <v>424</v>
      </c>
      <c r="B183" t="s">
        <v>425</v>
      </c>
      <c r="C183" t="s">
        <v>20</v>
      </c>
      <c r="D183" t="s">
        <v>21</v>
      </c>
      <c r="E183" s="1">
        <v>45761</v>
      </c>
      <c r="F183" s="1">
        <v>45764</v>
      </c>
      <c r="G183" t="s">
        <v>50</v>
      </c>
      <c r="H183" t="s">
        <v>23</v>
      </c>
      <c r="I183" t="s">
        <v>31</v>
      </c>
      <c r="J183">
        <v>18</v>
      </c>
      <c r="K183" t="s">
        <v>78</v>
      </c>
      <c r="L183" t="s">
        <v>32</v>
      </c>
      <c r="M183" t="s">
        <v>82</v>
      </c>
      <c r="N183">
        <v>2.2999999999999998</v>
      </c>
      <c r="O183" s="3">
        <v>6763.12</v>
      </c>
      <c r="P183">
        <v>0</v>
      </c>
      <c r="Q183">
        <v>3.7</v>
      </c>
      <c r="R183">
        <v>0.79</v>
      </c>
      <c r="S183" t="str">
        <f t="shared" si="2"/>
        <v>April</v>
      </c>
    </row>
    <row r="184" spans="1:19" x14ac:dyDescent="0.2">
      <c r="A184" t="s">
        <v>426</v>
      </c>
      <c r="B184" t="s">
        <v>427</v>
      </c>
      <c r="C184" t="s">
        <v>62</v>
      </c>
      <c r="D184" t="s">
        <v>42</v>
      </c>
      <c r="E184" s="1">
        <v>45784</v>
      </c>
      <c r="F184" s="1">
        <v>45786</v>
      </c>
      <c r="G184" t="s">
        <v>22</v>
      </c>
      <c r="H184" t="s">
        <v>50</v>
      </c>
      <c r="I184" t="s">
        <v>100</v>
      </c>
      <c r="J184">
        <v>49</v>
      </c>
      <c r="K184" t="s">
        <v>25</v>
      </c>
      <c r="L184" t="s">
        <v>32</v>
      </c>
      <c r="M184" t="s">
        <v>52</v>
      </c>
      <c r="N184">
        <v>1.1000000000000001</v>
      </c>
      <c r="O184" s="3">
        <v>6763.12</v>
      </c>
      <c r="P184">
        <v>0</v>
      </c>
      <c r="Q184">
        <v>4.7</v>
      </c>
      <c r="R184">
        <v>0.78</v>
      </c>
      <c r="S184" t="str">
        <f t="shared" si="2"/>
        <v>May</v>
      </c>
    </row>
    <row r="185" spans="1:19" x14ac:dyDescent="0.2">
      <c r="A185" t="s">
        <v>428</v>
      </c>
      <c r="B185" t="s">
        <v>429</v>
      </c>
      <c r="C185" t="s">
        <v>58</v>
      </c>
      <c r="D185" t="s">
        <v>35</v>
      </c>
      <c r="E185" s="1">
        <v>45985</v>
      </c>
      <c r="F185" s="1">
        <v>45990</v>
      </c>
      <c r="G185" t="s">
        <v>116</v>
      </c>
      <c r="H185" t="s">
        <v>50</v>
      </c>
      <c r="I185" t="s">
        <v>31</v>
      </c>
      <c r="J185">
        <v>84</v>
      </c>
      <c r="K185" t="s">
        <v>65</v>
      </c>
      <c r="L185" t="s">
        <v>26</v>
      </c>
      <c r="M185" t="s">
        <v>27</v>
      </c>
      <c r="N185">
        <v>4.0999999999999996</v>
      </c>
      <c r="O185" s="3">
        <v>6763.12</v>
      </c>
      <c r="P185">
        <v>0</v>
      </c>
      <c r="Q185">
        <v>4.0999999999999996</v>
      </c>
      <c r="R185">
        <v>0.68</v>
      </c>
      <c r="S185" t="str">
        <f t="shared" si="2"/>
        <v>November</v>
      </c>
    </row>
    <row r="186" spans="1:19" x14ac:dyDescent="0.2">
      <c r="A186" t="s">
        <v>430</v>
      </c>
      <c r="B186" t="s">
        <v>431</v>
      </c>
      <c r="C186" t="s">
        <v>30</v>
      </c>
      <c r="D186" t="s">
        <v>35</v>
      </c>
      <c r="E186" s="1">
        <v>45799</v>
      </c>
      <c r="F186" s="1">
        <v>45801</v>
      </c>
      <c r="G186" t="s">
        <v>116</v>
      </c>
      <c r="H186" t="s">
        <v>50</v>
      </c>
      <c r="I186" t="s">
        <v>100</v>
      </c>
      <c r="J186">
        <v>81</v>
      </c>
      <c r="K186" t="s">
        <v>65</v>
      </c>
      <c r="L186" t="s">
        <v>26</v>
      </c>
      <c r="M186" t="s">
        <v>39</v>
      </c>
      <c r="N186">
        <v>1.9</v>
      </c>
      <c r="O186" s="3">
        <v>6763.12</v>
      </c>
      <c r="P186">
        <v>0</v>
      </c>
      <c r="Q186">
        <v>3.8</v>
      </c>
      <c r="R186">
        <v>0.87</v>
      </c>
      <c r="S186" t="str">
        <f t="shared" si="2"/>
        <v>May</v>
      </c>
    </row>
    <row r="187" spans="1:19" x14ac:dyDescent="0.2">
      <c r="A187" t="s">
        <v>432</v>
      </c>
      <c r="B187" t="s">
        <v>433</v>
      </c>
      <c r="C187" t="s">
        <v>58</v>
      </c>
      <c r="D187" t="s">
        <v>42</v>
      </c>
      <c r="E187" s="1">
        <v>45743</v>
      </c>
      <c r="F187" s="1">
        <v>45745</v>
      </c>
      <c r="G187" t="s">
        <v>50</v>
      </c>
      <c r="H187" t="s">
        <v>50</v>
      </c>
      <c r="I187" t="s">
        <v>100</v>
      </c>
      <c r="J187">
        <v>36</v>
      </c>
      <c r="K187" t="s">
        <v>25</v>
      </c>
      <c r="L187" t="s">
        <v>26</v>
      </c>
      <c r="M187" t="s">
        <v>52</v>
      </c>
      <c r="N187">
        <v>1.2</v>
      </c>
      <c r="O187" s="3">
        <v>6763.12</v>
      </c>
      <c r="P187">
        <v>0</v>
      </c>
      <c r="Q187">
        <v>4.5</v>
      </c>
      <c r="R187">
        <v>0.77</v>
      </c>
      <c r="S187" t="str">
        <f t="shared" si="2"/>
        <v>March</v>
      </c>
    </row>
    <row r="188" spans="1:19" x14ac:dyDescent="0.2">
      <c r="A188" t="s">
        <v>434</v>
      </c>
      <c r="B188" t="s">
        <v>435</v>
      </c>
      <c r="C188" t="s">
        <v>58</v>
      </c>
      <c r="D188" t="s">
        <v>49</v>
      </c>
      <c r="E188" s="1">
        <v>45862</v>
      </c>
      <c r="F188" s="1">
        <v>45864</v>
      </c>
      <c r="G188" t="s">
        <v>43</v>
      </c>
      <c r="H188" t="s">
        <v>50</v>
      </c>
      <c r="I188" t="s">
        <v>55</v>
      </c>
      <c r="J188">
        <v>0</v>
      </c>
      <c r="K188" t="s">
        <v>103</v>
      </c>
      <c r="L188" t="s">
        <v>26</v>
      </c>
      <c r="M188" t="s">
        <v>52</v>
      </c>
      <c r="N188">
        <v>1.6</v>
      </c>
      <c r="O188" s="3">
        <v>6763.12</v>
      </c>
      <c r="P188">
        <v>0</v>
      </c>
      <c r="Q188">
        <v>4.5999999999999996</v>
      </c>
      <c r="R188">
        <v>0.65</v>
      </c>
      <c r="S188" t="str">
        <f t="shared" si="2"/>
        <v>July</v>
      </c>
    </row>
    <row r="189" spans="1:19" x14ac:dyDescent="0.2">
      <c r="A189" t="s">
        <v>436</v>
      </c>
      <c r="B189" t="s">
        <v>437</v>
      </c>
      <c r="C189" t="s">
        <v>122</v>
      </c>
      <c r="D189" t="s">
        <v>35</v>
      </c>
      <c r="E189" s="1">
        <v>45776</v>
      </c>
      <c r="F189" s="1">
        <v>45779</v>
      </c>
      <c r="G189" t="s">
        <v>68</v>
      </c>
      <c r="H189" t="s">
        <v>50</v>
      </c>
      <c r="I189" t="s">
        <v>31</v>
      </c>
      <c r="J189">
        <v>80</v>
      </c>
      <c r="K189" t="s">
        <v>65</v>
      </c>
      <c r="L189" t="s">
        <v>26</v>
      </c>
      <c r="M189" t="s">
        <v>27</v>
      </c>
      <c r="N189">
        <v>2.5</v>
      </c>
      <c r="O189" s="3">
        <v>6763.12</v>
      </c>
      <c r="P189">
        <v>1</v>
      </c>
      <c r="Q189">
        <v>4.5999999999999996</v>
      </c>
      <c r="R189">
        <v>0.76</v>
      </c>
      <c r="S189" t="str">
        <f t="shared" si="2"/>
        <v>April</v>
      </c>
    </row>
    <row r="190" spans="1:19" x14ac:dyDescent="0.2">
      <c r="A190" t="s">
        <v>438</v>
      </c>
      <c r="B190" t="s">
        <v>439</v>
      </c>
      <c r="C190" t="s">
        <v>58</v>
      </c>
      <c r="D190" t="s">
        <v>35</v>
      </c>
      <c r="E190" s="1">
        <v>45983</v>
      </c>
      <c r="F190" s="1">
        <v>45990</v>
      </c>
      <c r="G190" t="s">
        <v>36</v>
      </c>
      <c r="H190" t="s">
        <v>50</v>
      </c>
      <c r="I190" t="s">
        <v>81</v>
      </c>
      <c r="J190">
        <v>81</v>
      </c>
      <c r="K190" t="s">
        <v>65</v>
      </c>
      <c r="L190" t="s">
        <v>26</v>
      </c>
      <c r="M190" t="s">
        <v>27</v>
      </c>
      <c r="N190">
        <v>6.3</v>
      </c>
      <c r="O190" s="3">
        <v>6763.12</v>
      </c>
      <c r="P190">
        <v>0</v>
      </c>
      <c r="Q190">
        <v>1.6</v>
      </c>
      <c r="R190">
        <v>0.79</v>
      </c>
      <c r="S190" t="str">
        <f t="shared" si="2"/>
        <v>November</v>
      </c>
    </row>
    <row r="191" spans="1:19" x14ac:dyDescent="0.2">
      <c r="A191" t="s">
        <v>440</v>
      </c>
      <c r="B191" t="s">
        <v>441</v>
      </c>
      <c r="C191" t="s">
        <v>58</v>
      </c>
      <c r="D191" t="s">
        <v>35</v>
      </c>
      <c r="E191" s="1">
        <v>45989</v>
      </c>
      <c r="F191" s="1">
        <v>45992</v>
      </c>
      <c r="G191" t="s">
        <v>50</v>
      </c>
      <c r="H191" t="s">
        <v>50</v>
      </c>
      <c r="I191" t="s">
        <v>37</v>
      </c>
      <c r="J191">
        <v>55</v>
      </c>
      <c r="K191" t="s">
        <v>38</v>
      </c>
      <c r="L191" t="s">
        <v>26</v>
      </c>
      <c r="M191" t="s">
        <v>39</v>
      </c>
      <c r="N191">
        <v>3</v>
      </c>
      <c r="O191" s="3">
        <v>6763.12</v>
      </c>
      <c r="P191">
        <v>0</v>
      </c>
      <c r="Q191">
        <v>4</v>
      </c>
      <c r="R191">
        <v>0.74</v>
      </c>
      <c r="S191" t="str">
        <f t="shared" si="2"/>
        <v>November</v>
      </c>
    </row>
    <row r="192" spans="1:19" x14ac:dyDescent="0.2">
      <c r="A192" t="s">
        <v>442</v>
      </c>
      <c r="B192" t="s">
        <v>443</v>
      </c>
      <c r="C192" t="s">
        <v>62</v>
      </c>
      <c r="D192" t="s">
        <v>35</v>
      </c>
      <c r="E192" s="1">
        <v>45769</v>
      </c>
      <c r="F192" s="1">
        <v>45771</v>
      </c>
      <c r="G192" t="s">
        <v>116</v>
      </c>
      <c r="H192" t="s">
        <v>23</v>
      </c>
      <c r="I192" t="s">
        <v>37</v>
      </c>
      <c r="J192">
        <v>57</v>
      </c>
      <c r="K192" t="s">
        <v>38</v>
      </c>
      <c r="L192" t="s">
        <v>32</v>
      </c>
      <c r="M192" t="s">
        <v>27</v>
      </c>
      <c r="N192">
        <v>1.8</v>
      </c>
      <c r="O192" s="3">
        <v>6763.12</v>
      </c>
      <c r="P192">
        <v>0</v>
      </c>
      <c r="Q192">
        <v>4</v>
      </c>
      <c r="R192">
        <v>0.89</v>
      </c>
      <c r="S192" t="str">
        <f t="shared" si="2"/>
        <v>April</v>
      </c>
    </row>
    <row r="193" spans="1:19" x14ac:dyDescent="0.2">
      <c r="A193" t="s">
        <v>444</v>
      </c>
      <c r="B193" t="s">
        <v>445</v>
      </c>
      <c r="C193" t="s">
        <v>30</v>
      </c>
      <c r="D193" t="s">
        <v>35</v>
      </c>
      <c r="E193" s="1">
        <v>45851</v>
      </c>
      <c r="F193" s="1">
        <v>45853</v>
      </c>
      <c r="G193" t="s">
        <v>36</v>
      </c>
      <c r="H193" t="s">
        <v>44</v>
      </c>
      <c r="I193" t="s">
        <v>51</v>
      </c>
      <c r="J193">
        <v>47</v>
      </c>
      <c r="K193" t="s">
        <v>25</v>
      </c>
      <c r="L193" t="s">
        <v>32</v>
      </c>
      <c r="M193" t="s">
        <v>27</v>
      </c>
      <c r="N193">
        <v>1.4</v>
      </c>
      <c r="O193" s="3">
        <v>6763.12</v>
      </c>
      <c r="P193">
        <v>0</v>
      </c>
      <c r="Q193">
        <v>3.9</v>
      </c>
      <c r="R193">
        <v>0.86</v>
      </c>
      <c r="S193" t="str">
        <f t="shared" si="2"/>
        <v>July</v>
      </c>
    </row>
    <row r="194" spans="1:19" x14ac:dyDescent="0.2">
      <c r="A194" t="s">
        <v>446</v>
      </c>
      <c r="B194" t="s">
        <v>447</v>
      </c>
      <c r="C194" t="s">
        <v>30</v>
      </c>
      <c r="D194" t="s">
        <v>35</v>
      </c>
      <c r="E194" s="1">
        <v>46017</v>
      </c>
      <c r="F194" s="1">
        <v>46020</v>
      </c>
      <c r="G194" t="s">
        <v>50</v>
      </c>
      <c r="H194" t="s">
        <v>23</v>
      </c>
      <c r="I194" t="s">
        <v>55</v>
      </c>
      <c r="J194">
        <v>1</v>
      </c>
      <c r="K194" t="s">
        <v>103</v>
      </c>
      <c r="L194" t="s">
        <v>32</v>
      </c>
      <c r="M194" t="s">
        <v>27</v>
      </c>
      <c r="N194">
        <v>2.9</v>
      </c>
      <c r="O194" s="3">
        <v>6763.12</v>
      </c>
      <c r="P194">
        <v>0</v>
      </c>
      <c r="Q194">
        <v>4.0999999999999996</v>
      </c>
      <c r="R194">
        <v>0.77</v>
      </c>
      <c r="S194" t="str">
        <f t="shared" si="2"/>
        <v>December</v>
      </c>
    </row>
    <row r="195" spans="1:19" x14ac:dyDescent="0.2">
      <c r="A195" t="s">
        <v>448</v>
      </c>
      <c r="B195" t="s">
        <v>449</v>
      </c>
      <c r="C195" t="s">
        <v>20</v>
      </c>
      <c r="D195" t="s">
        <v>49</v>
      </c>
      <c r="E195" s="1">
        <v>45928</v>
      </c>
      <c r="F195" s="1">
        <v>45929</v>
      </c>
      <c r="G195" t="s">
        <v>50</v>
      </c>
      <c r="H195" t="s">
        <v>50</v>
      </c>
      <c r="I195" t="s">
        <v>100</v>
      </c>
      <c r="J195">
        <v>14</v>
      </c>
      <c r="K195" t="s">
        <v>46</v>
      </c>
      <c r="L195" t="s">
        <v>32</v>
      </c>
      <c r="M195" t="s">
        <v>27</v>
      </c>
      <c r="N195">
        <v>0.5</v>
      </c>
      <c r="O195" s="3">
        <v>6763.12</v>
      </c>
      <c r="P195">
        <v>1</v>
      </c>
      <c r="Q195">
        <v>3.9</v>
      </c>
      <c r="R195">
        <v>0.79</v>
      </c>
      <c r="S195" t="str">
        <f t="shared" ref="S195:S258" si="3">TEXT(E195, "mmmm")</f>
        <v>September</v>
      </c>
    </row>
    <row r="196" spans="1:19" x14ac:dyDescent="0.2">
      <c r="A196" t="s">
        <v>450</v>
      </c>
      <c r="B196" t="s">
        <v>451</v>
      </c>
      <c r="C196" t="s">
        <v>30</v>
      </c>
      <c r="D196" t="s">
        <v>42</v>
      </c>
      <c r="E196" s="1">
        <v>45736</v>
      </c>
      <c r="F196" s="1">
        <v>45737</v>
      </c>
      <c r="G196" t="s">
        <v>36</v>
      </c>
      <c r="H196" t="s">
        <v>50</v>
      </c>
      <c r="I196" t="s">
        <v>64</v>
      </c>
      <c r="J196">
        <v>13</v>
      </c>
      <c r="K196" t="s">
        <v>46</v>
      </c>
      <c r="L196" t="s">
        <v>32</v>
      </c>
      <c r="M196" t="s">
        <v>39</v>
      </c>
      <c r="N196">
        <v>0.6</v>
      </c>
      <c r="O196" s="3">
        <v>6763.12</v>
      </c>
      <c r="P196">
        <v>0</v>
      </c>
      <c r="Q196">
        <v>4.3</v>
      </c>
      <c r="R196">
        <v>0.8</v>
      </c>
      <c r="S196" t="str">
        <f t="shared" si="3"/>
        <v>March</v>
      </c>
    </row>
    <row r="197" spans="1:19" x14ac:dyDescent="0.2">
      <c r="A197" t="s">
        <v>452</v>
      </c>
      <c r="B197" t="s">
        <v>453</v>
      </c>
      <c r="C197" t="s">
        <v>122</v>
      </c>
      <c r="D197" t="s">
        <v>42</v>
      </c>
      <c r="E197" s="1">
        <v>45873</v>
      </c>
      <c r="F197" s="1">
        <v>45874</v>
      </c>
      <c r="G197" t="s">
        <v>50</v>
      </c>
      <c r="H197" t="s">
        <v>44</v>
      </c>
      <c r="I197" t="s">
        <v>31</v>
      </c>
      <c r="J197">
        <v>83</v>
      </c>
      <c r="K197" t="s">
        <v>65</v>
      </c>
      <c r="L197" t="s">
        <v>32</v>
      </c>
      <c r="M197" t="s">
        <v>39</v>
      </c>
      <c r="N197">
        <v>0.6</v>
      </c>
      <c r="O197" s="3">
        <v>6763.12</v>
      </c>
      <c r="P197">
        <v>0</v>
      </c>
      <c r="Q197">
        <v>3.5</v>
      </c>
      <c r="R197">
        <v>0.72</v>
      </c>
      <c r="S197" t="str">
        <f t="shared" si="3"/>
        <v>August</v>
      </c>
    </row>
    <row r="198" spans="1:19" x14ac:dyDescent="0.2">
      <c r="A198" t="s">
        <v>454</v>
      </c>
      <c r="B198" t="s">
        <v>455</v>
      </c>
      <c r="C198" t="s">
        <v>62</v>
      </c>
      <c r="D198" t="s">
        <v>21</v>
      </c>
      <c r="E198" s="1">
        <v>45884</v>
      </c>
      <c r="F198" s="1">
        <v>45889</v>
      </c>
      <c r="G198" t="s">
        <v>22</v>
      </c>
      <c r="H198" t="s">
        <v>50</v>
      </c>
      <c r="I198" t="s">
        <v>31</v>
      </c>
      <c r="J198">
        <v>4</v>
      </c>
      <c r="K198" t="s">
        <v>103</v>
      </c>
      <c r="L198" t="s">
        <v>26</v>
      </c>
      <c r="M198" t="s">
        <v>39</v>
      </c>
      <c r="N198">
        <v>4.3</v>
      </c>
      <c r="O198" s="3">
        <v>6763.12</v>
      </c>
      <c r="P198">
        <v>0</v>
      </c>
      <c r="Q198">
        <v>4.8</v>
      </c>
      <c r="R198">
        <v>0.78</v>
      </c>
      <c r="S198" t="str">
        <f t="shared" si="3"/>
        <v>August</v>
      </c>
    </row>
    <row r="199" spans="1:19" x14ac:dyDescent="0.2">
      <c r="A199" t="s">
        <v>456</v>
      </c>
      <c r="B199" t="s">
        <v>457</v>
      </c>
      <c r="C199" t="s">
        <v>30</v>
      </c>
      <c r="D199" t="s">
        <v>21</v>
      </c>
      <c r="E199" s="1">
        <v>45896</v>
      </c>
      <c r="F199" s="1">
        <v>45898</v>
      </c>
      <c r="G199" t="s">
        <v>36</v>
      </c>
      <c r="H199" t="s">
        <v>50</v>
      </c>
      <c r="I199" t="s">
        <v>45</v>
      </c>
      <c r="J199">
        <v>50</v>
      </c>
      <c r="K199" t="s">
        <v>38</v>
      </c>
      <c r="L199" t="s">
        <v>32</v>
      </c>
      <c r="M199" t="s">
        <v>82</v>
      </c>
      <c r="N199">
        <v>1.7</v>
      </c>
      <c r="O199" s="3">
        <v>6763.12</v>
      </c>
      <c r="P199">
        <v>1</v>
      </c>
      <c r="Q199">
        <v>4.4000000000000004</v>
      </c>
      <c r="R199">
        <v>0.79</v>
      </c>
      <c r="S199" t="str">
        <f t="shared" si="3"/>
        <v>August</v>
      </c>
    </row>
    <row r="200" spans="1:19" x14ac:dyDescent="0.2">
      <c r="A200" t="s">
        <v>458</v>
      </c>
      <c r="B200" t="s">
        <v>459</v>
      </c>
      <c r="C200" t="s">
        <v>20</v>
      </c>
      <c r="D200" t="s">
        <v>42</v>
      </c>
      <c r="E200" s="1">
        <v>45667</v>
      </c>
      <c r="F200" s="1">
        <v>45668</v>
      </c>
      <c r="G200" t="s">
        <v>22</v>
      </c>
      <c r="H200" t="s">
        <v>44</v>
      </c>
      <c r="I200" t="s">
        <v>100</v>
      </c>
      <c r="J200">
        <v>33</v>
      </c>
      <c r="K200" t="s">
        <v>78</v>
      </c>
      <c r="L200" t="s">
        <v>32</v>
      </c>
      <c r="M200" t="s">
        <v>27</v>
      </c>
      <c r="N200">
        <v>0.6</v>
      </c>
      <c r="O200" s="3">
        <v>6763.12</v>
      </c>
      <c r="P200">
        <v>0</v>
      </c>
      <c r="Q200">
        <v>4.2</v>
      </c>
      <c r="R200">
        <v>0.77</v>
      </c>
      <c r="S200" t="str">
        <f t="shared" si="3"/>
        <v>January</v>
      </c>
    </row>
    <row r="201" spans="1:19" x14ac:dyDescent="0.2">
      <c r="A201" t="s">
        <v>460</v>
      </c>
      <c r="B201" t="s">
        <v>461</v>
      </c>
      <c r="C201" t="s">
        <v>62</v>
      </c>
      <c r="D201" t="s">
        <v>49</v>
      </c>
      <c r="E201" s="1">
        <v>45767</v>
      </c>
      <c r="F201" s="1">
        <v>45772</v>
      </c>
      <c r="G201" t="s">
        <v>71</v>
      </c>
      <c r="H201" t="s">
        <v>44</v>
      </c>
      <c r="I201" t="s">
        <v>64</v>
      </c>
      <c r="J201">
        <v>0</v>
      </c>
      <c r="K201" t="s">
        <v>103</v>
      </c>
      <c r="L201" t="s">
        <v>32</v>
      </c>
      <c r="M201" t="s">
        <v>27</v>
      </c>
      <c r="N201">
        <v>4.5</v>
      </c>
      <c r="O201" s="3">
        <v>6763.12</v>
      </c>
      <c r="P201">
        <v>0</v>
      </c>
      <c r="Q201">
        <v>4.2</v>
      </c>
      <c r="R201">
        <v>0.85</v>
      </c>
      <c r="S201" t="str">
        <f t="shared" si="3"/>
        <v>April</v>
      </c>
    </row>
    <row r="202" spans="1:19" x14ac:dyDescent="0.2">
      <c r="A202" t="s">
        <v>462</v>
      </c>
      <c r="B202" t="s">
        <v>463</v>
      </c>
      <c r="C202" t="s">
        <v>20</v>
      </c>
      <c r="D202" t="s">
        <v>49</v>
      </c>
      <c r="E202" s="1">
        <v>45969</v>
      </c>
      <c r="F202" s="1">
        <v>45980</v>
      </c>
      <c r="G202" t="s">
        <v>63</v>
      </c>
      <c r="H202" t="s">
        <v>50</v>
      </c>
      <c r="I202" t="s">
        <v>31</v>
      </c>
      <c r="J202">
        <v>83</v>
      </c>
      <c r="K202" t="s">
        <v>65</v>
      </c>
      <c r="L202" t="s">
        <v>32</v>
      </c>
      <c r="M202" t="s">
        <v>27</v>
      </c>
      <c r="N202">
        <v>10.6</v>
      </c>
      <c r="O202" s="3">
        <v>6763.12</v>
      </c>
      <c r="P202">
        <v>0</v>
      </c>
      <c r="Q202">
        <v>4.4000000000000004</v>
      </c>
      <c r="R202">
        <v>0.84</v>
      </c>
      <c r="S202" t="str">
        <f t="shared" si="3"/>
        <v>November</v>
      </c>
    </row>
    <row r="203" spans="1:19" x14ac:dyDescent="0.2">
      <c r="A203" t="s">
        <v>464</v>
      </c>
      <c r="B203" t="s">
        <v>465</v>
      </c>
      <c r="C203" t="s">
        <v>20</v>
      </c>
      <c r="D203" t="s">
        <v>35</v>
      </c>
      <c r="E203" s="1">
        <v>45746</v>
      </c>
      <c r="F203" s="1">
        <v>45748</v>
      </c>
      <c r="G203" t="s">
        <v>50</v>
      </c>
      <c r="H203" t="s">
        <v>23</v>
      </c>
      <c r="I203" t="s">
        <v>55</v>
      </c>
      <c r="J203">
        <v>1</v>
      </c>
      <c r="K203" t="s">
        <v>103</v>
      </c>
      <c r="L203" t="s">
        <v>26</v>
      </c>
      <c r="M203" t="s">
        <v>27</v>
      </c>
      <c r="N203">
        <v>1.3</v>
      </c>
      <c r="O203" s="3">
        <v>6763.12</v>
      </c>
      <c r="P203">
        <v>0</v>
      </c>
      <c r="Q203">
        <v>4.3</v>
      </c>
      <c r="R203">
        <v>0.82</v>
      </c>
      <c r="S203" t="str">
        <f t="shared" si="3"/>
        <v>March</v>
      </c>
    </row>
    <row r="204" spans="1:19" x14ac:dyDescent="0.2">
      <c r="A204" t="s">
        <v>466</v>
      </c>
      <c r="B204" t="s">
        <v>467</v>
      </c>
      <c r="C204" t="s">
        <v>20</v>
      </c>
      <c r="D204" t="s">
        <v>21</v>
      </c>
      <c r="E204" s="1">
        <v>45767</v>
      </c>
      <c r="F204" s="1">
        <v>45768</v>
      </c>
      <c r="G204" t="s">
        <v>116</v>
      </c>
      <c r="H204" t="s">
        <v>50</v>
      </c>
      <c r="I204" t="s">
        <v>117</v>
      </c>
      <c r="J204">
        <v>77</v>
      </c>
      <c r="K204" t="s">
        <v>65</v>
      </c>
      <c r="L204" t="s">
        <v>32</v>
      </c>
      <c r="M204" t="s">
        <v>27</v>
      </c>
      <c r="N204">
        <v>0.6</v>
      </c>
      <c r="O204" s="3">
        <v>6763.12</v>
      </c>
      <c r="P204">
        <v>1</v>
      </c>
      <c r="Q204">
        <v>3.8</v>
      </c>
      <c r="R204">
        <v>0.83</v>
      </c>
      <c r="S204" t="str">
        <f t="shared" si="3"/>
        <v>April</v>
      </c>
    </row>
    <row r="205" spans="1:19" x14ac:dyDescent="0.2">
      <c r="A205" t="s">
        <v>468</v>
      </c>
      <c r="B205" t="s">
        <v>469</v>
      </c>
      <c r="C205" t="s">
        <v>30</v>
      </c>
      <c r="D205" t="s">
        <v>21</v>
      </c>
      <c r="E205" s="1">
        <v>45775</v>
      </c>
      <c r="F205" s="1">
        <v>45785</v>
      </c>
      <c r="G205" t="s">
        <v>68</v>
      </c>
      <c r="H205" t="s">
        <v>23</v>
      </c>
      <c r="I205" t="s">
        <v>31</v>
      </c>
      <c r="J205">
        <v>70</v>
      </c>
      <c r="K205" t="s">
        <v>169</v>
      </c>
      <c r="L205" t="s">
        <v>32</v>
      </c>
      <c r="M205" t="s">
        <v>27</v>
      </c>
      <c r="N205">
        <v>9.4</v>
      </c>
      <c r="O205" s="3">
        <v>6763.12</v>
      </c>
      <c r="P205">
        <v>0</v>
      </c>
      <c r="Q205">
        <v>4.3</v>
      </c>
      <c r="R205">
        <v>0.81</v>
      </c>
      <c r="S205" t="str">
        <f t="shared" si="3"/>
        <v>April</v>
      </c>
    </row>
    <row r="206" spans="1:19" x14ac:dyDescent="0.2">
      <c r="A206" t="s">
        <v>470</v>
      </c>
      <c r="B206" t="s">
        <v>471</v>
      </c>
      <c r="C206" t="s">
        <v>30</v>
      </c>
      <c r="D206" t="s">
        <v>49</v>
      </c>
      <c r="E206" s="1">
        <v>45722</v>
      </c>
      <c r="F206" s="1">
        <v>45727</v>
      </c>
      <c r="G206" t="s">
        <v>99</v>
      </c>
      <c r="H206" t="s">
        <v>50</v>
      </c>
      <c r="I206" t="s">
        <v>37</v>
      </c>
      <c r="J206">
        <v>72</v>
      </c>
      <c r="K206" t="s">
        <v>169</v>
      </c>
      <c r="L206" t="s">
        <v>32</v>
      </c>
      <c r="M206" t="s">
        <v>27</v>
      </c>
      <c r="N206">
        <v>4.0999999999999996</v>
      </c>
      <c r="O206" s="3">
        <v>6763.12</v>
      </c>
      <c r="P206">
        <v>0</v>
      </c>
      <c r="Q206">
        <v>4</v>
      </c>
      <c r="R206">
        <v>0.84</v>
      </c>
      <c r="S206" t="str">
        <f t="shared" si="3"/>
        <v>March</v>
      </c>
    </row>
    <row r="207" spans="1:19" x14ac:dyDescent="0.2">
      <c r="A207" t="s">
        <v>472</v>
      </c>
      <c r="B207" t="s">
        <v>473</v>
      </c>
      <c r="C207" t="s">
        <v>58</v>
      </c>
      <c r="D207" t="s">
        <v>35</v>
      </c>
      <c r="E207" s="1">
        <v>45714</v>
      </c>
      <c r="F207" s="1">
        <v>45720</v>
      </c>
      <c r="G207" t="s">
        <v>68</v>
      </c>
      <c r="H207" t="s">
        <v>50</v>
      </c>
      <c r="I207" t="s">
        <v>24</v>
      </c>
      <c r="J207">
        <v>14</v>
      </c>
      <c r="K207" t="s">
        <v>46</v>
      </c>
      <c r="L207" t="s">
        <v>26</v>
      </c>
      <c r="M207" t="s">
        <v>27</v>
      </c>
      <c r="N207">
        <v>5.0999999999999996</v>
      </c>
      <c r="O207" s="3">
        <v>6763.12</v>
      </c>
      <c r="P207">
        <v>1</v>
      </c>
      <c r="Q207">
        <v>5</v>
      </c>
      <c r="R207">
        <v>0.74</v>
      </c>
      <c r="S207" t="str">
        <f t="shared" si="3"/>
        <v>February</v>
      </c>
    </row>
    <row r="208" spans="1:19" x14ac:dyDescent="0.2">
      <c r="A208" t="s">
        <v>474</v>
      </c>
      <c r="B208" t="s">
        <v>475</v>
      </c>
      <c r="C208" t="s">
        <v>122</v>
      </c>
      <c r="D208" t="s">
        <v>42</v>
      </c>
      <c r="E208" s="1">
        <v>45784</v>
      </c>
      <c r="F208" s="1">
        <v>45785</v>
      </c>
      <c r="G208" t="s">
        <v>116</v>
      </c>
      <c r="H208" t="s">
        <v>23</v>
      </c>
      <c r="I208" t="s">
        <v>117</v>
      </c>
      <c r="J208">
        <v>80</v>
      </c>
      <c r="K208" t="s">
        <v>65</v>
      </c>
      <c r="L208" t="s">
        <v>26</v>
      </c>
      <c r="M208" t="s">
        <v>39</v>
      </c>
      <c r="N208">
        <v>0.4</v>
      </c>
      <c r="O208" s="3">
        <v>6763.12</v>
      </c>
      <c r="P208">
        <v>0</v>
      </c>
      <c r="Q208">
        <v>4.5999999999999996</v>
      </c>
      <c r="R208">
        <v>0.76</v>
      </c>
      <c r="S208" t="str">
        <f t="shared" si="3"/>
        <v>May</v>
      </c>
    </row>
    <row r="209" spans="1:19" x14ac:dyDescent="0.2">
      <c r="A209" t="s">
        <v>476</v>
      </c>
      <c r="B209" t="s">
        <v>477</v>
      </c>
      <c r="C209" t="s">
        <v>122</v>
      </c>
      <c r="D209" t="s">
        <v>49</v>
      </c>
      <c r="E209" s="1">
        <v>45977</v>
      </c>
      <c r="F209" s="1">
        <v>45981</v>
      </c>
      <c r="G209" t="s">
        <v>50</v>
      </c>
      <c r="H209" t="s">
        <v>50</v>
      </c>
      <c r="I209" t="s">
        <v>55</v>
      </c>
      <c r="J209">
        <v>54</v>
      </c>
      <c r="K209" t="s">
        <v>38</v>
      </c>
      <c r="L209" t="s">
        <v>32</v>
      </c>
      <c r="M209" t="s">
        <v>39</v>
      </c>
      <c r="N209">
        <v>3.6</v>
      </c>
      <c r="O209" s="3">
        <v>6763.12</v>
      </c>
      <c r="P209">
        <v>0</v>
      </c>
      <c r="Q209">
        <v>3.3</v>
      </c>
      <c r="R209">
        <v>0.86</v>
      </c>
      <c r="S209" t="str">
        <f t="shared" si="3"/>
        <v>November</v>
      </c>
    </row>
    <row r="210" spans="1:19" x14ac:dyDescent="0.2">
      <c r="A210" t="s">
        <v>478</v>
      </c>
      <c r="B210" t="s">
        <v>479</v>
      </c>
      <c r="C210" t="s">
        <v>30</v>
      </c>
      <c r="D210" t="s">
        <v>49</v>
      </c>
      <c r="E210" s="1">
        <v>45658</v>
      </c>
      <c r="F210" s="1">
        <v>45661</v>
      </c>
      <c r="G210" t="s">
        <v>36</v>
      </c>
      <c r="H210" t="s">
        <v>23</v>
      </c>
      <c r="I210" t="s">
        <v>55</v>
      </c>
      <c r="J210">
        <v>36</v>
      </c>
      <c r="K210" t="s">
        <v>25</v>
      </c>
      <c r="L210" t="s">
        <v>32</v>
      </c>
      <c r="M210" t="s">
        <v>52</v>
      </c>
      <c r="N210">
        <v>2.2000000000000002</v>
      </c>
      <c r="O210" s="3">
        <v>6763.12</v>
      </c>
      <c r="P210">
        <v>0</v>
      </c>
      <c r="Q210">
        <v>5</v>
      </c>
      <c r="R210">
        <v>0.73</v>
      </c>
      <c r="S210" t="str">
        <f t="shared" si="3"/>
        <v>January</v>
      </c>
    </row>
    <row r="211" spans="1:19" x14ac:dyDescent="0.2">
      <c r="A211" t="s">
        <v>480</v>
      </c>
      <c r="B211" t="s">
        <v>481</v>
      </c>
      <c r="C211" t="s">
        <v>62</v>
      </c>
      <c r="D211" t="s">
        <v>35</v>
      </c>
      <c r="E211" s="1">
        <v>45761</v>
      </c>
      <c r="F211" s="1">
        <v>45762</v>
      </c>
      <c r="G211" t="s">
        <v>43</v>
      </c>
      <c r="H211" t="s">
        <v>50</v>
      </c>
      <c r="I211" t="s">
        <v>24</v>
      </c>
      <c r="J211">
        <v>61</v>
      </c>
      <c r="K211" t="s">
        <v>38</v>
      </c>
      <c r="L211" t="s">
        <v>26</v>
      </c>
      <c r="M211" t="s">
        <v>82</v>
      </c>
      <c r="N211">
        <v>0.6</v>
      </c>
      <c r="O211" s="3">
        <v>6763.12</v>
      </c>
      <c r="P211">
        <v>0</v>
      </c>
      <c r="Q211">
        <v>2.6</v>
      </c>
      <c r="R211">
        <v>0.77</v>
      </c>
      <c r="S211" t="str">
        <f t="shared" si="3"/>
        <v>April</v>
      </c>
    </row>
    <row r="212" spans="1:19" x14ac:dyDescent="0.2">
      <c r="A212" t="s">
        <v>482</v>
      </c>
      <c r="B212" t="s">
        <v>483</v>
      </c>
      <c r="C212" t="s">
        <v>30</v>
      </c>
      <c r="D212" t="s">
        <v>49</v>
      </c>
      <c r="E212" s="1">
        <v>45680</v>
      </c>
      <c r="F212" s="1">
        <v>45684</v>
      </c>
      <c r="G212" t="s">
        <v>36</v>
      </c>
      <c r="H212" t="s">
        <v>44</v>
      </c>
      <c r="I212" t="s">
        <v>31</v>
      </c>
      <c r="J212">
        <v>31</v>
      </c>
      <c r="K212" t="s">
        <v>78</v>
      </c>
      <c r="L212" t="s">
        <v>26</v>
      </c>
      <c r="M212" t="s">
        <v>39</v>
      </c>
      <c r="N212">
        <v>3.8</v>
      </c>
      <c r="O212" s="3">
        <v>6763.12</v>
      </c>
      <c r="P212">
        <v>0</v>
      </c>
      <c r="Q212">
        <v>4.3</v>
      </c>
      <c r="R212">
        <v>0.84</v>
      </c>
      <c r="S212" t="str">
        <f t="shared" si="3"/>
        <v>January</v>
      </c>
    </row>
    <row r="213" spans="1:19" x14ac:dyDescent="0.2">
      <c r="A213" t="s">
        <v>484</v>
      </c>
      <c r="B213" t="s">
        <v>485</v>
      </c>
      <c r="C213" t="s">
        <v>58</v>
      </c>
      <c r="D213" t="s">
        <v>49</v>
      </c>
      <c r="E213" s="1">
        <v>45862</v>
      </c>
      <c r="F213" s="1">
        <v>45866</v>
      </c>
      <c r="G213" t="s">
        <v>116</v>
      </c>
      <c r="H213" t="s">
        <v>23</v>
      </c>
      <c r="I213" t="s">
        <v>64</v>
      </c>
      <c r="J213">
        <v>25</v>
      </c>
      <c r="K213" t="s">
        <v>78</v>
      </c>
      <c r="L213" t="s">
        <v>32</v>
      </c>
      <c r="M213" t="s">
        <v>27</v>
      </c>
      <c r="N213">
        <v>3.9</v>
      </c>
      <c r="O213" s="3">
        <v>6763.12</v>
      </c>
      <c r="P213">
        <v>0</v>
      </c>
      <c r="Q213">
        <v>3.5</v>
      </c>
      <c r="R213">
        <v>0.74</v>
      </c>
      <c r="S213" t="str">
        <f t="shared" si="3"/>
        <v>July</v>
      </c>
    </row>
    <row r="214" spans="1:19" x14ac:dyDescent="0.2">
      <c r="A214" t="s">
        <v>486</v>
      </c>
      <c r="B214" t="s">
        <v>487</v>
      </c>
      <c r="C214" t="s">
        <v>122</v>
      </c>
      <c r="D214" t="s">
        <v>35</v>
      </c>
      <c r="E214" s="1">
        <v>45749</v>
      </c>
      <c r="F214" s="1">
        <v>45755</v>
      </c>
      <c r="G214" t="s">
        <v>36</v>
      </c>
      <c r="H214" t="s">
        <v>50</v>
      </c>
      <c r="I214" t="s">
        <v>31</v>
      </c>
      <c r="J214">
        <v>26</v>
      </c>
      <c r="K214" t="s">
        <v>78</v>
      </c>
      <c r="L214" t="s">
        <v>32</v>
      </c>
      <c r="M214" t="s">
        <v>39</v>
      </c>
      <c r="N214">
        <v>5.2</v>
      </c>
      <c r="O214" s="3">
        <v>6763.12</v>
      </c>
      <c r="P214">
        <v>0</v>
      </c>
      <c r="Q214">
        <v>5</v>
      </c>
      <c r="R214">
        <v>0.72</v>
      </c>
      <c r="S214" t="str">
        <f t="shared" si="3"/>
        <v>April</v>
      </c>
    </row>
    <row r="215" spans="1:19" x14ac:dyDescent="0.2">
      <c r="A215" t="s">
        <v>488</v>
      </c>
      <c r="B215" t="s">
        <v>489</v>
      </c>
      <c r="C215" t="s">
        <v>20</v>
      </c>
      <c r="D215" t="s">
        <v>49</v>
      </c>
      <c r="E215" s="1">
        <v>45947</v>
      </c>
      <c r="F215" s="1">
        <v>45950</v>
      </c>
      <c r="G215" t="s">
        <v>116</v>
      </c>
      <c r="H215" t="s">
        <v>23</v>
      </c>
      <c r="I215" t="s">
        <v>55</v>
      </c>
      <c r="J215">
        <v>51</v>
      </c>
      <c r="K215" t="s">
        <v>38</v>
      </c>
      <c r="L215" t="s">
        <v>32</v>
      </c>
      <c r="M215" t="s">
        <v>27</v>
      </c>
      <c r="N215">
        <v>3</v>
      </c>
      <c r="O215" s="3">
        <v>6763.12</v>
      </c>
      <c r="P215">
        <v>0</v>
      </c>
      <c r="Q215">
        <v>4.0999999999999996</v>
      </c>
      <c r="R215">
        <v>0.76</v>
      </c>
      <c r="S215" t="str">
        <f t="shared" si="3"/>
        <v>October</v>
      </c>
    </row>
    <row r="216" spans="1:19" x14ac:dyDescent="0.2">
      <c r="A216" t="s">
        <v>490</v>
      </c>
      <c r="B216" t="s">
        <v>491</v>
      </c>
      <c r="C216" t="s">
        <v>122</v>
      </c>
      <c r="D216" t="s">
        <v>49</v>
      </c>
      <c r="E216" s="1">
        <v>45871</v>
      </c>
      <c r="F216" s="1">
        <v>45873</v>
      </c>
      <c r="G216" t="s">
        <v>50</v>
      </c>
      <c r="H216" t="s">
        <v>50</v>
      </c>
      <c r="I216" t="s">
        <v>31</v>
      </c>
      <c r="J216">
        <v>54</v>
      </c>
      <c r="K216" t="s">
        <v>38</v>
      </c>
      <c r="L216" t="s">
        <v>32</v>
      </c>
      <c r="M216" t="s">
        <v>39</v>
      </c>
      <c r="N216">
        <v>1.5</v>
      </c>
      <c r="O216" s="3">
        <v>6763.12</v>
      </c>
      <c r="P216">
        <v>0</v>
      </c>
      <c r="Q216">
        <v>3.2</v>
      </c>
      <c r="R216">
        <v>0.74</v>
      </c>
      <c r="S216" t="str">
        <f t="shared" si="3"/>
        <v>August</v>
      </c>
    </row>
    <row r="217" spans="1:19" x14ac:dyDescent="0.2">
      <c r="A217" t="s">
        <v>492</v>
      </c>
      <c r="B217" t="s">
        <v>493</v>
      </c>
      <c r="C217" t="s">
        <v>30</v>
      </c>
      <c r="D217" t="s">
        <v>42</v>
      </c>
      <c r="E217" s="1">
        <v>45944</v>
      </c>
      <c r="F217" s="1">
        <v>45948</v>
      </c>
      <c r="G217" t="s">
        <v>43</v>
      </c>
      <c r="H217" t="s">
        <v>50</v>
      </c>
      <c r="I217" t="s">
        <v>100</v>
      </c>
      <c r="J217">
        <v>21</v>
      </c>
      <c r="K217" t="s">
        <v>78</v>
      </c>
      <c r="L217" t="s">
        <v>26</v>
      </c>
      <c r="M217" t="s">
        <v>27</v>
      </c>
      <c r="N217">
        <v>3.1</v>
      </c>
      <c r="O217" s="3">
        <v>6763.12</v>
      </c>
      <c r="P217">
        <v>0</v>
      </c>
      <c r="Q217">
        <v>3.7</v>
      </c>
      <c r="R217">
        <v>0.86</v>
      </c>
      <c r="S217" t="str">
        <f t="shared" si="3"/>
        <v>October</v>
      </c>
    </row>
    <row r="218" spans="1:19" x14ac:dyDescent="0.2">
      <c r="A218" t="s">
        <v>494</v>
      </c>
      <c r="B218" t="s">
        <v>495</v>
      </c>
      <c r="C218" t="s">
        <v>20</v>
      </c>
      <c r="D218" t="s">
        <v>35</v>
      </c>
      <c r="E218" s="1">
        <v>45889</v>
      </c>
      <c r="F218" s="1">
        <v>45890</v>
      </c>
      <c r="G218" t="s">
        <v>22</v>
      </c>
      <c r="H218" t="s">
        <v>50</v>
      </c>
      <c r="I218" t="s">
        <v>45</v>
      </c>
      <c r="J218">
        <v>22</v>
      </c>
      <c r="K218" t="s">
        <v>78</v>
      </c>
      <c r="L218" t="s">
        <v>26</v>
      </c>
      <c r="M218" t="s">
        <v>39</v>
      </c>
      <c r="N218">
        <v>0.4</v>
      </c>
      <c r="O218" s="3">
        <v>6763.12</v>
      </c>
      <c r="P218">
        <v>0</v>
      </c>
      <c r="Q218">
        <v>3.5</v>
      </c>
      <c r="R218">
        <v>0.85</v>
      </c>
      <c r="S218" t="str">
        <f t="shared" si="3"/>
        <v>August</v>
      </c>
    </row>
    <row r="219" spans="1:19" x14ac:dyDescent="0.2">
      <c r="A219" t="s">
        <v>496</v>
      </c>
      <c r="B219" t="s">
        <v>497</v>
      </c>
      <c r="C219" t="s">
        <v>58</v>
      </c>
      <c r="D219" t="s">
        <v>42</v>
      </c>
      <c r="E219" s="1">
        <v>45818</v>
      </c>
      <c r="F219" s="1">
        <v>45820</v>
      </c>
      <c r="G219" t="s">
        <v>22</v>
      </c>
      <c r="H219" t="s">
        <v>44</v>
      </c>
      <c r="I219" t="s">
        <v>45</v>
      </c>
      <c r="J219">
        <v>86</v>
      </c>
      <c r="K219" t="s">
        <v>65</v>
      </c>
      <c r="L219" t="s">
        <v>26</v>
      </c>
      <c r="M219" t="s">
        <v>27</v>
      </c>
      <c r="N219">
        <v>1.6</v>
      </c>
      <c r="O219" s="3">
        <v>6763.12</v>
      </c>
      <c r="P219">
        <v>0</v>
      </c>
      <c r="Q219">
        <v>3.7</v>
      </c>
      <c r="R219">
        <v>0.82</v>
      </c>
      <c r="S219" t="str">
        <f t="shared" si="3"/>
        <v>June</v>
      </c>
    </row>
    <row r="220" spans="1:19" x14ac:dyDescent="0.2">
      <c r="A220" t="s">
        <v>498</v>
      </c>
      <c r="B220" t="s">
        <v>499</v>
      </c>
      <c r="C220" t="s">
        <v>30</v>
      </c>
      <c r="D220" t="s">
        <v>21</v>
      </c>
      <c r="E220" s="1">
        <v>45972</v>
      </c>
      <c r="F220" s="1">
        <v>45975</v>
      </c>
      <c r="G220" t="s">
        <v>36</v>
      </c>
      <c r="H220" t="s">
        <v>23</v>
      </c>
      <c r="I220" t="s">
        <v>64</v>
      </c>
      <c r="J220">
        <v>46</v>
      </c>
      <c r="K220" t="s">
        <v>25</v>
      </c>
      <c r="L220" t="s">
        <v>26</v>
      </c>
      <c r="M220" t="s">
        <v>39</v>
      </c>
      <c r="N220">
        <v>2.2999999999999998</v>
      </c>
      <c r="O220" s="3">
        <v>6763.12</v>
      </c>
      <c r="P220">
        <v>0</v>
      </c>
      <c r="Q220">
        <v>3.7</v>
      </c>
      <c r="R220">
        <v>0.76</v>
      </c>
      <c r="S220" t="str">
        <f t="shared" si="3"/>
        <v>November</v>
      </c>
    </row>
    <row r="221" spans="1:19" x14ac:dyDescent="0.2">
      <c r="A221" t="s">
        <v>500</v>
      </c>
      <c r="B221" t="s">
        <v>501</v>
      </c>
      <c r="C221" t="s">
        <v>20</v>
      </c>
      <c r="D221" t="s">
        <v>35</v>
      </c>
      <c r="E221" s="1">
        <v>45831</v>
      </c>
      <c r="F221" s="1">
        <v>45837</v>
      </c>
      <c r="G221" t="s">
        <v>116</v>
      </c>
      <c r="H221" t="s">
        <v>44</v>
      </c>
      <c r="I221" t="s">
        <v>24</v>
      </c>
      <c r="J221">
        <v>78</v>
      </c>
      <c r="K221" t="s">
        <v>65</v>
      </c>
      <c r="L221" t="s">
        <v>32</v>
      </c>
      <c r="M221" t="s">
        <v>82</v>
      </c>
      <c r="N221">
        <v>5.2</v>
      </c>
      <c r="O221" s="3">
        <v>6763.12</v>
      </c>
      <c r="P221">
        <v>0</v>
      </c>
      <c r="Q221">
        <v>3.4</v>
      </c>
      <c r="R221">
        <v>0.75</v>
      </c>
      <c r="S221" t="str">
        <f t="shared" si="3"/>
        <v>June</v>
      </c>
    </row>
    <row r="222" spans="1:19" x14ac:dyDescent="0.2">
      <c r="A222" t="s">
        <v>502</v>
      </c>
      <c r="B222" t="s">
        <v>503</v>
      </c>
      <c r="C222" t="s">
        <v>20</v>
      </c>
      <c r="D222" t="s">
        <v>35</v>
      </c>
      <c r="E222" s="1">
        <v>46004</v>
      </c>
      <c r="F222" s="1">
        <v>46010</v>
      </c>
      <c r="G222" t="s">
        <v>43</v>
      </c>
      <c r="H222" t="s">
        <v>44</v>
      </c>
      <c r="I222" t="s">
        <v>81</v>
      </c>
      <c r="J222">
        <v>30</v>
      </c>
      <c r="K222" t="s">
        <v>78</v>
      </c>
      <c r="L222" t="s">
        <v>26</v>
      </c>
      <c r="M222" t="s">
        <v>82</v>
      </c>
      <c r="N222">
        <v>5.7</v>
      </c>
      <c r="O222" s="3">
        <v>6763.12</v>
      </c>
      <c r="P222">
        <v>0</v>
      </c>
      <c r="Q222">
        <v>4.0999999999999996</v>
      </c>
      <c r="R222">
        <v>0.74</v>
      </c>
      <c r="S222" t="str">
        <f t="shared" si="3"/>
        <v>December</v>
      </c>
    </row>
    <row r="223" spans="1:19" x14ac:dyDescent="0.2">
      <c r="A223" t="s">
        <v>504</v>
      </c>
      <c r="B223" t="s">
        <v>505</v>
      </c>
      <c r="C223" t="s">
        <v>30</v>
      </c>
      <c r="D223" t="s">
        <v>35</v>
      </c>
      <c r="E223" s="1">
        <v>46021</v>
      </c>
      <c r="F223" s="1">
        <v>46024</v>
      </c>
      <c r="G223" t="s">
        <v>63</v>
      </c>
      <c r="H223" t="s">
        <v>44</v>
      </c>
      <c r="I223" t="s">
        <v>51</v>
      </c>
      <c r="J223">
        <v>26</v>
      </c>
      <c r="K223" t="s">
        <v>78</v>
      </c>
      <c r="L223" t="s">
        <v>32</v>
      </c>
      <c r="M223" t="s">
        <v>39</v>
      </c>
      <c r="N223">
        <v>2.2999999999999998</v>
      </c>
      <c r="O223" s="3">
        <v>6763.12</v>
      </c>
      <c r="P223">
        <v>0</v>
      </c>
      <c r="Q223">
        <v>4.0999999999999996</v>
      </c>
      <c r="R223">
        <v>0.87</v>
      </c>
      <c r="S223" t="str">
        <f t="shared" si="3"/>
        <v>December</v>
      </c>
    </row>
    <row r="224" spans="1:19" x14ac:dyDescent="0.2">
      <c r="A224" t="s">
        <v>506</v>
      </c>
      <c r="B224" t="s">
        <v>507</v>
      </c>
      <c r="C224" t="s">
        <v>20</v>
      </c>
      <c r="D224" t="s">
        <v>35</v>
      </c>
      <c r="E224" s="1">
        <v>45872</v>
      </c>
      <c r="F224" s="1">
        <v>45879</v>
      </c>
      <c r="G224" t="s">
        <v>63</v>
      </c>
      <c r="H224" t="s">
        <v>50</v>
      </c>
      <c r="I224" t="s">
        <v>81</v>
      </c>
      <c r="J224">
        <v>25</v>
      </c>
      <c r="K224" t="s">
        <v>78</v>
      </c>
      <c r="L224" t="s">
        <v>32</v>
      </c>
      <c r="M224" t="s">
        <v>39</v>
      </c>
      <c r="N224">
        <v>6.3</v>
      </c>
      <c r="O224" s="3">
        <v>6763.12</v>
      </c>
      <c r="P224">
        <v>0</v>
      </c>
      <c r="Q224">
        <v>3.3</v>
      </c>
      <c r="R224">
        <v>0.82</v>
      </c>
      <c r="S224" t="str">
        <f t="shared" si="3"/>
        <v>August</v>
      </c>
    </row>
    <row r="225" spans="1:19" x14ac:dyDescent="0.2">
      <c r="A225" t="s">
        <v>508</v>
      </c>
      <c r="B225" t="s">
        <v>509</v>
      </c>
      <c r="C225" t="s">
        <v>30</v>
      </c>
      <c r="D225" t="s">
        <v>21</v>
      </c>
      <c r="E225" s="1">
        <v>45904</v>
      </c>
      <c r="F225" s="1">
        <v>45908</v>
      </c>
      <c r="G225" t="s">
        <v>71</v>
      </c>
      <c r="H225" t="s">
        <v>44</v>
      </c>
      <c r="I225" t="s">
        <v>64</v>
      </c>
      <c r="J225">
        <v>48</v>
      </c>
      <c r="K225" t="s">
        <v>25</v>
      </c>
      <c r="L225" t="s">
        <v>26</v>
      </c>
      <c r="M225" t="s">
        <v>27</v>
      </c>
      <c r="N225">
        <v>3.9</v>
      </c>
      <c r="O225" s="3">
        <v>6763.12</v>
      </c>
      <c r="P225">
        <v>0</v>
      </c>
      <c r="Q225">
        <v>2.9</v>
      </c>
      <c r="R225">
        <v>0.82</v>
      </c>
      <c r="S225" t="str">
        <f t="shared" si="3"/>
        <v>September</v>
      </c>
    </row>
    <row r="226" spans="1:19" x14ac:dyDescent="0.2">
      <c r="A226" t="s">
        <v>510</v>
      </c>
      <c r="B226" t="s">
        <v>511</v>
      </c>
      <c r="C226" t="s">
        <v>20</v>
      </c>
      <c r="D226" t="s">
        <v>49</v>
      </c>
      <c r="E226" s="1">
        <v>45751</v>
      </c>
      <c r="F226" s="1">
        <v>45752</v>
      </c>
      <c r="G226" t="s">
        <v>71</v>
      </c>
      <c r="H226" t="s">
        <v>23</v>
      </c>
      <c r="I226" t="s">
        <v>55</v>
      </c>
      <c r="J226">
        <v>70</v>
      </c>
      <c r="K226" t="s">
        <v>169</v>
      </c>
      <c r="L226" t="s">
        <v>32</v>
      </c>
      <c r="M226" t="s">
        <v>82</v>
      </c>
      <c r="N226">
        <v>0.7</v>
      </c>
      <c r="O226" s="3">
        <v>6763.12</v>
      </c>
      <c r="P226">
        <v>1</v>
      </c>
      <c r="Q226">
        <v>4.0999999999999996</v>
      </c>
      <c r="R226">
        <v>0.81</v>
      </c>
      <c r="S226" t="str">
        <f t="shared" si="3"/>
        <v>April</v>
      </c>
    </row>
    <row r="227" spans="1:19" x14ac:dyDescent="0.2">
      <c r="A227" t="s">
        <v>512</v>
      </c>
      <c r="B227" t="s">
        <v>513</v>
      </c>
      <c r="C227" t="s">
        <v>30</v>
      </c>
      <c r="D227" t="s">
        <v>35</v>
      </c>
      <c r="E227" s="1">
        <v>45955</v>
      </c>
      <c r="F227" s="1">
        <v>45956</v>
      </c>
      <c r="G227" t="s">
        <v>71</v>
      </c>
      <c r="H227" t="s">
        <v>50</v>
      </c>
      <c r="I227" t="s">
        <v>64</v>
      </c>
      <c r="J227">
        <v>45</v>
      </c>
      <c r="K227" t="s">
        <v>25</v>
      </c>
      <c r="L227" t="s">
        <v>26</v>
      </c>
      <c r="M227" t="s">
        <v>39</v>
      </c>
      <c r="N227">
        <v>0.3</v>
      </c>
      <c r="O227" s="3">
        <v>6763.12</v>
      </c>
      <c r="P227">
        <v>0</v>
      </c>
      <c r="Q227">
        <v>4.2</v>
      </c>
      <c r="R227">
        <v>0.82</v>
      </c>
      <c r="S227" t="str">
        <f t="shared" si="3"/>
        <v>October</v>
      </c>
    </row>
    <row r="228" spans="1:19" x14ac:dyDescent="0.2">
      <c r="A228" t="s">
        <v>514</v>
      </c>
      <c r="B228" t="s">
        <v>515</v>
      </c>
      <c r="C228" t="s">
        <v>20</v>
      </c>
      <c r="D228" t="s">
        <v>42</v>
      </c>
      <c r="E228" s="1">
        <v>45903</v>
      </c>
      <c r="F228" s="1">
        <v>45905</v>
      </c>
      <c r="G228" t="s">
        <v>50</v>
      </c>
      <c r="H228" t="s">
        <v>23</v>
      </c>
      <c r="I228" t="s">
        <v>24</v>
      </c>
      <c r="J228">
        <v>26</v>
      </c>
      <c r="K228" t="s">
        <v>78</v>
      </c>
      <c r="L228" t="s">
        <v>26</v>
      </c>
      <c r="M228" t="s">
        <v>27</v>
      </c>
      <c r="N228">
        <v>1.5</v>
      </c>
      <c r="O228" s="3">
        <v>6763.12</v>
      </c>
      <c r="P228">
        <v>1</v>
      </c>
      <c r="Q228">
        <v>4.0999999999999996</v>
      </c>
      <c r="R228">
        <v>0.76</v>
      </c>
      <c r="S228" t="str">
        <f t="shared" si="3"/>
        <v>September</v>
      </c>
    </row>
    <row r="229" spans="1:19" x14ac:dyDescent="0.2">
      <c r="A229" t="s">
        <v>516</v>
      </c>
      <c r="B229" t="s">
        <v>517</v>
      </c>
      <c r="C229" t="s">
        <v>122</v>
      </c>
      <c r="D229" t="s">
        <v>35</v>
      </c>
      <c r="E229" s="1">
        <v>45987</v>
      </c>
      <c r="F229" s="1">
        <v>45988</v>
      </c>
      <c r="G229" t="s">
        <v>50</v>
      </c>
      <c r="H229" t="s">
        <v>50</v>
      </c>
      <c r="I229" t="s">
        <v>100</v>
      </c>
      <c r="J229">
        <v>87</v>
      </c>
      <c r="K229" t="s">
        <v>65</v>
      </c>
      <c r="L229" t="s">
        <v>26</v>
      </c>
      <c r="M229" t="s">
        <v>27</v>
      </c>
      <c r="N229">
        <v>0.4</v>
      </c>
      <c r="O229" s="3">
        <v>6763.12</v>
      </c>
      <c r="P229">
        <v>0</v>
      </c>
      <c r="Q229">
        <v>4</v>
      </c>
      <c r="R229">
        <v>0.8</v>
      </c>
      <c r="S229" t="str">
        <f t="shared" si="3"/>
        <v>November</v>
      </c>
    </row>
    <row r="230" spans="1:19" x14ac:dyDescent="0.2">
      <c r="A230" t="s">
        <v>518</v>
      </c>
      <c r="B230" t="s">
        <v>519</v>
      </c>
      <c r="C230" t="s">
        <v>20</v>
      </c>
      <c r="D230" t="s">
        <v>49</v>
      </c>
      <c r="E230" s="1">
        <v>45755</v>
      </c>
      <c r="F230" s="1">
        <v>45757</v>
      </c>
      <c r="G230" t="s">
        <v>43</v>
      </c>
      <c r="H230" t="s">
        <v>50</v>
      </c>
      <c r="I230" t="s">
        <v>64</v>
      </c>
      <c r="J230">
        <v>52</v>
      </c>
      <c r="K230" t="s">
        <v>38</v>
      </c>
      <c r="L230" t="s">
        <v>26</v>
      </c>
      <c r="M230" t="s">
        <v>52</v>
      </c>
      <c r="N230">
        <v>1.1000000000000001</v>
      </c>
      <c r="O230" s="3">
        <v>6763.12</v>
      </c>
      <c r="P230">
        <v>0</v>
      </c>
      <c r="Q230">
        <v>4.8</v>
      </c>
      <c r="R230">
        <v>0.79</v>
      </c>
      <c r="S230" t="str">
        <f t="shared" si="3"/>
        <v>April</v>
      </c>
    </row>
    <row r="231" spans="1:19" x14ac:dyDescent="0.2">
      <c r="A231" t="s">
        <v>520</v>
      </c>
      <c r="B231" t="s">
        <v>521</v>
      </c>
      <c r="C231" t="s">
        <v>20</v>
      </c>
      <c r="D231" t="s">
        <v>42</v>
      </c>
      <c r="E231" s="1">
        <v>45945</v>
      </c>
      <c r="F231" s="1">
        <v>45947</v>
      </c>
      <c r="G231" t="s">
        <v>63</v>
      </c>
      <c r="H231" t="s">
        <v>50</v>
      </c>
      <c r="I231" t="s">
        <v>37</v>
      </c>
      <c r="J231">
        <v>35</v>
      </c>
      <c r="K231" t="s">
        <v>25</v>
      </c>
      <c r="L231" t="s">
        <v>32</v>
      </c>
      <c r="M231" t="s">
        <v>39</v>
      </c>
      <c r="N231">
        <v>1.9</v>
      </c>
      <c r="O231" s="3">
        <v>6763.12</v>
      </c>
      <c r="P231">
        <v>0</v>
      </c>
      <c r="Q231">
        <v>4.5</v>
      </c>
      <c r="R231">
        <v>0.75</v>
      </c>
      <c r="S231" t="str">
        <f t="shared" si="3"/>
        <v>October</v>
      </c>
    </row>
    <row r="232" spans="1:19" x14ac:dyDescent="0.2">
      <c r="A232" t="s">
        <v>522</v>
      </c>
      <c r="B232" t="s">
        <v>523</v>
      </c>
      <c r="C232" t="s">
        <v>62</v>
      </c>
      <c r="D232" t="s">
        <v>42</v>
      </c>
      <c r="E232" s="1">
        <v>45829</v>
      </c>
      <c r="F232" s="1">
        <v>45833</v>
      </c>
      <c r="G232" t="s">
        <v>116</v>
      </c>
      <c r="H232" t="s">
        <v>50</v>
      </c>
      <c r="I232" t="s">
        <v>37</v>
      </c>
      <c r="J232">
        <v>0</v>
      </c>
      <c r="K232" t="s">
        <v>103</v>
      </c>
      <c r="L232" t="s">
        <v>32</v>
      </c>
      <c r="M232" t="s">
        <v>39</v>
      </c>
      <c r="N232">
        <v>3.6</v>
      </c>
      <c r="O232" s="3">
        <v>6763.12</v>
      </c>
      <c r="P232">
        <v>0</v>
      </c>
      <c r="Q232">
        <v>5</v>
      </c>
      <c r="R232">
        <v>0.86</v>
      </c>
      <c r="S232" t="str">
        <f t="shared" si="3"/>
        <v>June</v>
      </c>
    </row>
    <row r="233" spans="1:19" x14ac:dyDescent="0.2">
      <c r="A233" t="s">
        <v>524</v>
      </c>
      <c r="B233" t="s">
        <v>525</v>
      </c>
      <c r="C233" t="s">
        <v>20</v>
      </c>
      <c r="D233" t="s">
        <v>49</v>
      </c>
      <c r="E233" s="1">
        <v>45725</v>
      </c>
      <c r="F233" s="1">
        <v>45738</v>
      </c>
      <c r="G233" t="s">
        <v>59</v>
      </c>
      <c r="H233" t="s">
        <v>50</v>
      </c>
      <c r="I233" t="s">
        <v>51</v>
      </c>
      <c r="J233">
        <v>51</v>
      </c>
      <c r="K233" t="s">
        <v>38</v>
      </c>
      <c r="L233" t="s">
        <v>26</v>
      </c>
      <c r="M233" t="s">
        <v>39</v>
      </c>
      <c r="N233">
        <v>12.2</v>
      </c>
      <c r="O233" s="3">
        <v>6763.12</v>
      </c>
      <c r="P233">
        <v>0</v>
      </c>
      <c r="Q233">
        <v>5</v>
      </c>
      <c r="R233">
        <v>0.78</v>
      </c>
      <c r="S233" t="str">
        <f t="shared" si="3"/>
        <v>March</v>
      </c>
    </row>
    <row r="234" spans="1:19" x14ac:dyDescent="0.2">
      <c r="A234" t="s">
        <v>526</v>
      </c>
      <c r="B234" t="s">
        <v>527</v>
      </c>
      <c r="C234" t="s">
        <v>62</v>
      </c>
      <c r="D234" t="s">
        <v>49</v>
      </c>
      <c r="E234" s="1">
        <v>45720</v>
      </c>
      <c r="F234" s="1">
        <v>45722</v>
      </c>
      <c r="G234" t="s">
        <v>50</v>
      </c>
      <c r="H234" t="s">
        <v>44</v>
      </c>
      <c r="I234" t="s">
        <v>37</v>
      </c>
      <c r="J234">
        <v>56</v>
      </c>
      <c r="K234" t="s">
        <v>38</v>
      </c>
      <c r="L234" t="s">
        <v>26</v>
      </c>
      <c r="M234" t="s">
        <v>27</v>
      </c>
      <c r="N234">
        <v>2</v>
      </c>
      <c r="O234" s="3">
        <v>6763.12</v>
      </c>
      <c r="P234">
        <v>0</v>
      </c>
      <c r="Q234">
        <v>2.6</v>
      </c>
      <c r="R234">
        <v>0.85</v>
      </c>
      <c r="S234" t="str">
        <f t="shared" si="3"/>
        <v>March</v>
      </c>
    </row>
    <row r="235" spans="1:19" x14ac:dyDescent="0.2">
      <c r="A235" t="s">
        <v>528</v>
      </c>
      <c r="B235" t="s">
        <v>529</v>
      </c>
      <c r="C235" t="s">
        <v>122</v>
      </c>
      <c r="D235" t="s">
        <v>35</v>
      </c>
      <c r="E235" s="1">
        <v>45863</v>
      </c>
      <c r="F235" s="1">
        <v>45864</v>
      </c>
      <c r="G235" t="s">
        <v>50</v>
      </c>
      <c r="H235" t="s">
        <v>23</v>
      </c>
      <c r="I235" t="s">
        <v>45</v>
      </c>
      <c r="J235">
        <v>84</v>
      </c>
      <c r="K235" t="s">
        <v>65</v>
      </c>
      <c r="L235" t="s">
        <v>26</v>
      </c>
      <c r="M235" t="s">
        <v>39</v>
      </c>
      <c r="N235">
        <v>0.2</v>
      </c>
      <c r="O235" s="3">
        <v>6763.12</v>
      </c>
      <c r="P235">
        <v>0</v>
      </c>
      <c r="Q235">
        <v>2.4</v>
      </c>
      <c r="R235">
        <v>0.78</v>
      </c>
      <c r="S235" t="str">
        <f t="shared" si="3"/>
        <v>July</v>
      </c>
    </row>
    <row r="236" spans="1:19" x14ac:dyDescent="0.2">
      <c r="A236" t="s">
        <v>530</v>
      </c>
      <c r="B236" t="s">
        <v>531</v>
      </c>
      <c r="C236" t="s">
        <v>122</v>
      </c>
      <c r="D236" t="s">
        <v>35</v>
      </c>
      <c r="E236" s="1">
        <v>45774</v>
      </c>
      <c r="F236" s="1">
        <v>45776</v>
      </c>
      <c r="G236" t="s">
        <v>99</v>
      </c>
      <c r="H236" t="s">
        <v>50</v>
      </c>
      <c r="I236" t="s">
        <v>64</v>
      </c>
      <c r="J236">
        <v>20</v>
      </c>
      <c r="K236" t="s">
        <v>78</v>
      </c>
      <c r="L236" t="s">
        <v>32</v>
      </c>
      <c r="M236" t="s">
        <v>27</v>
      </c>
      <c r="N236">
        <v>1.7</v>
      </c>
      <c r="O236" s="3">
        <v>6763.12</v>
      </c>
      <c r="P236">
        <v>0</v>
      </c>
      <c r="Q236">
        <v>3.9</v>
      </c>
      <c r="R236">
        <v>0.82</v>
      </c>
      <c r="S236" t="str">
        <f t="shared" si="3"/>
        <v>April</v>
      </c>
    </row>
    <row r="237" spans="1:19" x14ac:dyDescent="0.2">
      <c r="A237" t="s">
        <v>532</v>
      </c>
      <c r="B237" t="s">
        <v>533</v>
      </c>
      <c r="C237" t="s">
        <v>30</v>
      </c>
      <c r="D237" t="s">
        <v>21</v>
      </c>
      <c r="E237" s="1">
        <v>45695</v>
      </c>
      <c r="F237" s="1">
        <v>45696</v>
      </c>
      <c r="G237" t="s">
        <v>116</v>
      </c>
      <c r="H237" t="s">
        <v>50</v>
      </c>
      <c r="I237" t="s">
        <v>31</v>
      </c>
      <c r="J237">
        <v>14</v>
      </c>
      <c r="K237" t="s">
        <v>46</v>
      </c>
      <c r="L237" t="s">
        <v>32</v>
      </c>
      <c r="M237" t="s">
        <v>39</v>
      </c>
      <c r="N237">
        <v>1</v>
      </c>
      <c r="O237" s="3">
        <v>6763.12</v>
      </c>
      <c r="P237">
        <v>0</v>
      </c>
      <c r="Q237">
        <v>4.2</v>
      </c>
      <c r="R237">
        <v>0.83</v>
      </c>
      <c r="S237" t="str">
        <f t="shared" si="3"/>
        <v>February</v>
      </c>
    </row>
    <row r="238" spans="1:19" x14ac:dyDescent="0.2">
      <c r="A238" t="s">
        <v>534</v>
      </c>
      <c r="B238" t="s">
        <v>535</v>
      </c>
      <c r="C238" t="s">
        <v>20</v>
      </c>
      <c r="D238" t="s">
        <v>35</v>
      </c>
      <c r="E238" s="1">
        <v>45813</v>
      </c>
      <c r="F238" s="1">
        <v>45819</v>
      </c>
      <c r="G238" t="s">
        <v>99</v>
      </c>
      <c r="H238" t="s">
        <v>50</v>
      </c>
      <c r="I238" t="s">
        <v>81</v>
      </c>
      <c r="J238">
        <v>90</v>
      </c>
      <c r="K238" t="s">
        <v>65</v>
      </c>
      <c r="L238" t="s">
        <v>32</v>
      </c>
      <c r="M238" t="s">
        <v>39</v>
      </c>
      <c r="N238">
        <v>5.2</v>
      </c>
      <c r="O238" s="3">
        <v>6763.12</v>
      </c>
      <c r="P238">
        <v>0</v>
      </c>
      <c r="Q238">
        <v>3.9</v>
      </c>
      <c r="R238">
        <v>0.76</v>
      </c>
      <c r="S238" t="str">
        <f t="shared" si="3"/>
        <v>June</v>
      </c>
    </row>
    <row r="239" spans="1:19" x14ac:dyDescent="0.2">
      <c r="A239" t="s">
        <v>536</v>
      </c>
      <c r="B239" t="s">
        <v>537</v>
      </c>
      <c r="C239" t="s">
        <v>58</v>
      </c>
      <c r="D239" t="s">
        <v>21</v>
      </c>
      <c r="E239" s="1">
        <v>45896</v>
      </c>
      <c r="F239" s="1">
        <v>45898</v>
      </c>
      <c r="G239" t="s">
        <v>63</v>
      </c>
      <c r="H239" t="s">
        <v>50</v>
      </c>
      <c r="I239" t="s">
        <v>31</v>
      </c>
      <c r="J239">
        <v>50</v>
      </c>
      <c r="K239" t="s">
        <v>38</v>
      </c>
      <c r="L239" t="s">
        <v>26</v>
      </c>
      <c r="M239" t="s">
        <v>27</v>
      </c>
      <c r="N239">
        <v>1.9</v>
      </c>
      <c r="O239" s="3">
        <v>6763.12</v>
      </c>
      <c r="P239">
        <v>0</v>
      </c>
      <c r="Q239">
        <v>4.3</v>
      </c>
      <c r="R239">
        <v>0.76</v>
      </c>
      <c r="S239" t="str">
        <f t="shared" si="3"/>
        <v>August</v>
      </c>
    </row>
    <row r="240" spans="1:19" x14ac:dyDescent="0.2">
      <c r="A240" t="s">
        <v>538</v>
      </c>
      <c r="B240" t="s">
        <v>539</v>
      </c>
      <c r="C240" t="s">
        <v>62</v>
      </c>
      <c r="D240" t="s">
        <v>35</v>
      </c>
      <c r="E240" s="1">
        <v>45774</v>
      </c>
      <c r="F240" s="1">
        <v>45776</v>
      </c>
      <c r="G240" t="s">
        <v>116</v>
      </c>
      <c r="H240" t="s">
        <v>23</v>
      </c>
      <c r="I240" t="s">
        <v>81</v>
      </c>
      <c r="J240">
        <v>2</v>
      </c>
      <c r="K240" t="s">
        <v>103</v>
      </c>
      <c r="L240" t="s">
        <v>26</v>
      </c>
      <c r="M240" t="s">
        <v>82</v>
      </c>
      <c r="N240">
        <v>1.7</v>
      </c>
      <c r="O240" s="3">
        <v>6763.12</v>
      </c>
      <c r="P240">
        <v>0</v>
      </c>
      <c r="Q240">
        <v>3.7</v>
      </c>
      <c r="R240">
        <v>0.85</v>
      </c>
      <c r="S240" t="str">
        <f t="shared" si="3"/>
        <v>April</v>
      </c>
    </row>
    <row r="241" spans="1:19" x14ac:dyDescent="0.2">
      <c r="A241" t="s">
        <v>540</v>
      </c>
      <c r="B241" t="s">
        <v>541</v>
      </c>
      <c r="C241" t="s">
        <v>20</v>
      </c>
      <c r="D241" t="s">
        <v>42</v>
      </c>
      <c r="E241" s="1">
        <v>46006</v>
      </c>
      <c r="F241" s="1">
        <v>46010</v>
      </c>
      <c r="G241" t="s">
        <v>116</v>
      </c>
      <c r="H241" t="s">
        <v>50</v>
      </c>
      <c r="I241" t="s">
        <v>117</v>
      </c>
      <c r="J241">
        <v>9</v>
      </c>
      <c r="K241" t="s">
        <v>103</v>
      </c>
      <c r="L241" t="s">
        <v>26</v>
      </c>
      <c r="M241" t="s">
        <v>27</v>
      </c>
      <c r="N241">
        <v>3.8</v>
      </c>
      <c r="O241" s="3">
        <v>6763.12</v>
      </c>
      <c r="P241">
        <v>0</v>
      </c>
      <c r="Q241">
        <v>3.5</v>
      </c>
      <c r="R241">
        <v>0.82</v>
      </c>
      <c r="S241" t="str">
        <f t="shared" si="3"/>
        <v>December</v>
      </c>
    </row>
    <row r="242" spans="1:19" x14ac:dyDescent="0.2">
      <c r="A242" t="s">
        <v>542</v>
      </c>
      <c r="B242" t="s">
        <v>543</v>
      </c>
      <c r="C242" t="s">
        <v>58</v>
      </c>
      <c r="D242" t="s">
        <v>42</v>
      </c>
      <c r="E242" s="1">
        <v>45942</v>
      </c>
      <c r="F242" s="1">
        <v>45945</v>
      </c>
      <c r="G242" t="s">
        <v>99</v>
      </c>
      <c r="H242" t="s">
        <v>23</v>
      </c>
      <c r="I242" t="s">
        <v>31</v>
      </c>
      <c r="J242">
        <v>43</v>
      </c>
      <c r="K242" t="s">
        <v>25</v>
      </c>
      <c r="L242" t="s">
        <v>32</v>
      </c>
      <c r="M242" t="s">
        <v>39</v>
      </c>
      <c r="N242">
        <v>3</v>
      </c>
      <c r="O242" s="3">
        <v>6763.12</v>
      </c>
      <c r="P242">
        <v>0</v>
      </c>
      <c r="Q242">
        <v>3.6</v>
      </c>
      <c r="R242">
        <v>0.79</v>
      </c>
      <c r="S242" t="str">
        <f t="shared" si="3"/>
        <v>October</v>
      </c>
    </row>
    <row r="243" spans="1:19" x14ac:dyDescent="0.2">
      <c r="A243" t="s">
        <v>544</v>
      </c>
      <c r="B243" t="s">
        <v>545</v>
      </c>
      <c r="C243" t="s">
        <v>30</v>
      </c>
      <c r="D243" t="s">
        <v>42</v>
      </c>
      <c r="E243" s="1">
        <v>45845</v>
      </c>
      <c r="F243" s="1">
        <v>45847</v>
      </c>
      <c r="G243" t="s">
        <v>50</v>
      </c>
      <c r="H243" t="s">
        <v>23</v>
      </c>
      <c r="I243" t="s">
        <v>31</v>
      </c>
      <c r="J243">
        <v>56</v>
      </c>
      <c r="K243" t="s">
        <v>38</v>
      </c>
      <c r="L243" t="s">
        <v>32</v>
      </c>
      <c r="M243" t="s">
        <v>39</v>
      </c>
      <c r="N243">
        <v>1.2</v>
      </c>
      <c r="O243" s="3">
        <v>6763.12</v>
      </c>
      <c r="P243">
        <v>1</v>
      </c>
      <c r="Q243">
        <v>3.6</v>
      </c>
      <c r="R243">
        <v>0.8</v>
      </c>
      <c r="S243" t="str">
        <f t="shared" si="3"/>
        <v>July</v>
      </c>
    </row>
    <row r="244" spans="1:19" x14ac:dyDescent="0.2">
      <c r="A244" t="s">
        <v>546</v>
      </c>
      <c r="B244" t="s">
        <v>547</v>
      </c>
      <c r="C244" t="s">
        <v>30</v>
      </c>
      <c r="D244" t="s">
        <v>49</v>
      </c>
      <c r="E244" s="1">
        <v>45999</v>
      </c>
      <c r="F244" s="1">
        <v>46000</v>
      </c>
      <c r="G244" t="s">
        <v>50</v>
      </c>
      <c r="H244" t="s">
        <v>23</v>
      </c>
      <c r="I244" t="s">
        <v>100</v>
      </c>
      <c r="J244">
        <v>22</v>
      </c>
      <c r="K244" t="s">
        <v>78</v>
      </c>
      <c r="L244" t="s">
        <v>32</v>
      </c>
      <c r="M244" t="s">
        <v>39</v>
      </c>
      <c r="N244">
        <v>0.8</v>
      </c>
      <c r="O244" s="3">
        <v>6763.12</v>
      </c>
      <c r="P244">
        <v>0</v>
      </c>
      <c r="Q244">
        <v>4.2</v>
      </c>
      <c r="R244">
        <v>0.85</v>
      </c>
      <c r="S244" t="str">
        <f t="shared" si="3"/>
        <v>December</v>
      </c>
    </row>
    <row r="245" spans="1:19" x14ac:dyDescent="0.2">
      <c r="A245" t="s">
        <v>548</v>
      </c>
      <c r="B245" t="s">
        <v>549</v>
      </c>
      <c r="C245" t="s">
        <v>62</v>
      </c>
      <c r="D245" t="s">
        <v>35</v>
      </c>
      <c r="E245" s="1">
        <v>45816</v>
      </c>
      <c r="F245" s="1">
        <v>45818</v>
      </c>
      <c r="G245" t="s">
        <v>50</v>
      </c>
      <c r="H245" t="s">
        <v>44</v>
      </c>
      <c r="I245" t="s">
        <v>24</v>
      </c>
      <c r="J245">
        <v>33</v>
      </c>
      <c r="K245" t="s">
        <v>78</v>
      </c>
      <c r="L245" t="s">
        <v>32</v>
      </c>
      <c r="M245" t="s">
        <v>39</v>
      </c>
      <c r="N245">
        <v>1.9</v>
      </c>
      <c r="O245" s="3">
        <v>6763.12</v>
      </c>
      <c r="P245">
        <v>0</v>
      </c>
      <c r="Q245">
        <v>3.4</v>
      </c>
      <c r="R245">
        <v>0.77</v>
      </c>
      <c r="S245" t="str">
        <f t="shared" si="3"/>
        <v>June</v>
      </c>
    </row>
    <row r="246" spans="1:19" x14ac:dyDescent="0.2">
      <c r="A246" t="s">
        <v>550</v>
      </c>
      <c r="B246" t="s">
        <v>551</v>
      </c>
      <c r="C246" t="s">
        <v>30</v>
      </c>
      <c r="D246" t="s">
        <v>35</v>
      </c>
      <c r="E246" s="1">
        <v>45708</v>
      </c>
      <c r="F246" s="1">
        <v>45715</v>
      </c>
      <c r="G246" t="s">
        <v>99</v>
      </c>
      <c r="H246" t="s">
        <v>50</v>
      </c>
      <c r="I246" t="s">
        <v>31</v>
      </c>
      <c r="J246">
        <v>66</v>
      </c>
      <c r="K246" t="s">
        <v>169</v>
      </c>
      <c r="L246" t="s">
        <v>32</v>
      </c>
      <c r="M246" t="s">
        <v>52</v>
      </c>
      <c r="N246">
        <v>6.8</v>
      </c>
      <c r="O246" s="3">
        <v>6763.12</v>
      </c>
      <c r="P246">
        <v>0</v>
      </c>
      <c r="Q246">
        <v>3.7</v>
      </c>
      <c r="R246">
        <v>0.82</v>
      </c>
      <c r="S246" t="str">
        <f t="shared" si="3"/>
        <v>February</v>
      </c>
    </row>
    <row r="247" spans="1:19" x14ac:dyDescent="0.2">
      <c r="A247" t="s">
        <v>552</v>
      </c>
      <c r="B247" t="s">
        <v>553</v>
      </c>
      <c r="C247" t="s">
        <v>30</v>
      </c>
      <c r="D247" t="s">
        <v>49</v>
      </c>
      <c r="E247" s="1">
        <v>45671</v>
      </c>
      <c r="F247" s="1">
        <v>45674</v>
      </c>
      <c r="G247" t="s">
        <v>22</v>
      </c>
      <c r="H247" t="s">
        <v>44</v>
      </c>
      <c r="I247" t="s">
        <v>81</v>
      </c>
      <c r="J247">
        <v>88</v>
      </c>
      <c r="K247" t="s">
        <v>65</v>
      </c>
      <c r="L247" t="s">
        <v>26</v>
      </c>
      <c r="M247" t="s">
        <v>39</v>
      </c>
      <c r="N247">
        <v>2.8</v>
      </c>
      <c r="O247" s="3">
        <v>6763.12</v>
      </c>
      <c r="P247">
        <v>0</v>
      </c>
      <c r="Q247">
        <v>4.2</v>
      </c>
      <c r="R247">
        <v>0.81</v>
      </c>
      <c r="S247" t="str">
        <f t="shared" si="3"/>
        <v>January</v>
      </c>
    </row>
    <row r="248" spans="1:19" x14ac:dyDescent="0.2">
      <c r="A248" t="s">
        <v>554</v>
      </c>
      <c r="B248" t="s">
        <v>555</v>
      </c>
      <c r="C248" t="s">
        <v>62</v>
      </c>
      <c r="D248" t="s">
        <v>49</v>
      </c>
      <c r="E248" s="1">
        <v>46000</v>
      </c>
      <c r="F248" s="1">
        <v>46007</v>
      </c>
      <c r="G248" t="s">
        <v>36</v>
      </c>
      <c r="H248" t="s">
        <v>23</v>
      </c>
      <c r="I248" t="s">
        <v>31</v>
      </c>
      <c r="J248">
        <v>44</v>
      </c>
      <c r="K248" t="s">
        <v>25</v>
      </c>
      <c r="L248" t="s">
        <v>32</v>
      </c>
      <c r="M248" t="s">
        <v>82</v>
      </c>
      <c r="N248">
        <v>6.5</v>
      </c>
      <c r="O248" s="3">
        <v>6763.12</v>
      </c>
      <c r="P248">
        <v>0</v>
      </c>
      <c r="Q248">
        <v>3.8</v>
      </c>
      <c r="R248">
        <v>0.9</v>
      </c>
      <c r="S248" t="str">
        <f t="shared" si="3"/>
        <v>December</v>
      </c>
    </row>
    <row r="249" spans="1:19" x14ac:dyDescent="0.2">
      <c r="A249" t="s">
        <v>556</v>
      </c>
      <c r="B249" t="s">
        <v>557</v>
      </c>
      <c r="C249" t="s">
        <v>62</v>
      </c>
      <c r="D249" t="s">
        <v>21</v>
      </c>
      <c r="E249" s="1">
        <v>46008</v>
      </c>
      <c r="F249" s="1">
        <v>46017</v>
      </c>
      <c r="G249" t="s">
        <v>22</v>
      </c>
      <c r="H249" t="s">
        <v>23</v>
      </c>
      <c r="I249" t="s">
        <v>51</v>
      </c>
      <c r="J249">
        <v>37</v>
      </c>
      <c r="K249" t="s">
        <v>25</v>
      </c>
      <c r="L249" t="s">
        <v>32</v>
      </c>
      <c r="M249" t="s">
        <v>39</v>
      </c>
      <c r="N249">
        <v>8.9</v>
      </c>
      <c r="O249" s="3">
        <v>6763.12</v>
      </c>
      <c r="P249">
        <v>1</v>
      </c>
      <c r="Q249">
        <v>4.4000000000000004</v>
      </c>
      <c r="R249">
        <v>0.83</v>
      </c>
      <c r="S249" t="str">
        <f t="shared" si="3"/>
        <v>December</v>
      </c>
    </row>
    <row r="250" spans="1:19" x14ac:dyDescent="0.2">
      <c r="A250" t="s">
        <v>558</v>
      </c>
      <c r="B250" t="s">
        <v>559</v>
      </c>
      <c r="C250" t="s">
        <v>58</v>
      </c>
      <c r="D250" t="s">
        <v>21</v>
      </c>
      <c r="E250" s="1">
        <v>45927</v>
      </c>
      <c r="F250" s="1">
        <v>45936</v>
      </c>
      <c r="G250" t="s">
        <v>59</v>
      </c>
      <c r="H250" t="s">
        <v>23</v>
      </c>
      <c r="I250" t="s">
        <v>31</v>
      </c>
      <c r="J250">
        <v>32</v>
      </c>
      <c r="K250" t="s">
        <v>78</v>
      </c>
      <c r="L250" t="s">
        <v>26</v>
      </c>
      <c r="M250" t="s">
        <v>27</v>
      </c>
      <c r="N250">
        <v>8.8000000000000007</v>
      </c>
      <c r="O250" s="3">
        <v>6763.12</v>
      </c>
      <c r="P250">
        <v>0</v>
      </c>
      <c r="Q250">
        <v>3</v>
      </c>
      <c r="R250">
        <v>0.77</v>
      </c>
      <c r="S250" t="str">
        <f t="shared" si="3"/>
        <v>September</v>
      </c>
    </row>
    <row r="251" spans="1:19" x14ac:dyDescent="0.2">
      <c r="A251" t="s">
        <v>560</v>
      </c>
      <c r="B251" t="s">
        <v>561</v>
      </c>
      <c r="C251" t="s">
        <v>122</v>
      </c>
      <c r="D251" t="s">
        <v>21</v>
      </c>
      <c r="E251" s="1">
        <v>45695</v>
      </c>
      <c r="F251" s="1">
        <v>45698</v>
      </c>
      <c r="G251" t="s">
        <v>99</v>
      </c>
      <c r="H251" t="s">
        <v>23</v>
      </c>
      <c r="I251" t="s">
        <v>81</v>
      </c>
      <c r="J251">
        <v>12</v>
      </c>
      <c r="K251" t="s">
        <v>103</v>
      </c>
      <c r="L251" t="s">
        <v>26</v>
      </c>
      <c r="M251" t="s">
        <v>27</v>
      </c>
      <c r="N251">
        <v>2.8</v>
      </c>
      <c r="O251" s="3">
        <v>6763.12</v>
      </c>
      <c r="P251">
        <v>0</v>
      </c>
      <c r="Q251">
        <v>3.2</v>
      </c>
      <c r="R251">
        <v>0.71</v>
      </c>
      <c r="S251" t="str">
        <f t="shared" si="3"/>
        <v>February</v>
      </c>
    </row>
    <row r="252" spans="1:19" x14ac:dyDescent="0.2">
      <c r="A252" t="s">
        <v>562</v>
      </c>
      <c r="B252" t="s">
        <v>563</v>
      </c>
      <c r="C252" t="s">
        <v>62</v>
      </c>
      <c r="D252" t="s">
        <v>35</v>
      </c>
      <c r="E252" s="1">
        <v>45765</v>
      </c>
      <c r="F252" s="1">
        <v>45770</v>
      </c>
      <c r="G252" t="s">
        <v>36</v>
      </c>
      <c r="H252" t="s">
        <v>44</v>
      </c>
      <c r="I252" t="s">
        <v>31</v>
      </c>
      <c r="J252">
        <v>4</v>
      </c>
      <c r="K252" t="s">
        <v>103</v>
      </c>
      <c r="L252" t="s">
        <v>32</v>
      </c>
      <c r="M252" t="s">
        <v>39</v>
      </c>
      <c r="N252">
        <v>4.2</v>
      </c>
      <c r="O252" s="3">
        <v>6763.12</v>
      </c>
      <c r="P252">
        <v>0</v>
      </c>
      <c r="Q252">
        <v>4.0999999999999996</v>
      </c>
      <c r="R252">
        <v>0.83</v>
      </c>
      <c r="S252" t="str">
        <f t="shared" si="3"/>
        <v>April</v>
      </c>
    </row>
    <row r="253" spans="1:19" x14ac:dyDescent="0.2">
      <c r="A253" t="s">
        <v>564</v>
      </c>
      <c r="B253" t="s">
        <v>565</v>
      </c>
      <c r="C253" t="s">
        <v>30</v>
      </c>
      <c r="D253" t="s">
        <v>21</v>
      </c>
      <c r="E253" s="1">
        <v>45672</v>
      </c>
      <c r="F253" s="1">
        <v>45685</v>
      </c>
      <c r="G253" t="s">
        <v>59</v>
      </c>
      <c r="H253" t="s">
        <v>50</v>
      </c>
      <c r="I253" t="s">
        <v>24</v>
      </c>
      <c r="J253">
        <v>75</v>
      </c>
      <c r="K253" t="s">
        <v>65</v>
      </c>
      <c r="L253" t="s">
        <v>32</v>
      </c>
      <c r="M253" t="s">
        <v>27</v>
      </c>
      <c r="N253">
        <v>13</v>
      </c>
      <c r="O253" s="3">
        <v>6763.12</v>
      </c>
      <c r="P253">
        <v>0</v>
      </c>
      <c r="Q253">
        <v>3.8</v>
      </c>
      <c r="R253">
        <v>0.79</v>
      </c>
      <c r="S253" t="str">
        <f t="shared" si="3"/>
        <v>January</v>
      </c>
    </row>
    <row r="254" spans="1:19" x14ac:dyDescent="0.2">
      <c r="A254" t="s">
        <v>566</v>
      </c>
      <c r="B254" t="s">
        <v>567</v>
      </c>
      <c r="C254" t="s">
        <v>20</v>
      </c>
      <c r="D254" t="s">
        <v>21</v>
      </c>
      <c r="E254" s="1">
        <v>45676</v>
      </c>
      <c r="F254" s="1">
        <v>45679</v>
      </c>
      <c r="G254" t="s">
        <v>36</v>
      </c>
      <c r="H254" t="s">
        <v>23</v>
      </c>
      <c r="I254" t="s">
        <v>64</v>
      </c>
      <c r="J254">
        <v>3</v>
      </c>
      <c r="K254" t="s">
        <v>103</v>
      </c>
      <c r="L254" t="s">
        <v>26</v>
      </c>
      <c r="M254" t="s">
        <v>27</v>
      </c>
      <c r="N254">
        <v>2.2000000000000002</v>
      </c>
      <c r="O254" s="3">
        <v>6763.12</v>
      </c>
      <c r="P254">
        <v>0</v>
      </c>
      <c r="Q254">
        <v>3.4</v>
      </c>
      <c r="R254">
        <v>0.9</v>
      </c>
      <c r="S254" t="str">
        <f t="shared" si="3"/>
        <v>January</v>
      </c>
    </row>
    <row r="255" spans="1:19" x14ac:dyDescent="0.2">
      <c r="A255" t="s">
        <v>568</v>
      </c>
      <c r="B255" t="s">
        <v>569</v>
      </c>
      <c r="C255" t="s">
        <v>122</v>
      </c>
      <c r="D255" t="s">
        <v>49</v>
      </c>
      <c r="E255" s="1">
        <v>45747</v>
      </c>
      <c r="F255" s="1">
        <v>45749</v>
      </c>
      <c r="G255" t="s">
        <v>116</v>
      </c>
      <c r="H255" t="s">
        <v>23</v>
      </c>
      <c r="I255" t="s">
        <v>31</v>
      </c>
      <c r="J255">
        <v>74</v>
      </c>
      <c r="K255" t="s">
        <v>169</v>
      </c>
      <c r="L255" t="s">
        <v>26</v>
      </c>
      <c r="M255" t="s">
        <v>27</v>
      </c>
      <c r="N255">
        <v>1.3</v>
      </c>
      <c r="O255" s="3">
        <v>6763.12</v>
      </c>
      <c r="P255">
        <v>0</v>
      </c>
      <c r="Q255">
        <v>4.7</v>
      </c>
      <c r="R255">
        <v>0.75</v>
      </c>
      <c r="S255" t="str">
        <f t="shared" si="3"/>
        <v>March</v>
      </c>
    </row>
    <row r="256" spans="1:19" x14ac:dyDescent="0.2">
      <c r="A256" t="s">
        <v>570</v>
      </c>
      <c r="B256" t="s">
        <v>571</v>
      </c>
      <c r="C256" t="s">
        <v>62</v>
      </c>
      <c r="D256" t="s">
        <v>42</v>
      </c>
      <c r="E256" s="1">
        <v>45866</v>
      </c>
      <c r="F256" s="1">
        <v>45870</v>
      </c>
      <c r="G256" t="s">
        <v>68</v>
      </c>
      <c r="H256" t="s">
        <v>50</v>
      </c>
      <c r="I256" t="s">
        <v>51</v>
      </c>
      <c r="J256">
        <v>22</v>
      </c>
      <c r="K256" t="s">
        <v>78</v>
      </c>
      <c r="L256" t="s">
        <v>26</v>
      </c>
      <c r="M256" t="s">
        <v>39</v>
      </c>
      <c r="N256">
        <v>3.3</v>
      </c>
      <c r="O256" s="3">
        <v>6763.12</v>
      </c>
      <c r="P256">
        <v>0</v>
      </c>
      <c r="Q256">
        <v>5</v>
      </c>
      <c r="R256">
        <v>0.84</v>
      </c>
      <c r="S256" t="str">
        <f t="shared" si="3"/>
        <v>July</v>
      </c>
    </row>
    <row r="257" spans="1:19" x14ac:dyDescent="0.2">
      <c r="A257" t="s">
        <v>572</v>
      </c>
      <c r="B257" t="s">
        <v>573</v>
      </c>
      <c r="C257" t="s">
        <v>62</v>
      </c>
      <c r="D257" t="s">
        <v>49</v>
      </c>
      <c r="E257" s="1">
        <v>45681</v>
      </c>
      <c r="F257" s="1">
        <v>45682</v>
      </c>
      <c r="G257" t="s">
        <v>50</v>
      </c>
      <c r="H257" t="s">
        <v>44</v>
      </c>
      <c r="I257" t="s">
        <v>100</v>
      </c>
      <c r="J257">
        <v>63</v>
      </c>
      <c r="K257" t="s">
        <v>38</v>
      </c>
      <c r="L257" t="s">
        <v>32</v>
      </c>
      <c r="M257" t="s">
        <v>27</v>
      </c>
      <c r="N257">
        <v>0.9</v>
      </c>
      <c r="O257" s="3">
        <v>6763.12</v>
      </c>
      <c r="P257">
        <v>0</v>
      </c>
      <c r="Q257">
        <v>3.3</v>
      </c>
      <c r="R257">
        <v>0.85</v>
      </c>
      <c r="S257" t="str">
        <f t="shared" si="3"/>
        <v>January</v>
      </c>
    </row>
    <row r="258" spans="1:19" x14ac:dyDescent="0.2">
      <c r="A258" t="s">
        <v>574</v>
      </c>
      <c r="B258" t="s">
        <v>575</v>
      </c>
      <c r="C258" t="s">
        <v>58</v>
      </c>
      <c r="D258" t="s">
        <v>49</v>
      </c>
      <c r="E258" s="1">
        <v>46017</v>
      </c>
      <c r="F258" s="1">
        <v>46019</v>
      </c>
      <c r="G258" t="s">
        <v>99</v>
      </c>
      <c r="H258" t="s">
        <v>50</v>
      </c>
      <c r="I258" t="s">
        <v>64</v>
      </c>
      <c r="J258">
        <v>86</v>
      </c>
      <c r="K258" t="s">
        <v>65</v>
      </c>
      <c r="L258" t="s">
        <v>32</v>
      </c>
      <c r="M258" t="s">
        <v>82</v>
      </c>
      <c r="N258">
        <v>1.4</v>
      </c>
      <c r="O258" s="3">
        <v>6763.12</v>
      </c>
      <c r="P258">
        <v>0</v>
      </c>
      <c r="Q258">
        <v>4.8</v>
      </c>
      <c r="R258">
        <v>0.69</v>
      </c>
      <c r="S258" t="str">
        <f t="shared" si="3"/>
        <v>December</v>
      </c>
    </row>
    <row r="259" spans="1:19" x14ac:dyDescent="0.2">
      <c r="A259" t="s">
        <v>576</v>
      </c>
      <c r="B259" t="s">
        <v>577</v>
      </c>
      <c r="C259" t="s">
        <v>30</v>
      </c>
      <c r="D259" t="s">
        <v>42</v>
      </c>
      <c r="E259" s="1">
        <v>45824</v>
      </c>
      <c r="F259" s="1">
        <v>45829</v>
      </c>
      <c r="G259" t="s">
        <v>71</v>
      </c>
      <c r="H259" t="s">
        <v>23</v>
      </c>
      <c r="I259" t="s">
        <v>64</v>
      </c>
      <c r="J259">
        <v>68</v>
      </c>
      <c r="K259" t="s">
        <v>169</v>
      </c>
      <c r="L259" t="s">
        <v>26</v>
      </c>
      <c r="M259" t="s">
        <v>39</v>
      </c>
      <c r="N259">
        <v>4.5</v>
      </c>
      <c r="O259" s="3">
        <v>6763.12</v>
      </c>
      <c r="P259">
        <v>0</v>
      </c>
      <c r="Q259">
        <v>2.5</v>
      </c>
      <c r="R259">
        <v>0.8</v>
      </c>
      <c r="S259" t="str">
        <f t="shared" ref="S259:S322" si="4">TEXT(E259, "mmmm")</f>
        <v>June</v>
      </c>
    </row>
    <row r="260" spans="1:19" x14ac:dyDescent="0.2">
      <c r="A260" t="s">
        <v>578</v>
      </c>
      <c r="B260" t="s">
        <v>579</v>
      </c>
      <c r="C260" t="s">
        <v>20</v>
      </c>
      <c r="D260" t="s">
        <v>35</v>
      </c>
      <c r="E260" s="1">
        <v>45754</v>
      </c>
      <c r="F260" s="1">
        <v>45760</v>
      </c>
      <c r="G260" t="s">
        <v>116</v>
      </c>
      <c r="H260" t="s">
        <v>50</v>
      </c>
      <c r="I260" t="s">
        <v>64</v>
      </c>
      <c r="J260">
        <v>66</v>
      </c>
      <c r="K260" t="s">
        <v>169</v>
      </c>
      <c r="L260" t="s">
        <v>32</v>
      </c>
      <c r="M260" t="s">
        <v>39</v>
      </c>
      <c r="N260">
        <v>5.7</v>
      </c>
      <c r="O260" s="3">
        <v>6763.12</v>
      </c>
      <c r="P260">
        <v>0</v>
      </c>
      <c r="Q260">
        <v>4.5</v>
      </c>
      <c r="R260">
        <v>0.82</v>
      </c>
      <c r="S260" t="str">
        <f t="shared" si="4"/>
        <v>April</v>
      </c>
    </row>
    <row r="261" spans="1:19" x14ac:dyDescent="0.2">
      <c r="A261" t="s">
        <v>580</v>
      </c>
      <c r="B261" t="s">
        <v>581</v>
      </c>
      <c r="C261" t="s">
        <v>122</v>
      </c>
      <c r="D261" t="s">
        <v>49</v>
      </c>
      <c r="E261" s="1">
        <v>45846</v>
      </c>
      <c r="F261" s="1">
        <v>45853</v>
      </c>
      <c r="G261" t="s">
        <v>71</v>
      </c>
      <c r="H261" t="s">
        <v>50</v>
      </c>
      <c r="I261" t="s">
        <v>37</v>
      </c>
      <c r="J261">
        <v>24</v>
      </c>
      <c r="K261" t="s">
        <v>78</v>
      </c>
      <c r="L261" t="s">
        <v>32</v>
      </c>
      <c r="M261" t="s">
        <v>27</v>
      </c>
      <c r="N261">
        <v>6.2</v>
      </c>
      <c r="O261" s="3">
        <v>6763.12</v>
      </c>
      <c r="P261">
        <v>0</v>
      </c>
      <c r="Q261">
        <v>3.4</v>
      </c>
      <c r="R261">
        <v>0.78</v>
      </c>
      <c r="S261" t="str">
        <f t="shared" si="4"/>
        <v>July</v>
      </c>
    </row>
    <row r="262" spans="1:19" x14ac:dyDescent="0.2">
      <c r="A262" t="s">
        <v>582</v>
      </c>
      <c r="B262" t="s">
        <v>583</v>
      </c>
      <c r="C262" t="s">
        <v>62</v>
      </c>
      <c r="D262" t="s">
        <v>21</v>
      </c>
      <c r="E262" s="1">
        <v>45946</v>
      </c>
      <c r="F262" s="1">
        <v>45947</v>
      </c>
      <c r="G262" t="s">
        <v>43</v>
      </c>
      <c r="H262" t="s">
        <v>23</v>
      </c>
      <c r="I262" t="s">
        <v>31</v>
      </c>
      <c r="J262">
        <v>54</v>
      </c>
      <c r="K262" t="s">
        <v>38</v>
      </c>
      <c r="L262" t="s">
        <v>26</v>
      </c>
      <c r="M262" t="s">
        <v>39</v>
      </c>
      <c r="N262">
        <v>0.9</v>
      </c>
      <c r="O262" s="3">
        <v>6763.12</v>
      </c>
      <c r="P262">
        <v>0</v>
      </c>
      <c r="Q262">
        <v>4.5</v>
      </c>
      <c r="R262">
        <v>0.75</v>
      </c>
      <c r="S262" t="str">
        <f t="shared" si="4"/>
        <v>October</v>
      </c>
    </row>
    <row r="263" spans="1:19" x14ac:dyDescent="0.2">
      <c r="A263" t="s">
        <v>584</v>
      </c>
      <c r="B263" t="s">
        <v>585</v>
      </c>
      <c r="C263" t="s">
        <v>30</v>
      </c>
      <c r="D263" t="s">
        <v>49</v>
      </c>
      <c r="E263" s="1">
        <v>45772</v>
      </c>
      <c r="F263" s="1">
        <v>45776</v>
      </c>
      <c r="G263" t="s">
        <v>22</v>
      </c>
      <c r="H263" t="s">
        <v>50</v>
      </c>
      <c r="I263" t="s">
        <v>31</v>
      </c>
      <c r="J263">
        <v>58</v>
      </c>
      <c r="K263" t="s">
        <v>38</v>
      </c>
      <c r="L263" t="s">
        <v>32</v>
      </c>
      <c r="M263" t="s">
        <v>27</v>
      </c>
      <c r="N263">
        <v>3.2</v>
      </c>
      <c r="O263" s="3">
        <v>6763.12</v>
      </c>
      <c r="P263">
        <v>0</v>
      </c>
      <c r="Q263">
        <v>3.3</v>
      </c>
      <c r="R263">
        <v>0.8</v>
      </c>
      <c r="S263" t="str">
        <f t="shared" si="4"/>
        <v>April</v>
      </c>
    </row>
    <row r="264" spans="1:19" x14ac:dyDescent="0.2">
      <c r="A264" t="s">
        <v>586</v>
      </c>
      <c r="B264" t="s">
        <v>587</v>
      </c>
      <c r="C264" t="s">
        <v>30</v>
      </c>
      <c r="D264" t="s">
        <v>35</v>
      </c>
      <c r="E264" s="1">
        <v>45675</v>
      </c>
      <c r="F264" s="1">
        <v>45678</v>
      </c>
      <c r="G264" t="s">
        <v>99</v>
      </c>
      <c r="H264" t="s">
        <v>50</v>
      </c>
      <c r="I264" t="s">
        <v>100</v>
      </c>
      <c r="J264">
        <v>38</v>
      </c>
      <c r="K264" t="s">
        <v>25</v>
      </c>
      <c r="L264" t="s">
        <v>26</v>
      </c>
      <c r="M264" t="s">
        <v>39</v>
      </c>
      <c r="N264">
        <v>2.6</v>
      </c>
      <c r="O264" s="3">
        <v>6763.12</v>
      </c>
      <c r="P264">
        <v>0</v>
      </c>
      <c r="Q264">
        <v>3.9</v>
      </c>
      <c r="R264">
        <v>0.86</v>
      </c>
      <c r="S264" t="str">
        <f t="shared" si="4"/>
        <v>January</v>
      </c>
    </row>
    <row r="265" spans="1:19" x14ac:dyDescent="0.2">
      <c r="A265" t="s">
        <v>588</v>
      </c>
      <c r="B265" t="s">
        <v>589</v>
      </c>
      <c r="C265" t="s">
        <v>58</v>
      </c>
      <c r="D265" t="s">
        <v>42</v>
      </c>
      <c r="E265" s="1">
        <v>45676</v>
      </c>
      <c r="F265" s="1">
        <v>45686</v>
      </c>
      <c r="G265" t="s">
        <v>68</v>
      </c>
      <c r="H265" t="s">
        <v>50</v>
      </c>
      <c r="I265" t="s">
        <v>31</v>
      </c>
      <c r="J265">
        <v>3</v>
      </c>
      <c r="K265" t="s">
        <v>103</v>
      </c>
      <c r="L265" t="s">
        <v>26</v>
      </c>
      <c r="M265" t="s">
        <v>27</v>
      </c>
      <c r="N265">
        <v>10</v>
      </c>
      <c r="O265" s="3">
        <v>6763.12</v>
      </c>
      <c r="P265">
        <v>0</v>
      </c>
      <c r="Q265">
        <v>3.2</v>
      </c>
      <c r="R265">
        <v>0.77</v>
      </c>
      <c r="S265" t="str">
        <f t="shared" si="4"/>
        <v>January</v>
      </c>
    </row>
    <row r="266" spans="1:19" x14ac:dyDescent="0.2">
      <c r="A266" t="s">
        <v>590</v>
      </c>
      <c r="B266" t="s">
        <v>591</v>
      </c>
      <c r="C266" t="s">
        <v>20</v>
      </c>
      <c r="D266" t="s">
        <v>42</v>
      </c>
      <c r="E266" s="1">
        <v>45968</v>
      </c>
      <c r="F266" s="1">
        <v>45977</v>
      </c>
      <c r="G266" t="s">
        <v>59</v>
      </c>
      <c r="H266" t="s">
        <v>50</v>
      </c>
      <c r="I266" t="s">
        <v>81</v>
      </c>
      <c r="J266">
        <v>83</v>
      </c>
      <c r="K266" t="s">
        <v>65</v>
      </c>
      <c r="L266" t="s">
        <v>32</v>
      </c>
      <c r="M266" t="s">
        <v>52</v>
      </c>
      <c r="N266">
        <v>8.6</v>
      </c>
      <c r="O266" s="3">
        <v>6763.12</v>
      </c>
      <c r="P266">
        <v>0</v>
      </c>
      <c r="Q266">
        <v>3.5</v>
      </c>
      <c r="R266">
        <v>0.85</v>
      </c>
      <c r="S266" t="str">
        <f t="shared" si="4"/>
        <v>November</v>
      </c>
    </row>
    <row r="267" spans="1:19" x14ac:dyDescent="0.2">
      <c r="A267" t="s">
        <v>592</v>
      </c>
      <c r="B267" t="s">
        <v>593</v>
      </c>
      <c r="C267" t="s">
        <v>62</v>
      </c>
      <c r="D267" t="s">
        <v>35</v>
      </c>
      <c r="E267" s="1">
        <v>45698</v>
      </c>
      <c r="F267" s="1">
        <v>45700</v>
      </c>
      <c r="G267" t="s">
        <v>43</v>
      </c>
      <c r="H267" t="s">
        <v>23</v>
      </c>
      <c r="I267" t="s">
        <v>45</v>
      </c>
      <c r="J267">
        <v>17</v>
      </c>
      <c r="K267" t="s">
        <v>46</v>
      </c>
      <c r="L267" t="s">
        <v>26</v>
      </c>
      <c r="M267" t="s">
        <v>27</v>
      </c>
      <c r="N267">
        <v>1.6</v>
      </c>
      <c r="O267" s="3">
        <v>6763.12</v>
      </c>
      <c r="P267">
        <v>0</v>
      </c>
      <c r="Q267">
        <v>5</v>
      </c>
      <c r="R267">
        <v>0.8</v>
      </c>
      <c r="S267" t="str">
        <f t="shared" si="4"/>
        <v>February</v>
      </c>
    </row>
    <row r="268" spans="1:19" x14ac:dyDescent="0.2">
      <c r="A268" t="s">
        <v>594</v>
      </c>
      <c r="B268" t="s">
        <v>595</v>
      </c>
      <c r="C268" t="s">
        <v>30</v>
      </c>
      <c r="D268" t="s">
        <v>35</v>
      </c>
      <c r="E268" s="1">
        <v>45889</v>
      </c>
      <c r="F268" s="1">
        <v>45896</v>
      </c>
      <c r="G268" t="s">
        <v>71</v>
      </c>
      <c r="H268" t="s">
        <v>44</v>
      </c>
      <c r="I268" t="s">
        <v>64</v>
      </c>
      <c r="J268">
        <v>88</v>
      </c>
      <c r="K268" t="s">
        <v>65</v>
      </c>
      <c r="L268" t="s">
        <v>32</v>
      </c>
      <c r="M268" t="s">
        <v>39</v>
      </c>
      <c r="N268">
        <v>7</v>
      </c>
      <c r="O268" s="3">
        <v>6763.12</v>
      </c>
      <c r="P268">
        <v>0</v>
      </c>
      <c r="Q268">
        <v>3.8</v>
      </c>
      <c r="R268">
        <v>0.87</v>
      </c>
      <c r="S268" t="str">
        <f t="shared" si="4"/>
        <v>August</v>
      </c>
    </row>
    <row r="269" spans="1:19" x14ac:dyDescent="0.2">
      <c r="A269" t="s">
        <v>596</v>
      </c>
      <c r="B269" t="s">
        <v>597</v>
      </c>
      <c r="C269" t="s">
        <v>62</v>
      </c>
      <c r="D269" t="s">
        <v>35</v>
      </c>
      <c r="E269" s="1">
        <v>45798</v>
      </c>
      <c r="F269" s="1">
        <v>45802</v>
      </c>
      <c r="G269" t="s">
        <v>99</v>
      </c>
      <c r="H269" t="s">
        <v>50</v>
      </c>
      <c r="I269" t="s">
        <v>100</v>
      </c>
      <c r="J269">
        <v>84</v>
      </c>
      <c r="K269" t="s">
        <v>65</v>
      </c>
      <c r="L269" t="s">
        <v>26</v>
      </c>
      <c r="M269" t="s">
        <v>27</v>
      </c>
      <c r="N269">
        <v>3.8</v>
      </c>
      <c r="O269" s="3">
        <v>6763.12</v>
      </c>
      <c r="P269">
        <v>0</v>
      </c>
      <c r="Q269">
        <v>5</v>
      </c>
      <c r="R269">
        <v>0.84</v>
      </c>
      <c r="S269" t="str">
        <f t="shared" si="4"/>
        <v>May</v>
      </c>
    </row>
    <row r="270" spans="1:19" x14ac:dyDescent="0.2">
      <c r="A270" t="s">
        <v>598</v>
      </c>
      <c r="B270" t="s">
        <v>599</v>
      </c>
      <c r="C270" t="s">
        <v>30</v>
      </c>
      <c r="D270" t="s">
        <v>42</v>
      </c>
      <c r="E270" s="1">
        <v>45941</v>
      </c>
      <c r="F270" s="1">
        <v>45948</v>
      </c>
      <c r="G270" t="s">
        <v>43</v>
      </c>
      <c r="H270" t="s">
        <v>23</v>
      </c>
      <c r="I270" t="s">
        <v>100</v>
      </c>
      <c r="J270">
        <v>1</v>
      </c>
      <c r="K270" t="s">
        <v>103</v>
      </c>
      <c r="L270" t="s">
        <v>26</v>
      </c>
      <c r="M270" t="s">
        <v>39</v>
      </c>
      <c r="N270">
        <v>6.3</v>
      </c>
      <c r="O270" s="3">
        <v>6763.12</v>
      </c>
      <c r="P270">
        <v>0</v>
      </c>
      <c r="Q270">
        <v>3.7</v>
      </c>
      <c r="R270">
        <v>0.88</v>
      </c>
      <c r="S270" t="str">
        <f t="shared" si="4"/>
        <v>October</v>
      </c>
    </row>
    <row r="271" spans="1:19" x14ac:dyDescent="0.2">
      <c r="A271" t="s">
        <v>600</v>
      </c>
      <c r="B271" t="s">
        <v>601</v>
      </c>
      <c r="C271" t="s">
        <v>30</v>
      </c>
      <c r="D271" t="s">
        <v>49</v>
      </c>
      <c r="E271" s="1">
        <v>45680</v>
      </c>
      <c r="F271" s="1">
        <v>45683</v>
      </c>
      <c r="G271" t="s">
        <v>99</v>
      </c>
      <c r="H271" t="s">
        <v>50</v>
      </c>
      <c r="I271" t="s">
        <v>45</v>
      </c>
      <c r="J271">
        <v>67</v>
      </c>
      <c r="K271" t="s">
        <v>169</v>
      </c>
      <c r="L271" t="s">
        <v>26</v>
      </c>
      <c r="M271" t="s">
        <v>39</v>
      </c>
      <c r="N271">
        <v>2.1</v>
      </c>
      <c r="O271" s="3">
        <v>6763.12</v>
      </c>
      <c r="P271">
        <v>0</v>
      </c>
      <c r="Q271">
        <v>4.8</v>
      </c>
      <c r="R271">
        <v>0.82</v>
      </c>
      <c r="S271" t="str">
        <f t="shared" si="4"/>
        <v>January</v>
      </c>
    </row>
    <row r="272" spans="1:19" x14ac:dyDescent="0.2">
      <c r="A272" t="s">
        <v>602</v>
      </c>
      <c r="B272" t="s">
        <v>603</v>
      </c>
      <c r="C272" t="s">
        <v>20</v>
      </c>
      <c r="D272" t="s">
        <v>35</v>
      </c>
      <c r="E272" s="1">
        <v>45985</v>
      </c>
      <c r="F272" s="1">
        <v>45988</v>
      </c>
      <c r="G272" t="s">
        <v>116</v>
      </c>
      <c r="H272" t="s">
        <v>23</v>
      </c>
      <c r="I272" t="s">
        <v>100</v>
      </c>
      <c r="J272">
        <v>57</v>
      </c>
      <c r="K272" t="s">
        <v>38</v>
      </c>
      <c r="L272" t="s">
        <v>32</v>
      </c>
      <c r="M272" t="s">
        <v>27</v>
      </c>
      <c r="N272">
        <v>3</v>
      </c>
      <c r="O272" s="3">
        <v>6763.12</v>
      </c>
      <c r="P272">
        <v>0</v>
      </c>
      <c r="Q272">
        <v>2.9</v>
      </c>
      <c r="R272">
        <v>0.72</v>
      </c>
      <c r="S272" t="str">
        <f t="shared" si="4"/>
        <v>November</v>
      </c>
    </row>
    <row r="273" spans="1:19" x14ac:dyDescent="0.2">
      <c r="A273" t="s">
        <v>604</v>
      </c>
      <c r="B273" t="s">
        <v>605</v>
      </c>
      <c r="C273" t="s">
        <v>122</v>
      </c>
      <c r="D273" t="s">
        <v>42</v>
      </c>
      <c r="E273" s="1">
        <v>45912</v>
      </c>
      <c r="F273" s="1">
        <v>45913</v>
      </c>
      <c r="G273" t="s">
        <v>99</v>
      </c>
      <c r="H273" t="s">
        <v>50</v>
      </c>
      <c r="I273" t="s">
        <v>100</v>
      </c>
      <c r="J273">
        <v>20</v>
      </c>
      <c r="K273" t="s">
        <v>78</v>
      </c>
      <c r="L273" t="s">
        <v>26</v>
      </c>
      <c r="M273" t="s">
        <v>27</v>
      </c>
      <c r="N273">
        <v>0.7</v>
      </c>
      <c r="O273" s="3">
        <v>6763.12</v>
      </c>
      <c r="P273">
        <v>0</v>
      </c>
      <c r="Q273">
        <v>3.7</v>
      </c>
      <c r="R273">
        <v>0.81</v>
      </c>
      <c r="S273" t="str">
        <f t="shared" si="4"/>
        <v>September</v>
      </c>
    </row>
    <row r="274" spans="1:19" x14ac:dyDescent="0.2">
      <c r="A274" t="s">
        <v>606</v>
      </c>
      <c r="B274" t="s">
        <v>607</v>
      </c>
      <c r="C274" t="s">
        <v>20</v>
      </c>
      <c r="D274" t="s">
        <v>21</v>
      </c>
      <c r="E274" s="1">
        <v>45821</v>
      </c>
      <c r="F274" s="1">
        <v>45823</v>
      </c>
      <c r="G274" t="s">
        <v>50</v>
      </c>
      <c r="H274" t="s">
        <v>50</v>
      </c>
      <c r="I274" t="s">
        <v>45</v>
      </c>
      <c r="J274">
        <v>73</v>
      </c>
      <c r="K274" t="s">
        <v>169</v>
      </c>
      <c r="L274" t="s">
        <v>26</v>
      </c>
      <c r="M274" t="s">
        <v>27</v>
      </c>
      <c r="N274">
        <v>1.1000000000000001</v>
      </c>
      <c r="O274" s="3">
        <v>6763.12</v>
      </c>
      <c r="P274">
        <v>1</v>
      </c>
      <c r="Q274">
        <v>3.4</v>
      </c>
      <c r="R274">
        <v>0.78</v>
      </c>
      <c r="S274" t="str">
        <f t="shared" si="4"/>
        <v>June</v>
      </c>
    </row>
    <row r="275" spans="1:19" x14ac:dyDescent="0.2">
      <c r="A275" t="s">
        <v>608</v>
      </c>
      <c r="B275" t="s">
        <v>609</v>
      </c>
      <c r="C275" t="s">
        <v>30</v>
      </c>
      <c r="D275" t="s">
        <v>21</v>
      </c>
      <c r="E275" s="1">
        <v>45733</v>
      </c>
      <c r="F275" s="1">
        <v>45735</v>
      </c>
      <c r="G275" t="s">
        <v>63</v>
      </c>
      <c r="H275" t="s">
        <v>50</v>
      </c>
      <c r="I275" t="s">
        <v>45</v>
      </c>
      <c r="J275">
        <v>10</v>
      </c>
      <c r="K275" t="s">
        <v>103</v>
      </c>
      <c r="L275" t="s">
        <v>26</v>
      </c>
      <c r="M275" t="s">
        <v>27</v>
      </c>
      <c r="N275">
        <v>1.3</v>
      </c>
      <c r="O275" s="3">
        <v>6763.12</v>
      </c>
      <c r="P275">
        <v>0</v>
      </c>
      <c r="Q275">
        <v>4.8</v>
      </c>
      <c r="R275">
        <v>0.8</v>
      </c>
      <c r="S275" t="str">
        <f t="shared" si="4"/>
        <v>March</v>
      </c>
    </row>
    <row r="276" spans="1:19" x14ac:dyDescent="0.2">
      <c r="A276" t="s">
        <v>610</v>
      </c>
      <c r="B276" t="s">
        <v>611</v>
      </c>
      <c r="C276" t="s">
        <v>30</v>
      </c>
      <c r="D276" t="s">
        <v>21</v>
      </c>
      <c r="E276" s="1">
        <v>46014</v>
      </c>
      <c r="F276" s="1">
        <v>46018</v>
      </c>
      <c r="G276" t="s">
        <v>63</v>
      </c>
      <c r="H276" t="s">
        <v>23</v>
      </c>
      <c r="I276" t="s">
        <v>81</v>
      </c>
      <c r="J276">
        <v>22</v>
      </c>
      <c r="K276" t="s">
        <v>78</v>
      </c>
      <c r="L276" t="s">
        <v>26</v>
      </c>
      <c r="M276" t="s">
        <v>52</v>
      </c>
      <c r="N276">
        <v>3.8</v>
      </c>
      <c r="O276" s="3">
        <v>6763.12</v>
      </c>
      <c r="P276">
        <v>0</v>
      </c>
      <c r="Q276">
        <v>4</v>
      </c>
      <c r="R276">
        <v>0.76</v>
      </c>
      <c r="S276" t="str">
        <f t="shared" si="4"/>
        <v>December</v>
      </c>
    </row>
    <row r="277" spans="1:19" x14ac:dyDescent="0.2">
      <c r="A277" t="s">
        <v>612</v>
      </c>
      <c r="B277" t="s">
        <v>613</v>
      </c>
      <c r="C277" t="s">
        <v>58</v>
      </c>
      <c r="D277" t="s">
        <v>49</v>
      </c>
      <c r="E277" s="1">
        <v>45768</v>
      </c>
      <c r="F277" s="1">
        <v>45773</v>
      </c>
      <c r="G277" t="s">
        <v>63</v>
      </c>
      <c r="H277" t="s">
        <v>50</v>
      </c>
      <c r="I277" t="s">
        <v>31</v>
      </c>
      <c r="J277">
        <v>86</v>
      </c>
      <c r="K277" t="s">
        <v>65</v>
      </c>
      <c r="L277" t="s">
        <v>32</v>
      </c>
      <c r="M277" t="s">
        <v>27</v>
      </c>
      <c r="N277">
        <v>4.9000000000000004</v>
      </c>
      <c r="O277" s="3">
        <v>6763.12</v>
      </c>
      <c r="P277">
        <v>0</v>
      </c>
      <c r="Q277">
        <v>2.6</v>
      </c>
      <c r="R277">
        <v>0.81</v>
      </c>
      <c r="S277" t="str">
        <f t="shared" si="4"/>
        <v>April</v>
      </c>
    </row>
    <row r="278" spans="1:19" x14ac:dyDescent="0.2">
      <c r="A278" t="s">
        <v>614</v>
      </c>
      <c r="B278" t="s">
        <v>615</v>
      </c>
      <c r="C278" t="s">
        <v>30</v>
      </c>
      <c r="D278" t="s">
        <v>21</v>
      </c>
      <c r="E278" s="1">
        <v>45837</v>
      </c>
      <c r="F278" s="1">
        <v>45844</v>
      </c>
      <c r="G278" t="s">
        <v>71</v>
      </c>
      <c r="H278" t="s">
        <v>50</v>
      </c>
      <c r="I278" t="s">
        <v>45</v>
      </c>
      <c r="J278">
        <v>67</v>
      </c>
      <c r="K278" t="s">
        <v>169</v>
      </c>
      <c r="L278" t="s">
        <v>26</v>
      </c>
      <c r="M278" t="s">
        <v>27</v>
      </c>
      <c r="N278">
        <v>6.4</v>
      </c>
      <c r="O278" s="3">
        <v>6763.12</v>
      </c>
      <c r="P278">
        <v>0</v>
      </c>
      <c r="Q278">
        <v>3.1</v>
      </c>
      <c r="R278">
        <v>0.8</v>
      </c>
      <c r="S278" t="str">
        <f t="shared" si="4"/>
        <v>June</v>
      </c>
    </row>
    <row r="279" spans="1:19" x14ac:dyDescent="0.2">
      <c r="A279" t="s">
        <v>616</v>
      </c>
      <c r="B279" t="s">
        <v>617</v>
      </c>
      <c r="C279" t="s">
        <v>58</v>
      </c>
      <c r="D279" t="s">
        <v>35</v>
      </c>
      <c r="E279" s="1">
        <v>45801</v>
      </c>
      <c r="F279" s="1">
        <v>45803</v>
      </c>
      <c r="G279" t="s">
        <v>116</v>
      </c>
      <c r="H279" t="s">
        <v>23</v>
      </c>
      <c r="I279" t="s">
        <v>31</v>
      </c>
      <c r="J279">
        <v>10</v>
      </c>
      <c r="K279" t="s">
        <v>103</v>
      </c>
      <c r="L279" t="s">
        <v>32</v>
      </c>
      <c r="M279" t="s">
        <v>52</v>
      </c>
      <c r="N279">
        <v>1.3</v>
      </c>
      <c r="O279" s="3">
        <v>6763.12</v>
      </c>
      <c r="P279">
        <v>0</v>
      </c>
      <c r="Q279">
        <v>3.3</v>
      </c>
      <c r="R279">
        <v>0.81</v>
      </c>
      <c r="S279" t="str">
        <f t="shared" si="4"/>
        <v>May</v>
      </c>
    </row>
    <row r="280" spans="1:19" x14ac:dyDescent="0.2">
      <c r="A280" t="s">
        <v>618</v>
      </c>
      <c r="B280" t="s">
        <v>619</v>
      </c>
      <c r="C280" t="s">
        <v>58</v>
      </c>
      <c r="D280" t="s">
        <v>21</v>
      </c>
      <c r="E280" s="1">
        <v>45742</v>
      </c>
      <c r="F280" s="1">
        <v>45746</v>
      </c>
      <c r="G280" t="s">
        <v>63</v>
      </c>
      <c r="H280" t="s">
        <v>23</v>
      </c>
      <c r="I280" t="s">
        <v>100</v>
      </c>
      <c r="J280">
        <v>13</v>
      </c>
      <c r="K280" t="s">
        <v>46</v>
      </c>
      <c r="L280" t="s">
        <v>32</v>
      </c>
      <c r="M280" t="s">
        <v>27</v>
      </c>
      <c r="N280">
        <v>3.7</v>
      </c>
      <c r="O280" s="3">
        <v>6763.12</v>
      </c>
      <c r="P280">
        <v>0</v>
      </c>
      <c r="Q280">
        <v>4.5</v>
      </c>
      <c r="R280">
        <v>0.73</v>
      </c>
      <c r="S280" t="str">
        <f t="shared" si="4"/>
        <v>March</v>
      </c>
    </row>
    <row r="281" spans="1:19" x14ac:dyDescent="0.2">
      <c r="A281" t="s">
        <v>620</v>
      </c>
      <c r="B281" t="s">
        <v>621</v>
      </c>
      <c r="C281" t="s">
        <v>30</v>
      </c>
      <c r="D281" t="s">
        <v>42</v>
      </c>
      <c r="E281" s="1">
        <v>45810</v>
      </c>
      <c r="F281" s="1">
        <v>45819</v>
      </c>
      <c r="G281" t="s">
        <v>63</v>
      </c>
      <c r="H281" t="s">
        <v>50</v>
      </c>
      <c r="I281" t="s">
        <v>55</v>
      </c>
      <c r="J281">
        <v>23</v>
      </c>
      <c r="K281" t="s">
        <v>78</v>
      </c>
      <c r="L281" t="s">
        <v>26</v>
      </c>
      <c r="M281" t="s">
        <v>27</v>
      </c>
      <c r="N281">
        <v>8.1</v>
      </c>
      <c r="O281" s="3">
        <v>6763.12</v>
      </c>
      <c r="P281">
        <v>0</v>
      </c>
      <c r="Q281">
        <v>4.2</v>
      </c>
      <c r="R281">
        <v>0.78</v>
      </c>
      <c r="S281" t="str">
        <f t="shared" si="4"/>
        <v>June</v>
      </c>
    </row>
    <row r="282" spans="1:19" x14ac:dyDescent="0.2">
      <c r="A282" t="s">
        <v>622</v>
      </c>
      <c r="B282" t="s">
        <v>623</v>
      </c>
      <c r="C282" t="s">
        <v>58</v>
      </c>
      <c r="D282" t="s">
        <v>21</v>
      </c>
      <c r="E282" s="1">
        <v>45713</v>
      </c>
      <c r="F282" s="1">
        <v>45726</v>
      </c>
      <c r="G282" t="s">
        <v>71</v>
      </c>
      <c r="H282" t="s">
        <v>23</v>
      </c>
      <c r="I282" t="s">
        <v>31</v>
      </c>
      <c r="J282">
        <v>6</v>
      </c>
      <c r="K282" t="s">
        <v>103</v>
      </c>
      <c r="L282" t="s">
        <v>26</v>
      </c>
      <c r="M282" t="s">
        <v>39</v>
      </c>
      <c r="N282">
        <v>12.4</v>
      </c>
      <c r="O282" s="3">
        <v>6763.12</v>
      </c>
      <c r="P282">
        <v>0</v>
      </c>
      <c r="Q282">
        <v>3.5</v>
      </c>
      <c r="R282">
        <v>0.8</v>
      </c>
      <c r="S282" t="str">
        <f t="shared" si="4"/>
        <v>February</v>
      </c>
    </row>
    <row r="283" spans="1:19" x14ac:dyDescent="0.2">
      <c r="A283" t="s">
        <v>624</v>
      </c>
      <c r="B283" t="s">
        <v>625</v>
      </c>
      <c r="C283" t="s">
        <v>122</v>
      </c>
      <c r="D283" t="s">
        <v>42</v>
      </c>
      <c r="E283" s="1">
        <v>45658</v>
      </c>
      <c r="F283" s="1">
        <v>45660</v>
      </c>
      <c r="G283" t="s">
        <v>50</v>
      </c>
      <c r="H283" t="s">
        <v>44</v>
      </c>
      <c r="I283" t="s">
        <v>64</v>
      </c>
      <c r="J283">
        <v>16</v>
      </c>
      <c r="K283" t="s">
        <v>46</v>
      </c>
      <c r="L283" t="s">
        <v>26</v>
      </c>
      <c r="M283" t="s">
        <v>82</v>
      </c>
      <c r="N283">
        <v>1.1000000000000001</v>
      </c>
      <c r="O283" s="3">
        <v>6763.12</v>
      </c>
      <c r="P283">
        <v>0</v>
      </c>
      <c r="Q283">
        <v>3.4</v>
      </c>
      <c r="R283">
        <v>0.78</v>
      </c>
      <c r="S283" t="str">
        <f t="shared" si="4"/>
        <v>January</v>
      </c>
    </row>
    <row r="284" spans="1:19" x14ac:dyDescent="0.2">
      <c r="A284" t="s">
        <v>626</v>
      </c>
      <c r="B284" t="s">
        <v>627</v>
      </c>
      <c r="C284" t="s">
        <v>122</v>
      </c>
      <c r="D284" t="s">
        <v>49</v>
      </c>
      <c r="E284" s="1">
        <v>45763</v>
      </c>
      <c r="F284" s="1">
        <v>45776</v>
      </c>
      <c r="G284" t="s">
        <v>59</v>
      </c>
      <c r="H284" t="s">
        <v>50</v>
      </c>
      <c r="I284" t="s">
        <v>24</v>
      </c>
      <c r="J284">
        <v>52</v>
      </c>
      <c r="K284" t="s">
        <v>38</v>
      </c>
      <c r="L284" t="s">
        <v>32</v>
      </c>
      <c r="M284" t="s">
        <v>39</v>
      </c>
      <c r="N284">
        <v>13</v>
      </c>
      <c r="O284" s="3">
        <v>6763.12</v>
      </c>
      <c r="P284">
        <v>0</v>
      </c>
      <c r="Q284">
        <v>4</v>
      </c>
      <c r="R284">
        <v>0.78</v>
      </c>
      <c r="S284" t="str">
        <f t="shared" si="4"/>
        <v>April</v>
      </c>
    </row>
    <row r="285" spans="1:19" x14ac:dyDescent="0.2">
      <c r="A285" t="s">
        <v>628</v>
      </c>
      <c r="B285" t="s">
        <v>629</v>
      </c>
      <c r="C285" t="s">
        <v>30</v>
      </c>
      <c r="D285" t="s">
        <v>49</v>
      </c>
      <c r="E285" s="1">
        <v>45698</v>
      </c>
      <c r="F285" s="1">
        <v>45700</v>
      </c>
      <c r="G285" t="s">
        <v>99</v>
      </c>
      <c r="H285" t="s">
        <v>23</v>
      </c>
      <c r="I285" t="s">
        <v>37</v>
      </c>
      <c r="J285">
        <v>0</v>
      </c>
      <c r="K285" t="s">
        <v>103</v>
      </c>
      <c r="L285" t="s">
        <v>32</v>
      </c>
      <c r="M285" t="s">
        <v>39</v>
      </c>
      <c r="N285">
        <v>1.4</v>
      </c>
      <c r="O285" s="3">
        <v>6763.12</v>
      </c>
      <c r="P285">
        <v>0</v>
      </c>
      <c r="Q285">
        <v>3.2</v>
      </c>
      <c r="R285">
        <v>0.77</v>
      </c>
      <c r="S285" t="str">
        <f t="shared" si="4"/>
        <v>February</v>
      </c>
    </row>
    <row r="286" spans="1:19" x14ac:dyDescent="0.2">
      <c r="A286" t="s">
        <v>630</v>
      </c>
      <c r="B286" t="s">
        <v>631</v>
      </c>
      <c r="C286" t="s">
        <v>62</v>
      </c>
      <c r="D286" t="s">
        <v>35</v>
      </c>
      <c r="E286" s="1">
        <v>45809</v>
      </c>
      <c r="F286" s="1">
        <v>45814</v>
      </c>
      <c r="G286" t="s">
        <v>59</v>
      </c>
      <c r="H286" t="s">
        <v>50</v>
      </c>
      <c r="I286" t="s">
        <v>81</v>
      </c>
      <c r="J286">
        <v>26</v>
      </c>
      <c r="K286" t="s">
        <v>78</v>
      </c>
      <c r="L286" t="s">
        <v>32</v>
      </c>
      <c r="M286" t="s">
        <v>52</v>
      </c>
      <c r="N286">
        <v>4.3</v>
      </c>
      <c r="O286" s="3">
        <v>6763.12</v>
      </c>
      <c r="P286">
        <v>0</v>
      </c>
      <c r="Q286">
        <v>4.0999999999999996</v>
      </c>
      <c r="R286">
        <v>0.82</v>
      </c>
      <c r="S286" t="str">
        <f t="shared" si="4"/>
        <v>June</v>
      </c>
    </row>
    <row r="287" spans="1:19" x14ac:dyDescent="0.2">
      <c r="A287" t="s">
        <v>632</v>
      </c>
      <c r="B287" t="s">
        <v>633</v>
      </c>
      <c r="C287" t="s">
        <v>20</v>
      </c>
      <c r="D287" t="s">
        <v>42</v>
      </c>
      <c r="E287" s="1">
        <v>45972</v>
      </c>
      <c r="F287" s="1">
        <v>45974</v>
      </c>
      <c r="G287" t="s">
        <v>50</v>
      </c>
      <c r="H287" t="s">
        <v>23</v>
      </c>
      <c r="I287" t="s">
        <v>24</v>
      </c>
      <c r="J287">
        <v>28</v>
      </c>
      <c r="K287" t="s">
        <v>78</v>
      </c>
      <c r="L287" t="s">
        <v>32</v>
      </c>
      <c r="M287" t="s">
        <v>27</v>
      </c>
      <c r="N287">
        <v>1.1000000000000001</v>
      </c>
      <c r="O287" s="3">
        <v>6763.12</v>
      </c>
      <c r="P287">
        <v>0</v>
      </c>
      <c r="Q287">
        <v>3.9</v>
      </c>
      <c r="R287">
        <v>0.82</v>
      </c>
      <c r="S287" t="str">
        <f t="shared" si="4"/>
        <v>November</v>
      </c>
    </row>
    <row r="288" spans="1:19" x14ac:dyDescent="0.2">
      <c r="A288" t="s">
        <v>634</v>
      </c>
      <c r="B288" t="s">
        <v>635</v>
      </c>
      <c r="C288" t="s">
        <v>20</v>
      </c>
      <c r="D288" t="s">
        <v>35</v>
      </c>
      <c r="E288" s="1">
        <v>45717</v>
      </c>
      <c r="F288" s="1">
        <v>45720</v>
      </c>
      <c r="G288" t="s">
        <v>116</v>
      </c>
      <c r="H288" t="s">
        <v>50</v>
      </c>
      <c r="I288" t="s">
        <v>117</v>
      </c>
      <c r="J288">
        <v>88</v>
      </c>
      <c r="K288" t="s">
        <v>65</v>
      </c>
      <c r="L288" t="s">
        <v>26</v>
      </c>
      <c r="M288" t="s">
        <v>52</v>
      </c>
      <c r="N288">
        <v>2.1</v>
      </c>
      <c r="O288" s="3">
        <v>6763.12</v>
      </c>
      <c r="P288">
        <v>0</v>
      </c>
      <c r="Q288">
        <v>3.7</v>
      </c>
      <c r="R288">
        <v>0.75</v>
      </c>
      <c r="S288" t="str">
        <f t="shared" si="4"/>
        <v>March</v>
      </c>
    </row>
    <row r="289" spans="1:19" x14ac:dyDescent="0.2">
      <c r="A289" t="s">
        <v>636</v>
      </c>
      <c r="B289" t="s">
        <v>637</v>
      </c>
      <c r="C289" t="s">
        <v>62</v>
      </c>
      <c r="D289" t="s">
        <v>35</v>
      </c>
      <c r="E289" s="1">
        <v>45658</v>
      </c>
      <c r="F289" s="1">
        <v>45661</v>
      </c>
      <c r="G289" t="s">
        <v>63</v>
      </c>
      <c r="H289" t="s">
        <v>23</v>
      </c>
      <c r="I289" t="s">
        <v>24</v>
      </c>
      <c r="J289">
        <v>88</v>
      </c>
      <c r="K289" t="s">
        <v>65</v>
      </c>
      <c r="L289" t="s">
        <v>26</v>
      </c>
      <c r="M289" t="s">
        <v>82</v>
      </c>
      <c r="N289">
        <v>2.9</v>
      </c>
      <c r="O289" s="3">
        <v>6763.12</v>
      </c>
      <c r="P289">
        <v>0</v>
      </c>
      <c r="Q289">
        <v>4.0999999999999996</v>
      </c>
      <c r="R289">
        <v>0.82</v>
      </c>
      <c r="S289" t="str">
        <f t="shared" si="4"/>
        <v>January</v>
      </c>
    </row>
    <row r="290" spans="1:19" x14ac:dyDescent="0.2">
      <c r="A290" t="s">
        <v>638</v>
      </c>
      <c r="B290" t="s">
        <v>639</v>
      </c>
      <c r="C290" t="s">
        <v>122</v>
      </c>
      <c r="D290" t="s">
        <v>35</v>
      </c>
      <c r="E290" s="1">
        <v>45698</v>
      </c>
      <c r="F290" s="1">
        <v>45706</v>
      </c>
      <c r="G290" t="s">
        <v>36</v>
      </c>
      <c r="H290" t="s">
        <v>50</v>
      </c>
      <c r="I290" t="s">
        <v>81</v>
      </c>
      <c r="J290">
        <v>76</v>
      </c>
      <c r="K290" t="s">
        <v>65</v>
      </c>
      <c r="L290" t="s">
        <v>32</v>
      </c>
      <c r="M290" t="s">
        <v>52</v>
      </c>
      <c r="N290">
        <v>7.1</v>
      </c>
      <c r="O290" s="3">
        <v>6763.12</v>
      </c>
      <c r="P290">
        <v>0</v>
      </c>
      <c r="Q290">
        <v>3.8</v>
      </c>
      <c r="R290">
        <v>0.76</v>
      </c>
      <c r="S290" t="str">
        <f t="shared" si="4"/>
        <v>February</v>
      </c>
    </row>
    <row r="291" spans="1:19" x14ac:dyDescent="0.2">
      <c r="A291" t="s">
        <v>640</v>
      </c>
      <c r="B291" t="s">
        <v>641</v>
      </c>
      <c r="C291" t="s">
        <v>62</v>
      </c>
      <c r="D291" t="s">
        <v>35</v>
      </c>
      <c r="E291" s="1">
        <v>45843</v>
      </c>
      <c r="F291" s="1">
        <v>45845</v>
      </c>
      <c r="G291" t="s">
        <v>63</v>
      </c>
      <c r="H291" t="s">
        <v>50</v>
      </c>
      <c r="I291" t="s">
        <v>100</v>
      </c>
      <c r="J291">
        <v>31</v>
      </c>
      <c r="K291" t="s">
        <v>78</v>
      </c>
      <c r="L291" t="s">
        <v>32</v>
      </c>
      <c r="M291" t="s">
        <v>27</v>
      </c>
      <c r="N291">
        <v>1.5</v>
      </c>
      <c r="O291" s="3">
        <v>6763.12</v>
      </c>
      <c r="P291">
        <v>1</v>
      </c>
      <c r="Q291">
        <v>4.2</v>
      </c>
      <c r="R291">
        <v>0.84</v>
      </c>
      <c r="S291" t="str">
        <f t="shared" si="4"/>
        <v>July</v>
      </c>
    </row>
    <row r="292" spans="1:19" x14ac:dyDescent="0.2">
      <c r="A292" t="s">
        <v>642</v>
      </c>
      <c r="B292" t="s">
        <v>643</v>
      </c>
      <c r="C292" t="s">
        <v>58</v>
      </c>
      <c r="D292" t="s">
        <v>42</v>
      </c>
      <c r="E292" s="1">
        <v>45758</v>
      </c>
      <c r="F292" s="1">
        <v>45759</v>
      </c>
      <c r="G292" t="s">
        <v>50</v>
      </c>
      <c r="H292" t="s">
        <v>44</v>
      </c>
      <c r="I292" t="s">
        <v>24</v>
      </c>
      <c r="J292">
        <v>47</v>
      </c>
      <c r="K292" t="s">
        <v>25</v>
      </c>
      <c r="L292" t="s">
        <v>32</v>
      </c>
      <c r="M292" t="s">
        <v>27</v>
      </c>
      <c r="N292">
        <v>0.4</v>
      </c>
      <c r="O292" s="3">
        <v>6763.12</v>
      </c>
      <c r="P292">
        <v>0</v>
      </c>
      <c r="Q292">
        <v>2.9</v>
      </c>
      <c r="R292">
        <v>0.81</v>
      </c>
      <c r="S292" t="str">
        <f t="shared" si="4"/>
        <v>April</v>
      </c>
    </row>
    <row r="293" spans="1:19" x14ac:dyDescent="0.2">
      <c r="A293" t="s">
        <v>644</v>
      </c>
      <c r="B293" t="s">
        <v>645</v>
      </c>
      <c r="C293" t="s">
        <v>62</v>
      </c>
      <c r="D293" t="s">
        <v>42</v>
      </c>
      <c r="E293" s="1">
        <v>45836</v>
      </c>
      <c r="F293" s="1">
        <v>45837</v>
      </c>
      <c r="G293" t="s">
        <v>36</v>
      </c>
      <c r="H293" t="s">
        <v>50</v>
      </c>
      <c r="I293" t="s">
        <v>117</v>
      </c>
      <c r="J293">
        <v>45</v>
      </c>
      <c r="K293" t="s">
        <v>25</v>
      </c>
      <c r="L293" t="s">
        <v>26</v>
      </c>
      <c r="M293" t="s">
        <v>39</v>
      </c>
      <c r="N293">
        <v>1</v>
      </c>
      <c r="O293" s="3">
        <v>6763.12</v>
      </c>
      <c r="P293">
        <v>0</v>
      </c>
      <c r="Q293">
        <v>4.3</v>
      </c>
      <c r="R293">
        <v>0.83</v>
      </c>
      <c r="S293" t="str">
        <f t="shared" si="4"/>
        <v>June</v>
      </c>
    </row>
    <row r="294" spans="1:19" x14ac:dyDescent="0.2">
      <c r="A294" t="s">
        <v>646</v>
      </c>
      <c r="B294" t="s">
        <v>647</v>
      </c>
      <c r="C294" t="s">
        <v>62</v>
      </c>
      <c r="D294" t="s">
        <v>49</v>
      </c>
      <c r="E294" s="1">
        <v>45668</v>
      </c>
      <c r="F294" s="1">
        <v>45675</v>
      </c>
      <c r="G294" t="s">
        <v>59</v>
      </c>
      <c r="H294" t="s">
        <v>44</v>
      </c>
      <c r="I294" t="s">
        <v>100</v>
      </c>
      <c r="J294">
        <v>78</v>
      </c>
      <c r="K294" t="s">
        <v>65</v>
      </c>
      <c r="L294" t="s">
        <v>26</v>
      </c>
      <c r="M294" t="s">
        <v>39</v>
      </c>
      <c r="N294">
        <v>7</v>
      </c>
      <c r="O294" s="3">
        <v>6763.12</v>
      </c>
      <c r="P294">
        <v>0</v>
      </c>
      <c r="Q294">
        <v>4.4000000000000004</v>
      </c>
      <c r="R294">
        <v>0.81</v>
      </c>
      <c r="S294" t="str">
        <f t="shared" si="4"/>
        <v>January</v>
      </c>
    </row>
    <row r="295" spans="1:19" x14ac:dyDescent="0.2">
      <c r="A295" t="s">
        <v>648</v>
      </c>
      <c r="B295" t="s">
        <v>649</v>
      </c>
      <c r="C295" t="s">
        <v>62</v>
      </c>
      <c r="D295" t="s">
        <v>35</v>
      </c>
      <c r="E295" s="1">
        <v>45779</v>
      </c>
      <c r="F295" s="1">
        <v>45782</v>
      </c>
      <c r="G295" t="s">
        <v>43</v>
      </c>
      <c r="H295" t="s">
        <v>44</v>
      </c>
      <c r="I295" t="s">
        <v>100</v>
      </c>
      <c r="J295">
        <v>67</v>
      </c>
      <c r="K295" t="s">
        <v>169</v>
      </c>
      <c r="L295" t="s">
        <v>32</v>
      </c>
      <c r="M295" t="s">
        <v>39</v>
      </c>
      <c r="N295">
        <v>2.2000000000000002</v>
      </c>
      <c r="O295" s="3">
        <v>6763.12</v>
      </c>
      <c r="P295">
        <v>1</v>
      </c>
      <c r="Q295">
        <v>4.0999999999999996</v>
      </c>
      <c r="R295">
        <v>0.95</v>
      </c>
      <c r="S295" t="str">
        <f t="shared" si="4"/>
        <v>May</v>
      </c>
    </row>
    <row r="296" spans="1:19" x14ac:dyDescent="0.2">
      <c r="A296" t="s">
        <v>650</v>
      </c>
      <c r="B296" t="s">
        <v>651</v>
      </c>
      <c r="C296" t="s">
        <v>30</v>
      </c>
      <c r="D296" t="s">
        <v>42</v>
      </c>
      <c r="E296" s="1">
        <v>45807</v>
      </c>
      <c r="F296" s="1">
        <v>45816</v>
      </c>
      <c r="G296" t="s">
        <v>71</v>
      </c>
      <c r="H296" t="s">
        <v>44</v>
      </c>
      <c r="I296" t="s">
        <v>81</v>
      </c>
      <c r="J296">
        <v>82</v>
      </c>
      <c r="K296" t="s">
        <v>65</v>
      </c>
      <c r="L296" t="s">
        <v>32</v>
      </c>
      <c r="M296" t="s">
        <v>52</v>
      </c>
      <c r="N296">
        <v>8.1999999999999993</v>
      </c>
      <c r="O296" s="3">
        <v>6763.12</v>
      </c>
      <c r="P296">
        <v>0</v>
      </c>
      <c r="Q296">
        <v>4.0999999999999996</v>
      </c>
      <c r="R296">
        <v>0.8</v>
      </c>
      <c r="S296" t="str">
        <f t="shared" si="4"/>
        <v>May</v>
      </c>
    </row>
    <row r="297" spans="1:19" x14ac:dyDescent="0.2">
      <c r="A297" t="s">
        <v>652</v>
      </c>
      <c r="B297" t="s">
        <v>653</v>
      </c>
      <c r="C297" t="s">
        <v>62</v>
      </c>
      <c r="D297" t="s">
        <v>49</v>
      </c>
      <c r="E297" s="1">
        <v>45815</v>
      </c>
      <c r="F297" s="1">
        <v>45822</v>
      </c>
      <c r="G297" t="s">
        <v>59</v>
      </c>
      <c r="H297" t="s">
        <v>50</v>
      </c>
      <c r="I297" t="s">
        <v>64</v>
      </c>
      <c r="J297">
        <v>50</v>
      </c>
      <c r="K297" t="s">
        <v>38</v>
      </c>
      <c r="L297" t="s">
        <v>32</v>
      </c>
      <c r="M297" t="s">
        <v>39</v>
      </c>
      <c r="N297">
        <v>6.9</v>
      </c>
      <c r="O297" s="3">
        <v>6763.12</v>
      </c>
      <c r="P297">
        <v>0</v>
      </c>
      <c r="Q297">
        <v>3.7</v>
      </c>
      <c r="R297">
        <v>0.83</v>
      </c>
      <c r="S297" t="str">
        <f t="shared" si="4"/>
        <v>June</v>
      </c>
    </row>
    <row r="298" spans="1:19" x14ac:dyDescent="0.2">
      <c r="A298" t="s">
        <v>654</v>
      </c>
      <c r="B298" t="s">
        <v>655</v>
      </c>
      <c r="C298" t="s">
        <v>62</v>
      </c>
      <c r="D298" t="s">
        <v>21</v>
      </c>
      <c r="E298" s="1">
        <v>45859</v>
      </c>
      <c r="F298" s="1">
        <v>45861</v>
      </c>
      <c r="G298" t="s">
        <v>36</v>
      </c>
      <c r="H298" t="s">
        <v>23</v>
      </c>
      <c r="I298" t="s">
        <v>55</v>
      </c>
      <c r="J298">
        <v>83</v>
      </c>
      <c r="K298" t="s">
        <v>65</v>
      </c>
      <c r="L298" t="s">
        <v>32</v>
      </c>
      <c r="M298" t="s">
        <v>27</v>
      </c>
      <c r="N298">
        <v>2</v>
      </c>
      <c r="O298" s="3">
        <v>6763.12</v>
      </c>
      <c r="P298">
        <v>0</v>
      </c>
      <c r="Q298">
        <v>4.4000000000000004</v>
      </c>
      <c r="R298">
        <v>0.83</v>
      </c>
      <c r="S298" t="str">
        <f t="shared" si="4"/>
        <v>July</v>
      </c>
    </row>
    <row r="299" spans="1:19" x14ac:dyDescent="0.2">
      <c r="A299" t="s">
        <v>656</v>
      </c>
      <c r="B299" t="s">
        <v>657</v>
      </c>
      <c r="C299" t="s">
        <v>58</v>
      </c>
      <c r="D299" t="s">
        <v>21</v>
      </c>
      <c r="E299" s="1">
        <v>45942</v>
      </c>
      <c r="F299" s="1">
        <v>45946</v>
      </c>
      <c r="G299" t="s">
        <v>59</v>
      </c>
      <c r="H299" t="s">
        <v>50</v>
      </c>
      <c r="I299" t="s">
        <v>55</v>
      </c>
      <c r="J299">
        <v>67</v>
      </c>
      <c r="K299" t="s">
        <v>169</v>
      </c>
      <c r="L299" t="s">
        <v>26</v>
      </c>
      <c r="M299" t="s">
        <v>27</v>
      </c>
      <c r="N299">
        <v>3.2</v>
      </c>
      <c r="O299" s="3">
        <v>6763.12</v>
      </c>
      <c r="P299">
        <v>0</v>
      </c>
      <c r="Q299">
        <v>3.8</v>
      </c>
      <c r="R299">
        <v>0.74</v>
      </c>
      <c r="S299" t="str">
        <f t="shared" si="4"/>
        <v>October</v>
      </c>
    </row>
    <row r="300" spans="1:19" x14ac:dyDescent="0.2">
      <c r="A300" t="s">
        <v>658</v>
      </c>
      <c r="B300" t="s">
        <v>659</v>
      </c>
      <c r="C300" t="s">
        <v>122</v>
      </c>
      <c r="D300" t="s">
        <v>49</v>
      </c>
      <c r="E300" s="1">
        <v>45828</v>
      </c>
      <c r="F300" s="1">
        <v>45831</v>
      </c>
      <c r="G300" t="s">
        <v>68</v>
      </c>
      <c r="H300" t="s">
        <v>50</v>
      </c>
      <c r="I300" t="s">
        <v>51</v>
      </c>
      <c r="J300">
        <v>67</v>
      </c>
      <c r="K300" t="s">
        <v>169</v>
      </c>
      <c r="L300" t="s">
        <v>26</v>
      </c>
      <c r="M300" t="s">
        <v>27</v>
      </c>
      <c r="N300">
        <v>2.4</v>
      </c>
      <c r="O300" s="3">
        <v>6763.12</v>
      </c>
      <c r="P300">
        <v>1</v>
      </c>
      <c r="Q300">
        <v>3.2</v>
      </c>
      <c r="R300">
        <v>0.78</v>
      </c>
      <c r="S300" t="str">
        <f t="shared" si="4"/>
        <v>June</v>
      </c>
    </row>
    <row r="301" spans="1:19" x14ac:dyDescent="0.2">
      <c r="A301" t="s">
        <v>660</v>
      </c>
      <c r="B301" t="s">
        <v>661</v>
      </c>
      <c r="C301" t="s">
        <v>62</v>
      </c>
      <c r="D301" t="s">
        <v>35</v>
      </c>
      <c r="E301" s="1">
        <v>45965</v>
      </c>
      <c r="F301" s="1">
        <v>45966</v>
      </c>
      <c r="G301" t="s">
        <v>43</v>
      </c>
      <c r="H301" t="s">
        <v>44</v>
      </c>
      <c r="I301" t="s">
        <v>51</v>
      </c>
      <c r="J301">
        <v>60</v>
      </c>
      <c r="K301" t="s">
        <v>38</v>
      </c>
      <c r="L301" t="s">
        <v>32</v>
      </c>
      <c r="M301" t="s">
        <v>27</v>
      </c>
      <c r="N301">
        <v>1</v>
      </c>
      <c r="O301" s="3">
        <v>6763.12</v>
      </c>
      <c r="P301">
        <v>0</v>
      </c>
      <c r="Q301">
        <v>4.4000000000000004</v>
      </c>
      <c r="R301">
        <v>0.88</v>
      </c>
      <c r="S301" t="str">
        <f t="shared" si="4"/>
        <v>November</v>
      </c>
    </row>
    <row r="302" spans="1:19" x14ac:dyDescent="0.2">
      <c r="A302" t="s">
        <v>662</v>
      </c>
      <c r="B302" t="s">
        <v>663</v>
      </c>
      <c r="C302" t="s">
        <v>30</v>
      </c>
      <c r="D302" t="s">
        <v>21</v>
      </c>
      <c r="E302" s="1">
        <v>45851</v>
      </c>
      <c r="F302" s="1">
        <v>45857</v>
      </c>
      <c r="G302" t="s">
        <v>43</v>
      </c>
      <c r="H302" t="s">
        <v>23</v>
      </c>
      <c r="I302" t="s">
        <v>64</v>
      </c>
      <c r="J302">
        <v>30</v>
      </c>
      <c r="K302" t="s">
        <v>78</v>
      </c>
      <c r="L302" t="s">
        <v>26</v>
      </c>
      <c r="M302" t="s">
        <v>27</v>
      </c>
      <c r="N302">
        <v>5.6</v>
      </c>
      <c r="O302" s="3">
        <v>6763.12</v>
      </c>
      <c r="P302">
        <v>0</v>
      </c>
      <c r="Q302">
        <v>2.9</v>
      </c>
      <c r="R302">
        <v>0.84</v>
      </c>
      <c r="S302" t="str">
        <f t="shared" si="4"/>
        <v>July</v>
      </c>
    </row>
    <row r="303" spans="1:19" x14ac:dyDescent="0.2">
      <c r="A303" t="s">
        <v>664</v>
      </c>
      <c r="B303" t="s">
        <v>665</v>
      </c>
      <c r="C303" t="s">
        <v>20</v>
      </c>
      <c r="D303" t="s">
        <v>49</v>
      </c>
      <c r="E303" s="1">
        <v>45753</v>
      </c>
      <c r="F303" s="1">
        <v>45755</v>
      </c>
      <c r="G303" t="s">
        <v>116</v>
      </c>
      <c r="H303" t="s">
        <v>50</v>
      </c>
      <c r="I303" t="s">
        <v>100</v>
      </c>
      <c r="J303">
        <v>55</v>
      </c>
      <c r="K303" t="s">
        <v>38</v>
      </c>
      <c r="L303" t="s">
        <v>32</v>
      </c>
      <c r="M303" t="s">
        <v>82</v>
      </c>
      <c r="N303">
        <v>1.7</v>
      </c>
      <c r="O303" s="3">
        <v>6763.12</v>
      </c>
      <c r="P303">
        <v>0</v>
      </c>
      <c r="Q303">
        <v>4.0999999999999996</v>
      </c>
      <c r="R303">
        <v>0.84</v>
      </c>
      <c r="S303" t="str">
        <f t="shared" si="4"/>
        <v>April</v>
      </c>
    </row>
    <row r="304" spans="1:19" x14ac:dyDescent="0.2">
      <c r="A304" t="s">
        <v>666</v>
      </c>
      <c r="B304" t="s">
        <v>667</v>
      </c>
      <c r="C304" t="s">
        <v>20</v>
      </c>
      <c r="D304" t="s">
        <v>35</v>
      </c>
      <c r="E304" s="1">
        <v>45741</v>
      </c>
      <c r="F304" s="1">
        <v>45743</v>
      </c>
      <c r="G304" t="s">
        <v>71</v>
      </c>
      <c r="H304" t="s">
        <v>50</v>
      </c>
      <c r="I304" t="s">
        <v>37</v>
      </c>
      <c r="J304">
        <v>32</v>
      </c>
      <c r="K304" t="s">
        <v>78</v>
      </c>
      <c r="L304" t="s">
        <v>32</v>
      </c>
      <c r="M304" t="s">
        <v>39</v>
      </c>
      <c r="N304">
        <v>1.1000000000000001</v>
      </c>
      <c r="O304" s="3">
        <v>6763.12</v>
      </c>
      <c r="P304">
        <v>0</v>
      </c>
      <c r="Q304">
        <v>3.7</v>
      </c>
      <c r="R304">
        <v>0.84</v>
      </c>
      <c r="S304" t="str">
        <f t="shared" si="4"/>
        <v>March</v>
      </c>
    </row>
    <row r="305" spans="1:19" x14ac:dyDescent="0.2">
      <c r="A305" t="s">
        <v>668</v>
      </c>
      <c r="B305" t="s">
        <v>669</v>
      </c>
      <c r="C305" t="s">
        <v>30</v>
      </c>
      <c r="D305" t="s">
        <v>21</v>
      </c>
      <c r="E305" s="1">
        <v>45775</v>
      </c>
      <c r="F305" s="1">
        <v>45785</v>
      </c>
      <c r="G305" t="s">
        <v>71</v>
      </c>
      <c r="H305" t="s">
        <v>23</v>
      </c>
      <c r="I305" t="s">
        <v>64</v>
      </c>
      <c r="J305">
        <v>59</v>
      </c>
      <c r="K305" t="s">
        <v>38</v>
      </c>
      <c r="L305" t="s">
        <v>26</v>
      </c>
      <c r="M305" t="s">
        <v>39</v>
      </c>
      <c r="N305">
        <v>9.6999999999999993</v>
      </c>
      <c r="O305" s="3">
        <v>6763.12</v>
      </c>
      <c r="P305">
        <v>0</v>
      </c>
      <c r="Q305">
        <v>3.4</v>
      </c>
      <c r="R305">
        <v>0.83</v>
      </c>
      <c r="S305" t="str">
        <f t="shared" si="4"/>
        <v>April</v>
      </c>
    </row>
    <row r="306" spans="1:19" x14ac:dyDescent="0.2">
      <c r="A306" t="s">
        <v>670</v>
      </c>
      <c r="B306" t="s">
        <v>671</v>
      </c>
      <c r="C306" t="s">
        <v>58</v>
      </c>
      <c r="D306" t="s">
        <v>49</v>
      </c>
      <c r="E306" s="1">
        <v>45876</v>
      </c>
      <c r="F306" s="1">
        <v>45879</v>
      </c>
      <c r="G306" t="s">
        <v>36</v>
      </c>
      <c r="H306" t="s">
        <v>23</v>
      </c>
      <c r="I306" t="s">
        <v>51</v>
      </c>
      <c r="J306">
        <v>23</v>
      </c>
      <c r="K306" t="s">
        <v>78</v>
      </c>
      <c r="L306" t="s">
        <v>32</v>
      </c>
      <c r="M306" t="s">
        <v>27</v>
      </c>
      <c r="N306">
        <v>2.8</v>
      </c>
      <c r="O306" s="3">
        <v>6763.12</v>
      </c>
      <c r="P306">
        <v>0</v>
      </c>
      <c r="Q306">
        <v>4</v>
      </c>
      <c r="R306">
        <v>0.77</v>
      </c>
      <c r="S306" t="str">
        <f t="shared" si="4"/>
        <v>August</v>
      </c>
    </row>
    <row r="307" spans="1:19" x14ac:dyDescent="0.2">
      <c r="A307" t="s">
        <v>672</v>
      </c>
      <c r="B307" t="s">
        <v>673</v>
      </c>
      <c r="C307" t="s">
        <v>30</v>
      </c>
      <c r="D307" t="s">
        <v>49</v>
      </c>
      <c r="E307" s="1">
        <v>45746</v>
      </c>
      <c r="F307" s="1">
        <v>45752</v>
      </c>
      <c r="G307" t="s">
        <v>63</v>
      </c>
      <c r="H307" t="s">
        <v>50</v>
      </c>
      <c r="I307" t="s">
        <v>45</v>
      </c>
      <c r="J307">
        <v>72</v>
      </c>
      <c r="K307" t="s">
        <v>169</v>
      </c>
      <c r="L307" t="s">
        <v>32</v>
      </c>
      <c r="M307" t="s">
        <v>39</v>
      </c>
      <c r="N307">
        <v>5.7</v>
      </c>
      <c r="O307" s="3">
        <v>6763.12</v>
      </c>
      <c r="P307">
        <v>0</v>
      </c>
      <c r="Q307">
        <v>3.5</v>
      </c>
      <c r="R307">
        <v>0.86</v>
      </c>
      <c r="S307" t="str">
        <f t="shared" si="4"/>
        <v>March</v>
      </c>
    </row>
    <row r="308" spans="1:19" x14ac:dyDescent="0.2">
      <c r="A308" t="s">
        <v>674</v>
      </c>
      <c r="B308" t="s">
        <v>675</v>
      </c>
      <c r="C308" t="s">
        <v>58</v>
      </c>
      <c r="D308" t="s">
        <v>42</v>
      </c>
      <c r="E308" s="1">
        <v>45991</v>
      </c>
      <c r="F308" s="1">
        <v>45993</v>
      </c>
      <c r="G308" t="s">
        <v>43</v>
      </c>
      <c r="H308" t="s">
        <v>44</v>
      </c>
      <c r="I308" t="s">
        <v>31</v>
      </c>
      <c r="J308">
        <v>51</v>
      </c>
      <c r="K308" t="s">
        <v>38</v>
      </c>
      <c r="L308" t="s">
        <v>26</v>
      </c>
      <c r="M308" t="s">
        <v>82</v>
      </c>
      <c r="N308">
        <v>1.8</v>
      </c>
      <c r="O308" s="3">
        <v>6763.12</v>
      </c>
      <c r="P308">
        <v>0</v>
      </c>
      <c r="Q308">
        <v>4.2</v>
      </c>
      <c r="R308">
        <v>0.71</v>
      </c>
      <c r="S308" t="str">
        <f t="shared" si="4"/>
        <v>November</v>
      </c>
    </row>
    <row r="309" spans="1:19" x14ac:dyDescent="0.2">
      <c r="A309" t="s">
        <v>676</v>
      </c>
      <c r="B309" t="s">
        <v>677</v>
      </c>
      <c r="C309" t="s">
        <v>62</v>
      </c>
      <c r="D309" t="s">
        <v>42</v>
      </c>
      <c r="E309" s="1">
        <v>45833</v>
      </c>
      <c r="F309" s="1">
        <v>45843</v>
      </c>
      <c r="G309" t="s">
        <v>63</v>
      </c>
      <c r="H309" t="s">
        <v>50</v>
      </c>
      <c r="I309" t="s">
        <v>100</v>
      </c>
      <c r="J309">
        <v>64</v>
      </c>
      <c r="K309" t="s">
        <v>38</v>
      </c>
      <c r="L309" t="s">
        <v>26</v>
      </c>
      <c r="M309" t="s">
        <v>82</v>
      </c>
      <c r="N309">
        <v>9.1</v>
      </c>
      <c r="O309" s="3">
        <v>6763.12</v>
      </c>
      <c r="P309">
        <v>0</v>
      </c>
      <c r="Q309">
        <v>3.7</v>
      </c>
      <c r="R309">
        <v>0.94</v>
      </c>
      <c r="S309" t="str">
        <f t="shared" si="4"/>
        <v>June</v>
      </c>
    </row>
    <row r="310" spans="1:19" x14ac:dyDescent="0.2">
      <c r="A310" t="s">
        <v>678</v>
      </c>
      <c r="B310" t="s">
        <v>679</v>
      </c>
      <c r="C310" t="s">
        <v>122</v>
      </c>
      <c r="D310" t="s">
        <v>49</v>
      </c>
      <c r="E310" s="1">
        <v>45973</v>
      </c>
      <c r="F310" s="1">
        <v>45975</v>
      </c>
      <c r="G310" t="s">
        <v>99</v>
      </c>
      <c r="H310" t="s">
        <v>50</v>
      </c>
      <c r="I310" t="s">
        <v>45</v>
      </c>
      <c r="J310">
        <v>20</v>
      </c>
      <c r="K310" t="s">
        <v>78</v>
      </c>
      <c r="L310" t="s">
        <v>32</v>
      </c>
      <c r="M310" t="s">
        <v>39</v>
      </c>
      <c r="N310">
        <v>1.6</v>
      </c>
      <c r="O310" s="3">
        <v>6763.12</v>
      </c>
      <c r="P310">
        <v>0</v>
      </c>
      <c r="Q310">
        <v>3.5</v>
      </c>
      <c r="R310">
        <v>0.76</v>
      </c>
      <c r="S310" t="str">
        <f t="shared" si="4"/>
        <v>November</v>
      </c>
    </row>
    <row r="311" spans="1:19" x14ac:dyDescent="0.2">
      <c r="A311" t="s">
        <v>680</v>
      </c>
      <c r="B311" t="s">
        <v>681</v>
      </c>
      <c r="C311" t="s">
        <v>58</v>
      </c>
      <c r="D311" t="s">
        <v>49</v>
      </c>
      <c r="E311" s="1">
        <v>45907</v>
      </c>
      <c r="F311" s="1">
        <v>45910</v>
      </c>
      <c r="G311" t="s">
        <v>43</v>
      </c>
      <c r="H311" t="s">
        <v>23</v>
      </c>
      <c r="I311" t="s">
        <v>51</v>
      </c>
      <c r="J311">
        <v>72</v>
      </c>
      <c r="K311" t="s">
        <v>169</v>
      </c>
      <c r="L311" t="s">
        <v>26</v>
      </c>
      <c r="M311" t="s">
        <v>82</v>
      </c>
      <c r="N311">
        <v>2.1</v>
      </c>
      <c r="O311" s="3">
        <v>6763.12</v>
      </c>
      <c r="P311">
        <v>0</v>
      </c>
      <c r="Q311">
        <v>4.7</v>
      </c>
      <c r="R311">
        <v>0.74</v>
      </c>
      <c r="S311" t="str">
        <f t="shared" si="4"/>
        <v>September</v>
      </c>
    </row>
    <row r="312" spans="1:19" x14ac:dyDescent="0.2">
      <c r="A312" t="s">
        <v>682</v>
      </c>
      <c r="B312" t="s">
        <v>683</v>
      </c>
      <c r="C312" t="s">
        <v>30</v>
      </c>
      <c r="D312" t="s">
        <v>49</v>
      </c>
      <c r="E312" s="1">
        <v>45779</v>
      </c>
      <c r="F312" s="1">
        <v>45780</v>
      </c>
      <c r="G312" t="s">
        <v>50</v>
      </c>
      <c r="H312" t="s">
        <v>44</v>
      </c>
      <c r="I312" t="s">
        <v>31</v>
      </c>
      <c r="J312">
        <v>73</v>
      </c>
      <c r="K312" t="s">
        <v>169</v>
      </c>
      <c r="L312" t="s">
        <v>32</v>
      </c>
      <c r="M312" t="s">
        <v>39</v>
      </c>
      <c r="N312">
        <v>0.2</v>
      </c>
      <c r="O312" s="3">
        <v>6763.12</v>
      </c>
      <c r="P312">
        <v>0</v>
      </c>
      <c r="Q312">
        <v>3.8</v>
      </c>
      <c r="R312">
        <v>0.77</v>
      </c>
      <c r="S312" t="str">
        <f t="shared" si="4"/>
        <v>May</v>
      </c>
    </row>
    <row r="313" spans="1:19" x14ac:dyDescent="0.2">
      <c r="A313" t="s">
        <v>684</v>
      </c>
      <c r="B313" t="s">
        <v>685</v>
      </c>
      <c r="C313" t="s">
        <v>62</v>
      </c>
      <c r="D313" t="s">
        <v>49</v>
      </c>
      <c r="E313" s="1">
        <v>45741</v>
      </c>
      <c r="F313" s="1">
        <v>45749</v>
      </c>
      <c r="G313" t="s">
        <v>99</v>
      </c>
      <c r="H313" t="s">
        <v>50</v>
      </c>
      <c r="I313" t="s">
        <v>64</v>
      </c>
      <c r="J313">
        <v>13</v>
      </c>
      <c r="K313" t="s">
        <v>46</v>
      </c>
      <c r="L313" t="s">
        <v>26</v>
      </c>
      <c r="M313" t="s">
        <v>39</v>
      </c>
      <c r="N313">
        <v>7.9</v>
      </c>
      <c r="O313" s="3">
        <v>6763.12</v>
      </c>
      <c r="P313">
        <v>0</v>
      </c>
      <c r="Q313">
        <v>4.0999999999999996</v>
      </c>
      <c r="R313">
        <v>0.79</v>
      </c>
      <c r="S313" t="str">
        <f t="shared" si="4"/>
        <v>March</v>
      </c>
    </row>
    <row r="314" spans="1:19" x14ac:dyDescent="0.2">
      <c r="A314" t="s">
        <v>686</v>
      </c>
      <c r="B314" t="s">
        <v>687</v>
      </c>
      <c r="C314" t="s">
        <v>62</v>
      </c>
      <c r="D314" t="s">
        <v>35</v>
      </c>
      <c r="E314" s="1">
        <v>45929</v>
      </c>
      <c r="F314" s="1">
        <v>45933</v>
      </c>
      <c r="G314" t="s">
        <v>59</v>
      </c>
      <c r="H314" t="s">
        <v>50</v>
      </c>
      <c r="I314" t="s">
        <v>117</v>
      </c>
      <c r="J314">
        <v>31</v>
      </c>
      <c r="K314" t="s">
        <v>78</v>
      </c>
      <c r="L314" t="s">
        <v>32</v>
      </c>
      <c r="M314" t="s">
        <v>82</v>
      </c>
      <c r="N314">
        <v>3.3</v>
      </c>
      <c r="O314" s="3">
        <v>6763.12</v>
      </c>
      <c r="P314">
        <v>0</v>
      </c>
      <c r="Q314">
        <v>4.5999999999999996</v>
      </c>
      <c r="R314">
        <v>0.88</v>
      </c>
      <c r="S314" t="str">
        <f t="shared" si="4"/>
        <v>September</v>
      </c>
    </row>
    <row r="315" spans="1:19" x14ac:dyDescent="0.2">
      <c r="A315" t="s">
        <v>688</v>
      </c>
      <c r="B315" t="s">
        <v>689</v>
      </c>
      <c r="C315" t="s">
        <v>30</v>
      </c>
      <c r="D315" t="s">
        <v>49</v>
      </c>
      <c r="E315" s="1">
        <v>45778</v>
      </c>
      <c r="F315" s="1">
        <v>45782</v>
      </c>
      <c r="G315" t="s">
        <v>43</v>
      </c>
      <c r="H315" t="s">
        <v>50</v>
      </c>
      <c r="I315" t="s">
        <v>81</v>
      </c>
      <c r="J315">
        <v>61</v>
      </c>
      <c r="K315" t="s">
        <v>38</v>
      </c>
      <c r="L315" t="s">
        <v>26</v>
      </c>
      <c r="M315" t="s">
        <v>27</v>
      </c>
      <c r="N315">
        <v>3.7</v>
      </c>
      <c r="O315" s="3">
        <v>6763.12</v>
      </c>
      <c r="P315">
        <v>0</v>
      </c>
      <c r="Q315">
        <v>4.7</v>
      </c>
      <c r="R315">
        <v>0.91</v>
      </c>
      <c r="S315" t="str">
        <f t="shared" si="4"/>
        <v>May</v>
      </c>
    </row>
    <row r="316" spans="1:19" x14ac:dyDescent="0.2">
      <c r="A316" t="s">
        <v>690</v>
      </c>
      <c r="B316" t="s">
        <v>691</v>
      </c>
      <c r="C316" t="s">
        <v>58</v>
      </c>
      <c r="D316" t="s">
        <v>49</v>
      </c>
      <c r="E316" s="1">
        <v>45748</v>
      </c>
      <c r="F316" s="1">
        <v>45753</v>
      </c>
      <c r="G316" t="s">
        <v>36</v>
      </c>
      <c r="H316" t="s">
        <v>44</v>
      </c>
      <c r="I316" t="s">
        <v>37</v>
      </c>
      <c r="J316">
        <v>79</v>
      </c>
      <c r="K316" t="s">
        <v>65</v>
      </c>
      <c r="L316" t="s">
        <v>32</v>
      </c>
      <c r="M316" t="s">
        <v>27</v>
      </c>
      <c r="N316">
        <v>4.5999999999999996</v>
      </c>
      <c r="O316" s="3">
        <v>6763.12</v>
      </c>
      <c r="P316">
        <v>0</v>
      </c>
      <c r="Q316">
        <v>4.2</v>
      </c>
      <c r="R316">
        <v>0.73</v>
      </c>
      <c r="S316" t="str">
        <f t="shared" si="4"/>
        <v>April</v>
      </c>
    </row>
    <row r="317" spans="1:19" x14ac:dyDescent="0.2">
      <c r="A317" t="s">
        <v>692</v>
      </c>
      <c r="B317" t="s">
        <v>693</v>
      </c>
      <c r="C317" t="s">
        <v>20</v>
      </c>
      <c r="D317" t="s">
        <v>21</v>
      </c>
      <c r="E317" s="1">
        <v>45997</v>
      </c>
      <c r="F317" s="1">
        <v>46003</v>
      </c>
      <c r="G317" t="s">
        <v>68</v>
      </c>
      <c r="H317" t="s">
        <v>50</v>
      </c>
      <c r="I317" t="s">
        <v>81</v>
      </c>
      <c r="J317">
        <v>67</v>
      </c>
      <c r="K317" t="s">
        <v>169</v>
      </c>
      <c r="L317" t="s">
        <v>26</v>
      </c>
      <c r="M317" t="s">
        <v>27</v>
      </c>
      <c r="N317">
        <v>5.7</v>
      </c>
      <c r="O317" s="3">
        <v>6763.12</v>
      </c>
      <c r="P317">
        <v>0</v>
      </c>
      <c r="Q317">
        <v>3.7</v>
      </c>
      <c r="R317">
        <v>0.81</v>
      </c>
      <c r="S317" t="str">
        <f t="shared" si="4"/>
        <v>December</v>
      </c>
    </row>
    <row r="318" spans="1:19" x14ac:dyDescent="0.2">
      <c r="A318" t="s">
        <v>694</v>
      </c>
      <c r="B318" t="s">
        <v>695</v>
      </c>
      <c r="C318" t="s">
        <v>20</v>
      </c>
      <c r="D318" t="s">
        <v>42</v>
      </c>
      <c r="E318" s="1">
        <v>45834</v>
      </c>
      <c r="F318" s="1">
        <v>45836</v>
      </c>
      <c r="G318" t="s">
        <v>50</v>
      </c>
      <c r="H318" t="s">
        <v>50</v>
      </c>
      <c r="I318" t="s">
        <v>64</v>
      </c>
      <c r="J318">
        <v>42</v>
      </c>
      <c r="K318" t="s">
        <v>25</v>
      </c>
      <c r="L318" t="s">
        <v>26</v>
      </c>
      <c r="M318" t="s">
        <v>39</v>
      </c>
      <c r="N318">
        <v>1.2</v>
      </c>
      <c r="O318" s="3">
        <v>6763.12</v>
      </c>
      <c r="P318">
        <v>0</v>
      </c>
      <c r="Q318">
        <v>2.8</v>
      </c>
      <c r="R318">
        <v>0.81</v>
      </c>
      <c r="S318" t="str">
        <f t="shared" si="4"/>
        <v>June</v>
      </c>
    </row>
    <row r="319" spans="1:19" x14ac:dyDescent="0.2">
      <c r="A319" t="s">
        <v>696</v>
      </c>
      <c r="B319" t="s">
        <v>697</v>
      </c>
      <c r="C319" t="s">
        <v>58</v>
      </c>
      <c r="D319" t="s">
        <v>49</v>
      </c>
      <c r="E319" s="1">
        <v>45675</v>
      </c>
      <c r="F319" s="1">
        <v>45677</v>
      </c>
      <c r="G319" t="s">
        <v>116</v>
      </c>
      <c r="H319" t="s">
        <v>44</v>
      </c>
      <c r="I319" t="s">
        <v>117</v>
      </c>
      <c r="J319">
        <v>27</v>
      </c>
      <c r="K319" t="s">
        <v>78</v>
      </c>
      <c r="L319" t="s">
        <v>32</v>
      </c>
      <c r="M319" t="s">
        <v>39</v>
      </c>
      <c r="N319">
        <v>2</v>
      </c>
      <c r="O319" s="3">
        <v>6763.12</v>
      </c>
      <c r="P319">
        <v>0</v>
      </c>
      <c r="Q319">
        <v>4</v>
      </c>
      <c r="R319">
        <v>0.79</v>
      </c>
      <c r="S319" t="str">
        <f t="shared" si="4"/>
        <v>January</v>
      </c>
    </row>
    <row r="320" spans="1:19" x14ac:dyDescent="0.2">
      <c r="A320" t="s">
        <v>698</v>
      </c>
      <c r="B320" t="s">
        <v>699</v>
      </c>
      <c r="C320" t="s">
        <v>20</v>
      </c>
      <c r="D320" t="s">
        <v>21</v>
      </c>
      <c r="E320" s="1">
        <v>45838</v>
      </c>
      <c r="F320" s="1">
        <v>45841</v>
      </c>
      <c r="G320" t="s">
        <v>50</v>
      </c>
      <c r="H320" t="s">
        <v>50</v>
      </c>
      <c r="I320" t="s">
        <v>37</v>
      </c>
      <c r="J320">
        <v>82</v>
      </c>
      <c r="K320" t="s">
        <v>65</v>
      </c>
      <c r="L320" t="s">
        <v>26</v>
      </c>
      <c r="M320" t="s">
        <v>39</v>
      </c>
      <c r="N320">
        <v>2.1</v>
      </c>
      <c r="O320" s="3">
        <v>6763.12</v>
      </c>
      <c r="P320">
        <v>0</v>
      </c>
      <c r="Q320">
        <v>4.4000000000000004</v>
      </c>
      <c r="R320">
        <v>0.89</v>
      </c>
      <c r="S320" t="str">
        <f t="shared" si="4"/>
        <v>June</v>
      </c>
    </row>
    <row r="321" spans="1:19" x14ac:dyDescent="0.2">
      <c r="A321" t="s">
        <v>700</v>
      </c>
      <c r="B321" t="s">
        <v>701</v>
      </c>
      <c r="C321" t="s">
        <v>58</v>
      </c>
      <c r="D321" t="s">
        <v>35</v>
      </c>
      <c r="E321" s="1">
        <v>45826</v>
      </c>
      <c r="F321" s="1">
        <v>45831</v>
      </c>
      <c r="G321" t="s">
        <v>99</v>
      </c>
      <c r="H321" t="s">
        <v>23</v>
      </c>
      <c r="I321" t="s">
        <v>45</v>
      </c>
      <c r="J321">
        <v>79</v>
      </c>
      <c r="K321" t="s">
        <v>65</v>
      </c>
      <c r="L321" t="s">
        <v>32</v>
      </c>
      <c r="M321" t="s">
        <v>39</v>
      </c>
      <c r="N321">
        <v>4.0999999999999996</v>
      </c>
      <c r="O321" s="3">
        <v>6763.12</v>
      </c>
      <c r="P321">
        <v>0</v>
      </c>
      <c r="Q321">
        <v>4.0999999999999996</v>
      </c>
      <c r="R321">
        <v>0.81</v>
      </c>
      <c r="S321" t="str">
        <f t="shared" si="4"/>
        <v>June</v>
      </c>
    </row>
    <row r="322" spans="1:19" x14ac:dyDescent="0.2">
      <c r="A322" t="s">
        <v>702</v>
      </c>
      <c r="B322" t="s">
        <v>703</v>
      </c>
      <c r="C322" t="s">
        <v>122</v>
      </c>
      <c r="D322" t="s">
        <v>35</v>
      </c>
      <c r="E322" s="1">
        <v>45973</v>
      </c>
      <c r="F322" s="1">
        <v>45976</v>
      </c>
      <c r="G322" t="s">
        <v>68</v>
      </c>
      <c r="H322" t="s">
        <v>50</v>
      </c>
      <c r="I322" t="s">
        <v>64</v>
      </c>
      <c r="J322">
        <v>81</v>
      </c>
      <c r="K322" t="s">
        <v>65</v>
      </c>
      <c r="L322" t="s">
        <v>26</v>
      </c>
      <c r="M322" t="s">
        <v>27</v>
      </c>
      <c r="N322">
        <v>2.2000000000000002</v>
      </c>
      <c r="O322" s="3">
        <v>6763.12</v>
      </c>
      <c r="P322">
        <v>0</v>
      </c>
      <c r="Q322">
        <v>1.8</v>
      </c>
      <c r="R322">
        <v>0.77</v>
      </c>
      <c r="S322" t="str">
        <f t="shared" si="4"/>
        <v>November</v>
      </c>
    </row>
    <row r="323" spans="1:19" x14ac:dyDescent="0.2">
      <c r="A323" t="s">
        <v>704</v>
      </c>
      <c r="B323" t="s">
        <v>705</v>
      </c>
      <c r="C323" t="s">
        <v>122</v>
      </c>
      <c r="D323" t="s">
        <v>21</v>
      </c>
      <c r="E323" s="1">
        <v>45917</v>
      </c>
      <c r="F323" s="1">
        <v>45922</v>
      </c>
      <c r="G323" t="s">
        <v>22</v>
      </c>
      <c r="H323" t="s">
        <v>23</v>
      </c>
      <c r="I323" t="s">
        <v>100</v>
      </c>
      <c r="J323">
        <v>27</v>
      </c>
      <c r="K323" t="s">
        <v>78</v>
      </c>
      <c r="L323" t="s">
        <v>32</v>
      </c>
      <c r="M323" t="s">
        <v>82</v>
      </c>
      <c r="N323">
        <v>4.5999999999999996</v>
      </c>
      <c r="O323" s="3">
        <v>6763.12</v>
      </c>
      <c r="P323">
        <v>0</v>
      </c>
      <c r="Q323">
        <v>4.4000000000000004</v>
      </c>
      <c r="R323">
        <v>0.8</v>
      </c>
      <c r="S323" t="str">
        <f t="shared" ref="S323:S386" si="5">TEXT(E323, "mmmm")</f>
        <v>September</v>
      </c>
    </row>
    <row r="324" spans="1:19" x14ac:dyDescent="0.2">
      <c r="A324" t="s">
        <v>706</v>
      </c>
      <c r="B324" t="s">
        <v>707</v>
      </c>
      <c r="C324" t="s">
        <v>62</v>
      </c>
      <c r="D324" t="s">
        <v>21</v>
      </c>
      <c r="E324" s="1">
        <v>45727</v>
      </c>
      <c r="F324" s="1">
        <v>45733</v>
      </c>
      <c r="G324" t="s">
        <v>36</v>
      </c>
      <c r="H324" t="s">
        <v>50</v>
      </c>
      <c r="I324" t="s">
        <v>24</v>
      </c>
      <c r="J324">
        <v>39</v>
      </c>
      <c r="K324" t="s">
        <v>25</v>
      </c>
      <c r="L324" t="s">
        <v>32</v>
      </c>
      <c r="M324" t="s">
        <v>27</v>
      </c>
      <c r="N324">
        <v>5.0999999999999996</v>
      </c>
      <c r="O324" s="3">
        <v>6763.12</v>
      </c>
      <c r="P324">
        <v>0</v>
      </c>
      <c r="Q324">
        <v>4.5</v>
      </c>
      <c r="R324">
        <v>0.87</v>
      </c>
      <c r="S324" t="str">
        <f t="shared" si="5"/>
        <v>March</v>
      </c>
    </row>
    <row r="325" spans="1:19" x14ac:dyDescent="0.2">
      <c r="A325" t="s">
        <v>708</v>
      </c>
      <c r="B325" t="s">
        <v>709</v>
      </c>
      <c r="C325" t="s">
        <v>30</v>
      </c>
      <c r="D325" t="s">
        <v>35</v>
      </c>
      <c r="E325" s="1">
        <v>45712</v>
      </c>
      <c r="F325" s="1">
        <v>45713</v>
      </c>
      <c r="G325" t="s">
        <v>43</v>
      </c>
      <c r="H325" t="s">
        <v>50</v>
      </c>
      <c r="I325" t="s">
        <v>64</v>
      </c>
      <c r="J325">
        <v>22</v>
      </c>
      <c r="K325" t="s">
        <v>78</v>
      </c>
      <c r="L325" t="s">
        <v>26</v>
      </c>
      <c r="M325" t="s">
        <v>52</v>
      </c>
      <c r="N325">
        <v>0.9</v>
      </c>
      <c r="O325" s="3">
        <v>6763.12</v>
      </c>
      <c r="P325">
        <v>1</v>
      </c>
      <c r="Q325">
        <v>3.7</v>
      </c>
      <c r="R325">
        <v>0.82</v>
      </c>
      <c r="S325" t="str">
        <f t="shared" si="5"/>
        <v>February</v>
      </c>
    </row>
    <row r="326" spans="1:19" x14ac:dyDescent="0.2">
      <c r="A326" t="s">
        <v>710</v>
      </c>
      <c r="B326" t="s">
        <v>711</v>
      </c>
      <c r="C326" t="s">
        <v>20</v>
      </c>
      <c r="D326" t="s">
        <v>35</v>
      </c>
      <c r="E326" s="1">
        <v>45878</v>
      </c>
      <c r="F326" s="1">
        <v>45887</v>
      </c>
      <c r="G326" t="s">
        <v>43</v>
      </c>
      <c r="H326" t="s">
        <v>50</v>
      </c>
      <c r="I326" t="s">
        <v>64</v>
      </c>
      <c r="J326">
        <v>86</v>
      </c>
      <c r="K326" t="s">
        <v>65</v>
      </c>
      <c r="L326" t="s">
        <v>32</v>
      </c>
      <c r="M326" t="s">
        <v>27</v>
      </c>
      <c r="N326">
        <v>8.1999999999999993</v>
      </c>
      <c r="O326" s="3">
        <v>6763.12</v>
      </c>
      <c r="P326">
        <v>0</v>
      </c>
      <c r="Q326">
        <v>4.3</v>
      </c>
      <c r="R326">
        <v>0.76</v>
      </c>
      <c r="S326" t="str">
        <f t="shared" si="5"/>
        <v>August</v>
      </c>
    </row>
    <row r="327" spans="1:19" x14ac:dyDescent="0.2">
      <c r="A327" t="s">
        <v>712</v>
      </c>
      <c r="B327" t="s">
        <v>713</v>
      </c>
      <c r="C327" t="s">
        <v>30</v>
      </c>
      <c r="D327" t="s">
        <v>35</v>
      </c>
      <c r="E327" s="1">
        <v>45675</v>
      </c>
      <c r="F327" s="1">
        <v>45677</v>
      </c>
      <c r="G327" t="s">
        <v>99</v>
      </c>
      <c r="H327" t="s">
        <v>23</v>
      </c>
      <c r="I327" t="s">
        <v>37</v>
      </c>
      <c r="J327">
        <v>78</v>
      </c>
      <c r="K327" t="s">
        <v>65</v>
      </c>
      <c r="L327" t="s">
        <v>32</v>
      </c>
      <c r="M327" t="s">
        <v>39</v>
      </c>
      <c r="N327">
        <v>1.8</v>
      </c>
      <c r="O327" s="3">
        <v>6763.12</v>
      </c>
      <c r="P327">
        <v>0</v>
      </c>
      <c r="Q327">
        <v>4.3</v>
      </c>
      <c r="R327">
        <v>0.79</v>
      </c>
      <c r="S327" t="str">
        <f t="shared" si="5"/>
        <v>January</v>
      </c>
    </row>
    <row r="328" spans="1:19" x14ac:dyDescent="0.2">
      <c r="A328" t="s">
        <v>714</v>
      </c>
      <c r="B328" t="s">
        <v>715</v>
      </c>
      <c r="C328" t="s">
        <v>62</v>
      </c>
      <c r="D328" t="s">
        <v>42</v>
      </c>
      <c r="E328" s="1">
        <v>45774</v>
      </c>
      <c r="F328" s="1">
        <v>45780</v>
      </c>
      <c r="G328" t="s">
        <v>68</v>
      </c>
      <c r="H328" t="s">
        <v>23</v>
      </c>
      <c r="I328" t="s">
        <v>24</v>
      </c>
      <c r="J328">
        <v>15</v>
      </c>
      <c r="K328" t="s">
        <v>46</v>
      </c>
      <c r="L328" t="s">
        <v>32</v>
      </c>
      <c r="M328" t="s">
        <v>39</v>
      </c>
      <c r="N328">
        <v>5.2</v>
      </c>
      <c r="O328" s="3">
        <v>6763.12</v>
      </c>
      <c r="P328">
        <v>0</v>
      </c>
      <c r="Q328">
        <v>3.5</v>
      </c>
      <c r="R328">
        <v>0.89</v>
      </c>
      <c r="S328" t="str">
        <f t="shared" si="5"/>
        <v>April</v>
      </c>
    </row>
    <row r="329" spans="1:19" x14ac:dyDescent="0.2">
      <c r="A329" t="s">
        <v>716</v>
      </c>
      <c r="B329" t="s">
        <v>717</v>
      </c>
      <c r="C329" t="s">
        <v>20</v>
      </c>
      <c r="D329" t="s">
        <v>49</v>
      </c>
      <c r="E329" s="1">
        <v>45708</v>
      </c>
      <c r="F329" s="1">
        <v>45709</v>
      </c>
      <c r="G329" t="s">
        <v>63</v>
      </c>
      <c r="H329" t="s">
        <v>50</v>
      </c>
      <c r="I329" t="s">
        <v>31</v>
      </c>
      <c r="J329">
        <v>22</v>
      </c>
      <c r="K329" t="s">
        <v>78</v>
      </c>
      <c r="L329" t="s">
        <v>32</v>
      </c>
      <c r="M329" t="s">
        <v>82</v>
      </c>
      <c r="N329">
        <v>0.9</v>
      </c>
      <c r="O329" s="3">
        <v>6763.12</v>
      </c>
      <c r="P329">
        <v>0</v>
      </c>
      <c r="Q329">
        <v>4.7</v>
      </c>
      <c r="R329">
        <v>0.85</v>
      </c>
      <c r="S329" t="str">
        <f t="shared" si="5"/>
        <v>February</v>
      </c>
    </row>
    <row r="330" spans="1:19" x14ac:dyDescent="0.2">
      <c r="A330" t="s">
        <v>718</v>
      </c>
      <c r="B330" t="s">
        <v>719</v>
      </c>
      <c r="C330" t="s">
        <v>122</v>
      </c>
      <c r="D330" t="s">
        <v>21</v>
      </c>
      <c r="E330" s="1">
        <v>45665</v>
      </c>
      <c r="F330" s="1">
        <v>45667</v>
      </c>
      <c r="G330" t="s">
        <v>50</v>
      </c>
      <c r="H330" t="s">
        <v>50</v>
      </c>
      <c r="I330" t="s">
        <v>81</v>
      </c>
      <c r="J330">
        <v>50</v>
      </c>
      <c r="K330" t="s">
        <v>38</v>
      </c>
      <c r="L330" t="s">
        <v>32</v>
      </c>
      <c r="M330" t="s">
        <v>27</v>
      </c>
      <c r="N330">
        <v>2</v>
      </c>
      <c r="O330" s="3">
        <v>6763.12</v>
      </c>
      <c r="P330">
        <v>0</v>
      </c>
      <c r="Q330">
        <v>2.9</v>
      </c>
      <c r="R330">
        <v>0.77</v>
      </c>
      <c r="S330" t="str">
        <f t="shared" si="5"/>
        <v>January</v>
      </c>
    </row>
    <row r="331" spans="1:19" x14ac:dyDescent="0.2">
      <c r="A331" t="s">
        <v>720</v>
      </c>
      <c r="B331" t="s">
        <v>721</v>
      </c>
      <c r="C331" t="s">
        <v>122</v>
      </c>
      <c r="D331" t="s">
        <v>35</v>
      </c>
      <c r="E331" s="1">
        <v>45993</v>
      </c>
      <c r="F331" s="1">
        <v>45994</v>
      </c>
      <c r="G331" t="s">
        <v>68</v>
      </c>
      <c r="H331" t="s">
        <v>44</v>
      </c>
      <c r="I331" t="s">
        <v>81</v>
      </c>
      <c r="J331">
        <v>37</v>
      </c>
      <c r="K331" t="s">
        <v>25</v>
      </c>
      <c r="L331" t="s">
        <v>26</v>
      </c>
      <c r="M331" t="s">
        <v>82</v>
      </c>
      <c r="N331">
        <v>0.9</v>
      </c>
      <c r="O331" s="3">
        <v>6763.12</v>
      </c>
      <c r="P331">
        <v>0</v>
      </c>
      <c r="Q331">
        <v>3.9</v>
      </c>
      <c r="R331">
        <v>0.79</v>
      </c>
      <c r="S331" t="str">
        <f t="shared" si="5"/>
        <v>December</v>
      </c>
    </row>
    <row r="332" spans="1:19" x14ac:dyDescent="0.2">
      <c r="A332" t="s">
        <v>722</v>
      </c>
      <c r="B332" t="s">
        <v>723</v>
      </c>
      <c r="C332" t="s">
        <v>20</v>
      </c>
      <c r="D332" t="s">
        <v>35</v>
      </c>
      <c r="E332" s="1">
        <v>45690</v>
      </c>
      <c r="F332" s="1">
        <v>45694</v>
      </c>
      <c r="G332" t="s">
        <v>68</v>
      </c>
      <c r="H332" t="s">
        <v>50</v>
      </c>
      <c r="I332" t="s">
        <v>100</v>
      </c>
      <c r="J332">
        <v>41</v>
      </c>
      <c r="K332" t="s">
        <v>25</v>
      </c>
      <c r="L332" t="s">
        <v>26</v>
      </c>
      <c r="M332" t="s">
        <v>39</v>
      </c>
      <c r="N332">
        <v>3.1</v>
      </c>
      <c r="O332" s="3">
        <v>6763.12</v>
      </c>
      <c r="P332">
        <v>0</v>
      </c>
      <c r="Q332">
        <v>3.8</v>
      </c>
      <c r="R332">
        <v>0.85</v>
      </c>
      <c r="S332" t="str">
        <f t="shared" si="5"/>
        <v>February</v>
      </c>
    </row>
    <row r="333" spans="1:19" x14ac:dyDescent="0.2">
      <c r="A333" t="s">
        <v>724</v>
      </c>
      <c r="B333" t="s">
        <v>725</v>
      </c>
      <c r="C333" t="s">
        <v>62</v>
      </c>
      <c r="D333" t="s">
        <v>35</v>
      </c>
      <c r="E333" s="1">
        <v>45661</v>
      </c>
      <c r="F333" s="1">
        <v>45663</v>
      </c>
      <c r="G333" t="s">
        <v>50</v>
      </c>
      <c r="H333" t="s">
        <v>50</v>
      </c>
      <c r="I333" t="s">
        <v>31</v>
      </c>
      <c r="J333">
        <v>33</v>
      </c>
      <c r="K333" t="s">
        <v>78</v>
      </c>
      <c r="L333" t="s">
        <v>32</v>
      </c>
      <c r="M333" t="s">
        <v>39</v>
      </c>
      <c r="N333">
        <v>1.5</v>
      </c>
      <c r="O333" s="3">
        <v>6763.12</v>
      </c>
      <c r="P333">
        <v>0</v>
      </c>
      <c r="Q333">
        <v>3.2</v>
      </c>
      <c r="R333">
        <v>0.77</v>
      </c>
      <c r="S333" t="str">
        <f t="shared" si="5"/>
        <v>January</v>
      </c>
    </row>
    <row r="334" spans="1:19" x14ac:dyDescent="0.2">
      <c r="A334" t="s">
        <v>726</v>
      </c>
      <c r="B334" t="s">
        <v>727</v>
      </c>
      <c r="C334" t="s">
        <v>20</v>
      </c>
      <c r="D334" t="s">
        <v>21</v>
      </c>
      <c r="E334" s="1">
        <v>45998</v>
      </c>
      <c r="F334" s="1">
        <v>46000</v>
      </c>
      <c r="G334" t="s">
        <v>22</v>
      </c>
      <c r="H334" t="s">
        <v>23</v>
      </c>
      <c r="I334" t="s">
        <v>31</v>
      </c>
      <c r="J334">
        <v>61</v>
      </c>
      <c r="K334" t="s">
        <v>38</v>
      </c>
      <c r="L334" t="s">
        <v>32</v>
      </c>
      <c r="M334" t="s">
        <v>39</v>
      </c>
      <c r="N334">
        <v>1.6</v>
      </c>
      <c r="O334" s="3">
        <v>6763.12</v>
      </c>
      <c r="P334">
        <v>0</v>
      </c>
      <c r="Q334">
        <v>4.0999999999999996</v>
      </c>
      <c r="R334">
        <v>0.78</v>
      </c>
      <c r="S334" t="str">
        <f t="shared" si="5"/>
        <v>December</v>
      </c>
    </row>
    <row r="335" spans="1:19" x14ac:dyDescent="0.2">
      <c r="A335" t="s">
        <v>728</v>
      </c>
      <c r="B335" t="s">
        <v>729</v>
      </c>
      <c r="C335" t="s">
        <v>20</v>
      </c>
      <c r="D335" t="s">
        <v>35</v>
      </c>
      <c r="E335" s="1">
        <v>45726</v>
      </c>
      <c r="F335" s="1">
        <v>45729</v>
      </c>
      <c r="G335" t="s">
        <v>43</v>
      </c>
      <c r="H335" t="s">
        <v>50</v>
      </c>
      <c r="I335" t="s">
        <v>45</v>
      </c>
      <c r="J335">
        <v>81</v>
      </c>
      <c r="K335" t="s">
        <v>65</v>
      </c>
      <c r="L335" t="s">
        <v>26</v>
      </c>
      <c r="M335" t="s">
        <v>27</v>
      </c>
      <c r="N335">
        <v>3</v>
      </c>
      <c r="O335" s="3">
        <v>6763.12</v>
      </c>
      <c r="P335">
        <v>1</v>
      </c>
      <c r="Q335">
        <v>4.7</v>
      </c>
      <c r="R335">
        <v>0.88</v>
      </c>
      <c r="S335" t="str">
        <f t="shared" si="5"/>
        <v>March</v>
      </c>
    </row>
    <row r="336" spans="1:19" x14ac:dyDescent="0.2">
      <c r="A336" t="s">
        <v>730</v>
      </c>
      <c r="B336" t="s">
        <v>731</v>
      </c>
      <c r="C336" t="s">
        <v>58</v>
      </c>
      <c r="D336" t="s">
        <v>21</v>
      </c>
      <c r="E336" s="1">
        <v>45956</v>
      </c>
      <c r="F336" s="1">
        <v>45957</v>
      </c>
      <c r="G336" t="s">
        <v>50</v>
      </c>
      <c r="H336" t="s">
        <v>50</v>
      </c>
      <c r="I336" t="s">
        <v>81</v>
      </c>
      <c r="J336">
        <v>83</v>
      </c>
      <c r="K336" t="s">
        <v>65</v>
      </c>
      <c r="L336" t="s">
        <v>26</v>
      </c>
      <c r="M336" t="s">
        <v>39</v>
      </c>
      <c r="N336">
        <v>0.4</v>
      </c>
      <c r="O336" s="3">
        <v>6763.12</v>
      </c>
      <c r="P336">
        <v>0</v>
      </c>
      <c r="Q336">
        <v>4.4000000000000004</v>
      </c>
      <c r="R336">
        <v>0.76</v>
      </c>
      <c r="S336" t="str">
        <f t="shared" si="5"/>
        <v>October</v>
      </c>
    </row>
    <row r="337" spans="1:19" x14ac:dyDescent="0.2">
      <c r="A337" t="s">
        <v>732</v>
      </c>
      <c r="B337" t="s">
        <v>733</v>
      </c>
      <c r="C337" t="s">
        <v>122</v>
      </c>
      <c r="D337" t="s">
        <v>42</v>
      </c>
      <c r="E337" s="1">
        <v>45669</v>
      </c>
      <c r="F337" s="1">
        <v>45676</v>
      </c>
      <c r="G337" t="s">
        <v>63</v>
      </c>
      <c r="H337" t="s">
        <v>50</v>
      </c>
      <c r="I337" t="s">
        <v>45</v>
      </c>
      <c r="J337">
        <v>41</v>
      </c>
      <c r="K337" t="s">
        <v>25</v>
      </c>
      <c r="L337" t="s">
        <v>26</v>
      </c>
      <c r="M337" t="s">
        <v>27</v>
      </c>
      <c r="N337">
        <v>6.8</v>
      </c>
      <c r="O337" s="3">
        <v>6763.12</v>
      </c>
      <c r="P337">
        <v>1</v>
      </c>
      <c r="Q337">
        <v>4.3</v>
      </c>
      <c r="R337">
        <v>0.73</v>
      </c>
      <c r="S337" t="str">
        <f t="shared" si="5"/>
        <v>January</v>
      </c>
    </row>
    <row r="338" spans="1:19" x14ac:dyDescent="0.2">
      <c r="A338" t="s">
        <v>734</v>
      </c>
      <c r="B338" t="s">
        <v>735</v>
      </c>
      <c r="C338" t="s">
        <v>20</v>
      </c>
      <c r="D338" t="s">
        <v>21</v>
      </c>
      <c r="E338" s="1">
        <v>45714</v>
      </c>
      <c r="F338" s="1">
        <v>45718</v>
      </c>
      <c r="G338" t="s">
        <v>43</v>
      </c>
      <c r="H338" t="s">
        <v>50</v>
      </c>
      <c r="I338" t="s">
        <v>37</v>
      </c>
      <c r="J338">
        <v>75</v>
      </c>
      <c r="K338" t="s">
        <v>65</v>
      </c>
      <c r="L338" t="s">
        <v>32</v>
      </c>
      <c r="M338" t="s">
        <v>27</v>
      </c>
      <c r="N338">
        <v>3.6</v>
      </c>
      <c r="O338" s="3">
        <v>6763.12</v>
      </c>
      <c r="P338">
        <v>0</v>
      </c>
      <c r="Q338">
        <v>2.9</v>
      </c>
      <c r="R338">
        <v>0.8</v>
      </c>
      <c r="S338" t="str">
        <f t="shared" si="5"/>
        <v>February</v>
      </c>
    </row>
    <row r="339" spans="1:19" x14ac:dyDescent="0.2">
      <c r="A339" t="s">
        <v>736</v>
      </c>
      <c r="B339" t="s">
        <v>737</v>
      </c>
      <c r="C339" t="s">
        <v>122</v>
      </c>
      <c r="D339" t="s">
        <v>42</v>
      </c>
      <c r="E339" s="1">
        <v>45698</v>
      </c>
      <c r="F339" s="1">
        <v>45700</v>
      </c>
      <c r="G339" t="s">
        <v>43</v>
      </c>
      <c r="H339" t="s">
        <v>50</v>
      </c>
      <c r="I339" t="s">
        <v>37</v>
      </c>
      <c r="J339">
        <v>63</v>
      </c>
      <c r="K339" t="s">
        <v>38</v>
      </c>
      <c r="L339" t="s">
        <v>26</v>
      </c>
      <c r="M339" t="s">
        <v>39</v>
      </c>
      <c r="N339">
        <v>1.4</v>
      </c>
      <c r="O339" s="3">
        <v>6763.12</v>
      </c>
      <c r="P339">
        <v>1</v>
      </c>
      <c r="Q339">
        <v>3.1</v>
      </c>
      <c r="R339">
        <v>0.82</v>
      </c>
      <c r="S339" t="str">
        <f t="shared" si="5"/>
        <v>February</v>
      </c>
    </row>
    <row r="340" spans="1:19" x14ac:dyDescent="0.2">
      <c r="A340" t="s">
        <v>738</v>
      </c>
      <c r="B340" t="s">
        <v>739</v>
      </c>
      <c r="C340" t="s">
        <v>30</v>
      </c>
      <c r="D340" t="s">
        <v>35</v>
      </c>
      <c r="E340" s="1">
        <v>45915</v>
      </c>
      <c r="F340" s="1">
        <v>45919</v>
      </c>
      <c r="G340" t="s">
        <v>36</v>
      </c>
      <c r="H340" t="s">
        <v>23</v>
      </c>
      <c r="I340" t="s">
        <v>31</v>
      </c>
      <c r="J340">
        <v>17</v>
      </c>
      <c r="K340" t="s">
        <v>46</v>
      </c>
      <c r="L340" t="s">
        <v>26</v>
      </c>
      <c r="M340" t="s">
        <v>39</v>
      </c>
      <c r="N340">
        <v>3.9</v>
      </c>
      <c r="O340" s="3">
        <v>6763.12</v>
      </c>
      <c r="P340">
        <v>0</v>
      </c>
      <c r="Q340">
        <v>4</v>
      </c>
      <c r="R340">
        <v>0.72</v>
      </c>
      <c r="S340" t="str">
        <f t="shared" si="5"/>
        <v>September</v>
      </c>
    </row>
    <row r="341" spans="1:19" x14ac:dyDescent="0.2">
      <c r="A341" t="s">
        <v>740</v>
      </c>
      <c r="B341" t="s">
        <v>741</v>
      </c>
      <c r="C341" t="s">
        <v>58</v>
      </c>
      <c r="D341" t="s">
        <v>35</v>
      </c>
      <c r="E341" s="1">
        <v>45884</v>
      </c>
      <c r="F341" s="1">
        <v>45889</v>
      </c>
      <c r="G341" t="s">
        <v>63</v>
      </c>
      <c r="H341" t="s">
        <v>23</v>
      </c>
      <c r="I341" t="s">
        <v>51</v>
      </c>
      <c r="J341">
        <v>72</v>
      </c>
      <c r="K341" t="s">
        <v>169</v>
      </c>
      <c r="L341" t="s">
        <v>32</v>
      </c>
      <c r="M341" t="s">
        <v>27</v>
      </c>
      <c r="N341">
        <v>4.3</v>
      </c>
      <c r="O341" s="3">
        <v>6763.12</v>
      </c>
      <c r="P341">
        <v>0</v>
      </c>
      <c r="Q341">
        <v>3.9</v>
      </c>
      <c r="R341">
        <v>0.76</v>
      </c>
      <c r="S341" t="str">
        <f t="shared" si="5"/>
        <v>August</v>
      </c>
    </row>
    <row r="342" spans="1:19" x14ac:dyDescent="0.2">
      <c r="A342" t="s">
        <v>742</v>
      </c>
      <c r="B342" t="s">
        <v>743</v>
      </c>
      <c r="C342" t="s">
        <v>62</v>
      </c>
      <c r="D342" t="s">
        <v>42</v>
      </c>
      <c r="E342" s="1">
        <v>45831</v>
      </c>
      <c r="F342" s="1">
        <v>45835</v>
      </c>
      <c r="G342" t="s">
        <v>36</v>
      </c>
      <c r="H342" t="s">
        <v>50</v>
      </c>
      <c r="I342" t="s">
        <v>64</v>
      </c>
      <c r="J342">
        <v>31</v>
      </c>
      <c r="K342" t="s">
        <v>78</v>
      </c>
      <c r="L342" t="s">
        <v>32</v>
      </c>
      <c r="M342" t="s">
        <v>27</v>
      </c>
      <c r="N342">
        <v>3.7</v>
      </c>
      <c r="O342" s="3">
        <v>6763.12</v>
      </c>
      <c r="P342">
        <v>0</v>
      </c>
      <c r="Q342">
        <v>3.6</v>
      </c>
      <c r="R342">
        <v>0.83</v>
      </c>
      <c r="S342" t="str">
        <f t="shared" si="5"/>
        <v>June</v>
      </c>
    </row>
    <row r="343" spans="1:19" x14ac:dyDescent="0.2">
      <c r="A343" t="s">
        <v>744</v>
      </c>
      <c r="B343" t="s">
        <v>745</v>
      </c>
      <c r="C343" t="s">
        <v>62</v>
      </c>
      <c r="D343" t="s">
        <v>21</v>
      </c>
      <c r="E343" s="1">
        <v>45746</v>
      </c>
      <c r="F343" s="1">
        <v>45747</v>
      </c>
      <c r="G343" t="s">
        <v>99</v>
      </c>
      <c r="H343" t="s">
        <v>23</v>
      </c>
      <c r="I343" t="s">
        <v>64</v>
      </c>
      <c r="J343">
        <v>57</v>
      </c>
      <c r="K343" t="s">
        <v>38</v>
      </c>
      <c r="L343" t="s">
        <v>32</v>
      </c>
      <c r="M343" t="s">
        <v>27</v>
      </c>
      <c r="N343">
        <v>0.2</v>
      </c>
      <c r="O343" s="3">
        <v>6763.12</v>
      </c>
      <c r="P343">
        <v>0</v>
      </c>
      <c r="Q343">
        <v>5</v>
      </c>
      <c r="R343">
        <v>0.77</v>
      </c>
      <c r="S343" t="str">
        <f t="shared" si="5"/>
        <v>March</v>
      </c>
    </row>
    <row r="344" spans="1:19" x14ac:dyDescent="0.2">
      <c r="A344" t="s">
        <v>746</v>
      </c>
      <c r="B344" t="s">
        <v>747</v>
      </c>
      <c r="C344" t="s">
        <v>62</v>
      </c>
      <c r="D344" t="s">
        <v>49</v>
      </c>
      <c r="E344" s="1">
        <v>45690</v>
      </c>
      <c r="F344" s="1">
        <v>45694</v>
      </c>
      <c r="G344" t="s">
        <v>71</v>
      </c>
      <c r="H344" t="s">
        <v>50</v>
      </c>
      <c r="I344" t="s">
        <v>100</v>
      </c>
      <c r="J344">
        <v>65</v>
      </c>
      <c r="K344" t="s">
        <v>169</v>
      </c>
      <c r="L344" t="s">
        <v>26</v>
      </c>
      <c r="M344" t="s">
        <v>27</v>
      </c>
      <c r="N344">
        <v>3.4</v>
      </c>
      <c r="O344" s="3">
        <v>6763.12</v>
      </c>
      <c r="P344">
        <v>0</v>
      </c>
      <c r="Q344">
        <v>4</v>
      </c>
      <c r="R344">
        <v>0.84</v>
      </c>
      <c r="S344" t="str">
        <f t="shared" si="5"/>
        <v>February</v>
      </c>
    </row>
    <row r="345" spans="1:19" x14ac:dyDescent="0.2">
      <c r="A345" t="s">
        <v>748</v>
      </c>
      <c r="B345" t="s">
        <v>749</v>
      </c>
      <c r="C345" t="s">
        <v>20</v>
      </c>
      <c r="D345" t="s">
        <v>42</v>
      </c>
      <c r="E345" s="1">
        <v>45865</v>
      </c>
      <c r="F345" s="1">
        <v>45871</v>
      </c>
      <c r="G345" t="s">
        <v>99</v>
      </c>
      <c r="H345" t="s">
        <v>23</v>
      </c>
      <c r="I345" t="s">
        <v>81</v>
      </c>
      <c r="J345">
        <v>85</v>
      </c>
      <c r="K345" t="s">
        <v>65</v>
      </c>
      <c r="L345" t="s">
        <v>32</v>
      </c>
      <c r="M345" t="s">
        <v>39</v>
      </c>
      <c r="N345">
        <v>5.4</v>
      </c>
      <c r="O345" s="3">
        <v>6763.12</v>
      </c>
      <c r="P345">
        <v>0</v>
      </c>
      <c r="Q345">
        <v>4.2</v>
      </c>
      <c r="R345">
        <v>0.79</v>
      </c>
      <c r="S345" t="str">
        <f t="shared" si="5"/>
        <v>July</v>
      </c>
    </row>
    <row r="346" spans="1:19" x14ac:dyDescent="0.2">
      <c r="A346" t="s">
        <v>750</v>
      </c>
      <c r="B346" t="s">
        <v>751</v>
      </c>
      <c r="C346" t="s">
        <v>122</v>
      </c>
      <c r="D346" t="s">
        <v>49</v>
      </c>
      <c r="E346" s="1">
        <v>45742</v>
      </c>
      <c r="F346" s="1">
        <v>45748</v>
      </c>
      <c r="G346" t="s">
        <v>63</v>
      </c>
      <c r="H346" t="s">
        <v>50</v>
      </c>
      <c r="I346" t="s">
        <v>100</v>
      </c>
      <c r="J346">
        <v>86</v>
      </c>
      <c r="K346" t="s">
        <v>65</v>
      </c>
      <c r="L346" t="s">
        <v>26</v>
      </c>
      <c r="M346" t="s">
        <v>27</v>
      </c>
      <c r="N346">
        <v>5.5</v>
      </c>
      <c r="O346" s="3">
        <v>6763.12</v>
      </c>
      <c r="P346">
        <v>0</v>
      </c>
      <c r="Q346">
        <v>4.5</v>
      </c>
      <c r="R346">
        <v>0.78</v>
      </c>
      <c r="S346" t="str">
        <f t="shared" si="5"/>
        <v>March</v>
      </c>
    </row>
    <row r="347" spans="1:19" x14ac:dyDescent="0.2">
      <c r="A347" t="s">
        <v>752</v>
      </c>
      <c r="B347" t="s">
        <v>753</v>
      </c>
      <c r="C347" t="s">
        <v>58</v>
      </c>
      <c r="D347" t="s">
        <v>21</v>
      </c>
      <c r="E347" s="1">
        <v>45873</v>
      </c>
      <c r="F347" s="1">
        <v>45879</v>
      </c>
      <c r="G347" t="s">
        <v>71</v>
      </c>
      <c r="H347" t="s">
        <v>23</v>
      </c>
      <c r="I347" t="s">
        <v>51</v>
      </c>
      <c r="J347">
        <v>73</v>
      </c>
      <c r="K347" t="s">
        <v>169</v>
      </c>
      <c r="L347" t="s">
        <v>26</v>
      </c>
      <c r="M347" t="s">
        <v>82</v>
      </c>
      <c r="N347">
        <v>5.9</v>
      </c>
      <c r="O347" s="3">
        <v>6763.12</v>
      </c>
      <c r="P347">
        <v>0</v>
      </c>
      <c r="Q347">
        <v>3.9</v>
      </c>
      <c r="R347">
        <v>0.74</v>
      </c>
      <c r="S347" t="str">
        <f t="shared" si="5"/>
        <v>August</v>
      </c>
    </row>
    <row r="348" spans="1:19" x14ac:dyDescent="0.2">
      <c r="A348" t="s">
        <v>754</v>
      </c>
      <c r="B348" t="s">
        <v>755</v>
      </c>
      <c r="C348" t="s">
        <v>62</v>
      </c>
      <c r="D348" t="s">
        <v>49</v>
      </c>
      <c r="E348" s="1">
        <v>45908</v>
      </c>
      <c r="F348" s="1">
        <v>45912</v>
      </c>
      <c r="G348" t="s">
        <v>99</v>
      </c>
      <c r="H348" t="s">
        <v>50</v>
      </c>
      <c r="I348" t="s">
        <v>81</v>
      </c>
      <c r="J348">
        <v>46</v>
      </c>
      <c r="K348" t="s">
        <v>25</v>
      </c>
      <c r="L348" t="s">
        <v>32</v>
      </c>
      <c r="M348" t="s">
        <v>27</v>
      </c>
      <c r="N348">
        <v>4</v>
      </c>
      <c r="O348" s="3">
        <v>6763.12</v>
      </c>
      <c r="P348">
        <v>0</v>
      </c>
      <c r="Q348">
        <v>5</v>
      </c>
      <c r="R348">
        <v>0.8</v>
      </c>
      <c r="S348" t="str">
        <f t="shared" si="5"/>
        <v>September</v>
      </c>
    </row>
    <row r="349" spans="1:19" x14ac:dyDescent="0.2">
      <c r="A349" t="s">
        <v>756</v>
      </c>
      <c r="B349" t="s">
        <v>757</v>
      </c>
      <c r="C349" t="s">
        <v>58</v>
      </c>
      <c r="D349" t="s">
        <v>35</v>
      </c>
      <c r="E349" s="1">
        <v>45968</v>
      </c>
      <c r="F349" s="1">
        <v>45974</v>
      </c>
      <c r="G349" t="s">
        <v>43</v>
      </c>
      <c r="H349" t="s">
        <v>50</v>
      </c>
      <c r="I349" t="s">
        <v>45</v>
      </c>
      <c r="J349">
        <v>36</v>
      </c>
      <c r="K349" t="s">
        <v>25</v>
      </c>
      <c r="L349" t="s">
        <v>26</v>
      </c>
      <c r="M349" t="s">
        <v>27</v>
      </c>
      <c r="N349">
        <v>5.8</v>
      </c>
      <c r="O349" s="3">
        <v>6763.12</v>
      </c>
      <c r="P349">
        <v>0</v>
      </c>
      <c r="Q349">
        <v>3.3</v>
      </c>
      <c r="R349">
        <v>0.69</v>
      </c>
      <c r="S349" t="str">
        <f t="shared" si="5"/>
        <v>November</v>
      </c>
    </row>
    <row r="350" spans="1:19" x14ac:dyDescent="0.2">
      <c r="A350" t="s">
        <v>758</v>
      </c>
      <c r="B350" t="s">
        <v>759</v>
      </c>
      <c r="C350" t="s">
        <v>20</v>
      </c>
      <c r="D350" t="s">
        <v>35</v>
      </c>
      <c r="E350" s="1">
        <v>45838</v>
      </c>
      <c r="F350" s="1">
        <v>45840</v>
      </c>
      <c r="G350" t="s">
        <v>68</v>
      </c>
      <c r="H350" t="s">
        <v>50</v>
      </c>
      <c r="I350" t="s">
        <v>81</v>
      </c>
      <c r="J350">
        <v>40</v>
      </c>
      <c r="K350" t="s">
        <v>25</v>
      </c>
      <c r="L350" t="s">
        <v>26</v>
      </c>
      <c r="M350" t="s">
        <v>82</v>
      </c>
      <c r="N350">
        <v>1.7</v>
      </c>
      <c r="O350" s="3">
        <v>6763.12</v>
      </c>
      <c r="P350">
        <v>0</v>
      </c>
      <c r="Q350">
        <v>3.5</v>
      </c>
      <c r="R350">
        <v>0.77</v>
      </c>
      <c r="S350" t="str">
        <f t="shared" si="5"/>
        <v>June</v>
      </c>
    </row>
    <row r="351" spans="1:19" x14ac:dyDescent="0.2">
      <c r="A351" t="s">
        <v>760</v>
      </c>
      <c r="B351" t="s">
        <v>761</v>
      </c>
      <c r="C351" t="s">
        <v>58</v>
      </c>
      <c r="D351" t="s">
        <v>35</v>
      </c>
      <c r="E351" s="1">
        <v>45659</v>
      </c>
      <c r="F351" s="1">
        <v>45661</v>
      </c>
      <c r="G351" t="s">
        <v>68</v>
      </c>
      <c r="H351" t="s">
        <v>50</v>
      </c>
      <c r="I351" t="s">
        <v>100</v>
      </c>
      <c r="J351">
        <v>86</v>
      </c>
      <c r="K351" t="s">
        <v>65</v>
      </c>
      <c r="L351" t="s">
        <v>32</v>
      </c>
      <c r="M351" t="s">
        <v>27</v>
      </c>
      <c r="N351">
        <v>1.4</v>
      </c>
      <c r="O351" s="3">
        <v>6763.12</v>
      </c>
      <c r="P351">
        <v>0</v>
      </c>
      <c r="Q351">
        <v>3.3</v>
      </c>
      <c r="R351">
        <v>0.78</v>
      </c>
      <c r="S351" t="str">
        <f t="shared" si="5"/>
        <v>January</v>
      </c>
    </row>
    <row r="352" spans="1:19" x14ac:dyDescent="0.2">
      <c r="A352" t="s">
        <v>762</v>
      </c>
      <c r="B352" t="s">
        <v>763</v>
      </c>
      <c r="C352" t="s">
        <v>58</v>
      </c>
      <c r="D352" t="s">
        <v>42</v>
      </c>
      <c r="E352" s="1">
        <v>45760</v>
      </c>
      <c r="F352" s="1">
        <v>45764</v>
      </c>
      <c r="G352" t="s">
        <v>50</v>
      </c>
      <c r="H352" t="s">
        <v>50</v>
      </c>
      <c r="I352" t="s">
        <v>55</v>
      </c>
      <c r="J352">
        <v>18</v>
      </c>
      <c r="K352" t="s">
        <v>78</v>
      </c>
      <c r="L352" t="s">
        <v>26</v>
      </c>
      <c r="M352" t="s">
        <v>39</v>
      </c>
      <c r="N352">
        <v>3.4</v>
      </c>
      <c r="O352" s="3">
        <v>6763.12</v>
      </c>
      <c r="P352">
        <v>0</v>
      </c>
      <c r="Q352">
        <v>4.5999999999999996</v>
      </c>
      <c r="R352">
        <v>0.76</v>
      </c>
      <c r="S352" t="str">
        <f t="shared" si="5"/>
        <v>April</v>
      </c>
    </row>
    <row r="353" spans="1:19" x14ac:dyDescent="0.2">
      <c r="A353" t="s">
        <v>764</v>
      </c>
      <c r="B353" t="s">
        <v>765</v>
      </c>
      <c r="C353" t="s">
        <v>62</v>
      </c>
      <c r="D353" t="s">
        <v>49</v>
      </c>
      <c r="E353" s="1">
        <v>45969</v>
      </c>
      <c r="F353" s="1">
        <v>45972</v>
      </c>
      <c r="G353" t="s">
        <v>71</v>
      </c>
      <c r="H353" t="s">
        <v>23</v>
      </c>
      <c r="I353" t="s">
        <v>37</v>
      </c>
      <c r="J353">
        <v>47</v>
      </c>
      <c r="K353" t="s">
        <v>25</v>
      </c>
      <c r="L353" t="s">
        <v>32</v>
      </c>
      <c r="M353" t="s">
        <v>52</v>
      </c>
      <c r="N353">
        <v>2.2999999999999998</v>
      </c>
      <c r="O353" s="3">
        <v>6763.12</v>
      </c>
      <c r="P353">
        <v>0</v>
      </c>
      <c r="Q353">
        <v>4.4000000000000004</v>
      </c>
      <c r="R353">
        <v>0.84</v>
      </c>
      <c r="S353" t="str">
        <f t="shared" si="5"/>
        <v>November</v>
      </c>
    </row>
    <row r="354" spans="1:19" x14ac:dyDescent="0.2">
      <c r="A354" t="s">
        <v>766</v>
      </c>
      <c r="B354" t="s">
        <v>767</v>
      </c>
      <c r="C354" t="s">
        <v>58</v>
      </c>
      <c r="D354" t="s">
        <v>35</v>
      </c>
      <c r="E354" s="1">
        <v>45852</v>
      </c>
      <c r="F354" s="1">
        <v>45853</v>
      </c>
      <c r="G354" t="s">
        <v>68</v>
      </c>
      <c r="H354" t="s">
        <v>23</v>
      </c>
      <c r="I354" t="s">
        <v>45</v>
      </c>
      <c r="J354">
        <v>61</v>
      </c>
      <c r="K354" t="s">
        <v>38</v>
      </c>
      <c r="L354" t="s">
        <v>32</v>
      </c>
      <c r="M354" t="s">
        <v>52</v>
      </c>
      <c r="N354">
        <v>0.7</v>
      </c>
      <c r="O354" s="3">
        <v>6763.12</v>
      </c>
      <c r="P354">
        <v>0</v>
      </c>
      <c r="Q354">
        <v>3.6</v>
      </c>
      <c r="R354">
        <v>0.71</v>
      </c>
      <c r="S354" t="str">
        <f t="shared" si="5"/>
        <v>July</v>
      </c>
    </row>
    <row r="355" spans="1:19" x14ac:dyDescent="0.2">
      <c r="A355" t="s">
        <v>768</v>
      </c>
      <c r="B355" t="s">
        <v>769</v>
      </c>
      <c r="C355" t="s">
        <v>20</v>
      </c>
      <c r="D355" t="s">
        <v>35</v>
      </c>
      <c r="E355" s="1">
        <v>45883</v>
      </c>
      <c r="F355" s="1">
        <v>45887</v>
      </c>
      <c r="G355" t="s">
        <v>71</v>
      </c>
      <c r="H355" t="s">
        <v>50</v>
      </c>
      <c r="I355" t="s">
        <v>31</v>
      </c>
      <c r="J355">
        <v>2</v>
      </c>
      <c r="K355" t="s">
        <v>103</v>
      </c>
      <c r="L355" t="s">
        <v>26</v>
      </c>
      <c r="M355" t="s">
        <v>39</v>
      </c>
      <c r="N355">
        <v>3.7</v>
      </c>
      <c r="O355" s="3">
        <v>6763.12</v>
      </c>
      <c r="P355">
        <v>0</v>
      </c>
      <c r="Q355">
        <v>3.4</v>
      </c>
      <c r="R355">
        <v>0.79</v>
      </c>
      <c r="S355" t="str">
        <f t="shared" si="5"/>
        <v>August</v>
      </c>
    </row>
    <row r="356" spans="1:19" x14ac:dyDescent="0.2">
      <c r="A356" t="s">
        <v>770</v>
      </c>
      <c r="B356" t="s">
        <v>771</v>
      </c>
      <c r="C356" t="s">
        <v>122</v>
      </c>
      <c r="D356" t="s">
        <v>49</v>
      </c>
      <c r="E356" s="1">
        <v>45825</v>
      </c>
      <c r="F356" s="1">
        <v>45829</v>
      </c>
      <c r="G356" t="s">
        <v>99</v>
      </c>
      <c r="H356" t="s">
        <v>44</v>
      </c>
      <c r="I356" t="s">
        <v>37</v>
      </c>
      <c r="J356">
        <v>57</v>
      </c>
      <c r="K356" t="s">
        <v>38</v>
      </c>
      <c r="L356" t="s">
        <v>26</v>
      </c>
      <c r="M356" t="s">
        <v>27</v>
      </c>
      <c r="N356">
        <v>3.4</v>
      </c>
      <c r="O356" s="3">
        <v>6763.12</v>
      </c>
      <c r="P356">
        <v>1</v>
      </c>
      <c r="Q356">
        <v>4.7</v>
      </c>
      <c r="R356">
        <v>0.81</v>
      </c>
      <c r="S356" t="str">
        <f t="shared" si="5"/>
        <v>June</v>
      </c>
    </row>
    <row r="357" spans="1:19" x14ac:dyDescent="0.2">
      <c r="A357" t="s">
        <v>772</v>
      </c>
      <c r="B357" t="s">
        <v>773</v>
      </c>
      <c r="C357" t="s">
        <v>20</v>
      </c>
      <c r="D357" t="s">
        <v>42</v>
      </c>
      <c r="E357" s="1">
        <v>45717</v>
      </c>
      <c r="F357" s="1">
        <v>45723</v>
      </c>
      <c r="G357" t="s">
        <v>43</v>
      </c>
      <c r="H357" t="s">
        <v>23</v>
      </c>
      <c r="I357" t="s">
        <v>37</v>
      </c>
      <c r="J357">
        <v>23</v>
      </c>
      <c r="K357" t="s">
        <v>78</v>
      </c>
      <c r="L357" t="s">
        <v>32</v>
      </c>
      <c r="M357" t="s">
        <v>39</v>
      </c>
      <c r="N357">
        <v>5.2</v>
      </c>
      <c r="O357" s="3">
        <v>6763.12</v>
      </c>
      <c r="P357">
        <v>0</v>
      </c>
      <c r="Q357">
        <v>4.0999999999999996</v>
      </c>
      <c r="R357">
        <v>0.82</v>
      </c>
      <c r="S357" t="str">
        <f t="shared" si="5"/>
        <v>March</v>
      </c>
    </row>
    <row r="358" spans="1:19" x14ac:dyDescent="0.2">
      <c r="A358" t="s">
        <v>774</v>
      </c>
      <c r="B358" t="s">
        <v>775</v>
      </c>
      <c r="C358" t="s">
        <v>122</v>
      </c>
      <c r="D358" t="s">
        <v>35</v>
      </c>
      <c r="E358" s="1">
        <v>45985</v>
      </c>
      <c r="F358" s="1">
        <v>45987</v>
      </c>
      <c r="G358" t="s">
        <v>116</v>
      </c>
      <c r="H358" t="s">
        <v>44</v>
      </c>
      <c r="I358" t="s">
        <v>100</v>
      </c>
      <c r="J358">
        <v>25</v>
      </c>
      <c r="K358" t="s">
        <v>78</v>
      </c>
      <c r="L358" t="s">
        <v>26</v>
      </c>
      <c r="M358" t="s">
        <v>52</v>
      </c>
      <c r="N358">
        <v>1.6</v>
      </c>
      <c r="O358" s="3">
        <v>6763.12</v>
      </c>
      <c r="P358">
        <v>0</v>
      </c>
      <c r="Q358">
        <v>4.7</v>
      </c>
      <c r="R358">
        <v>0.76</v>
      </c>
      <c r="S358" t="str">
        <f t="shared" si="5"/>
        <v>November</v>
      </c>
    </row>
    <row r="359" spans="1:19" x14ac:dyDescent="0.2">
      <c r="A359" t="s">
        <v>776</v>
      </c>
      <c r="B359" t="s">
        <v>777</v>
      </c>
      <c r="C359" t="s">
        <v>62</v>
      </c>
      <c r="D359" t="s">
        <v>21</v>
      </c>
      <c r="E359" s="1">
        <v>45940</v>
      </c>
      <c r="F359" s="1">
        <v>45943</v>
      </c>
      <c r="G359" t="s">
        <v>63</v>
      </c>
      <c r="H359" t="s">
        <v>23</v>
      </c>
      <c r="I359" t="s">
        <v>64</v>
      </c>
      <c r="J359">
        <v>56</v>
      </c>
      <c r="K359" t="s">
        <v>38</v>
      </c>
      <c r="L359" t="s">
        <v>26</v>
      </c>
      <c r="M359" t="s">
        <v>52</v>
      </c>
      <c r="N359">
        <v>2.5</v>
      </c>
      <c r="O359" s="3">
        <v>6763.12</v>
      </c>
      <c r="P359">
        <v>0</v>
      </c>
      <c r="Q359">
        <v>3.9</v>
      </c>
      <c r="R359">
        <v>0.74</v>
      </c>
      <c r="S359" t="str">
        <f t="shared" si="5"/>
        <v>October</v>
      </c>
    </row>
    <row r="360" spans="1:19" x14ac:dyDescent="0.2">
      <c r="A360" t="s">
        <v>778</v>
      </c>
      <c r="B360" t="s">
        <v>779</v>
      </c>
      <c r="C360" t="s">
        <v>20</v>
      </c>
      <c r="D360" t="s">
        <v>42</v>
      </c>
      <c r="E360" s="1">
        <v>46021</v>
      </c>
      <c r="F360" s="1">
        <v>46027</v>
      </c>
      <c r="G360" t="s">
        <v>59</v>
      </c>
      <c r="H360" t="s">
        <v>23</v>
      </c>
      <c r="I360" t="s">
        <v>45</v>
      </c>
      <c r="J360">
        <v>0</v>
      </c>
      <c r="K360" t="s">
        <v>103</v>
      </c>
      <c r="L360" t="s">
        <v>26</v>
      </c>
      <c r="M360" t="s">
        <v>27</v>
      </c>
      <c r="N360">
        <v>5.4</v>
      </c>
      <c r="O360" s="3">
        <v>6763.12</v>
      </c>
      <c r="P360">
        <v>0</v>
      </c>
      <c r="Q360">
        <v>4.0999999999999996</v>
      </c>
      <c r="R360">
        <v>0.77</v>
      </c>
      <c r="S360" t="str">
        <f t="shared" si="5"/>
        <v>December</v>
      </c>
    </row>
    <row r="361" spans="1:19" x14ac:dyDescent="0.2">
      <c r="A361" t="s">
        <v>780</v>
      </c>
      <c r="B361" t="s">
        <v>781</v>
      </c>
      <c r="C361" t="s">
        <v>20</v>
      </c>
      <c r="D361" t="s">
        <v>42</v>
      </c>
      <c r="E361" s="1">
        <v>45970</v>
      </c>
      <c r="F361" s="1">
        <v>45973</v>
      </c>
      <c r="G361" t="s">
        <v>36</v>
      </c>
      <c r="H361" t="s">
        <v>50</v>
      </c>
      <c r="I361" t="s">
        <v>100</v>
      </c>
      <c r="J361">
        <v>14</v>
      </c>
      <c r="K361" t="s">
        <v>46</v>
      </c>
      <c r="L361" t="s">
        <v>32</v>
      </c>
      <c r="M361" t="s">
        <v>27</v>
      </c>
      <c r="N361">
        <v>2.2000000000000002</v>
      </c>
      <c r="O361" s="3">
        <v>6763.12</v>
      </c>
      <c r="P361">
        <v>0</v>
      </c>
      <c r="Q361">
        <v>4.0999999999999996</v>
      </c>
      <c r="R361">
        <v>0.78</v>
      </c>
      <c r="S361" t="str">
        <f t="shared" si="5"/>
        <v>November</v>
      </c>
    </row>
    <row r="362" spans="1:19" x14ac:dyDescent="0.2">
      <c r="A362" t="s">
        <v>782</v>
      </c>
      <c r="B362" t="s">
        <v>783</v>
      </c>
      <c r="C362" t="s">
        <v>122</v>
      </c>
      <c r="D362" t="s">
        <v>42</v>
      </c>
      <c r="E362" s="1">
        <v>45764</v>
      </c>
      <c r="F362" s="1">
        <v>45765</v>
      </c>
      <c r="G362" t="s">
        <v>116</v>
      </c>
      <c r="H362" t="s">
        <v>23</v>
      </c>
      <c r="I362" t="s">
        <v>81</v>
      </c>
      <c r="J362">
        <v>41</v>
      </c>
      <c r="K362" t="s">
        <v>25</v>
      </c>
      <c r="L362" t="s">
        <v>32</v>
      </c>
      <c r="M362" t="s">
        <v>27</v>
      </c>
      <c r="N362">
        <v>0.5</v>
      </c>
      <c r="O362" s="3">
        <v>6763.12</v>
      </c>
      <c r="P362">
        <v>0</v>
      </c>
      <c r="Q362">
        <v>3.5</v>
      </c>
      <c r="R362">
        <v>0.74</v>
      </c>
      <c r="S362" t="str">
        <f t="shared" si="5"/>
        <v>April</v>
      </c>
    </row>
    <row r="363" spans="1:19" x14ac:dyDescent="0.2">
      <c r="A363" t="s">
        <v>784</v>
      </c>
      <c r="B363" t="s">
        <v>785</v>
      </c>
      <c r="C363" t="s">
        <v>58</v>
      </c>
      <c r="D363" t="s">
        <v>35</v>
      </c>
      <c r="E363" s="1">
        <v>45750</v>
      </c>
      <c r="F363" s="1">
        <v>45752</v>
      </c>
      <c r="G363" t="s">
        <v>59</v>
      </c>
      <c r="H363" t="s">
        <v>44</v>
      </c>
      <c r="I363" t="s">
        <v>81</v>
      </c>
      <c r="J363">
        <v>53</v>
      </c>
      <c r="K363" t="s">
        <v>38</v>
      </c>
      <c r="L363" t="s">
        <v>32</v>
      </c>
      <c r="M363" t="s">
        <v>27</v>
      </c>
      <c r="N363">
        <v>1.8</v>
      </c>
      <c r="O363" s="3">
        <v>6763.12</v>
      </c>
      <c r="P363">
        <v>1</v>
      </c>
      <c r="Q363">
        <v>3.7</v>
      </c>
      <c r="R363">
        <v>0.73</v>
      </c>
      <c r="S363" t="str">
        <f t="shared" si="5"/>
        <v>April</v>
      </c>
    </row>
    <row r="364" spans="1:19" x14ac:dyDescent="0.2">
      <c r="A364" t="s">
        <v>786</v>
      </c>
      <c r="B364" t="s">
        <v>787</v>
      </c>
      <c r="C364" t="s">
        <v>20</v>
      </c>
      <c r="D364" t="s">
        <v>35</v>
      </c>
      <c r="E364" s="1">
        <v>45748</v>
      </c>
      <c r="F364" s="1">
        <v>45757</v>
      </c>
      <c r="G364" t="s">
        <v>36</v>
      </c>
      <c r="H364" t="s">
        <v>50</v>
      </c>
      <c r="I364" t="s">
        <v>31</v>
      </c>
      <c r="J364">
        <v>9</v>
      </c>
      <c r="K364" t="s">
        <v>103</v>
      </c>
      <c r="L364" t="s">
        <v>26</v>
      </c>
      <c r="M364" t="s">
        <v>39</v>
      </c>
      <c r="N364">
        <v>8.1</v>
      </c>
      <c r="O364" s="3">
        <v>6763.12</v>
      </c>
      <c r="P364">
        <v>0</v>
      </c>
      <c r="Q364">
        <v>3</v>
      </c>
      <c r="R364">
        <v>0.83</v>
      </c>
      <c r="S364" t="str">
        <f t="shared" si="5"/>
        <v>April</v>
      </c>
    </row>
    <row r="365" spans="1:19" x14ac:dyDescent="0.2">
      <c r="A365" t="s">
        <v>788</v>
      </c>
      <c r="B365" t="s">
        <v>789</v>
      </c>
      <c r="C365" t="s">
        <v>30</v>
      </c>
      <c r="D365" t="s">
        <v>21</v>
      </c>
      <c r="E365" s="1">
        <v>45993</v>
      </c>
      <c r="F365" s="1">
        <v>45999</v>
      </c>
      <c r="G365" t="s">
        <v>36</v>
      </c>
      <c r="H365" t="s">
        <v>50</v>
      </c>
      <c r="I365" t="s">
        <v>24</v>
      </c>
      <c r="J365">
        <v>32</v>
      </c>
      <c r="K365" t="s">
        <v>78</v>
      </c>
      <c r="L365" t="s">
        <v>32</v>
      </c>
      <c r="M365" t="s">
        <v>27</v>
      </c>
      <c r="N365">
        <v>5.8</v>
      </c>
      <c r="O365" s="3">
        <v>6763.12</v>
      </c>
      <c r="P365">
        <v>0</v>
      </c>
      <c r="Q365">
        <v>4.2</v>
      </c>
      <c r="R365">
        <v>0.82</v>
      </c>
      <c r="S365" t="str">
        <f t="shared" si="5"/>
        <v>December</v>
      </c>
    </row>
    <row r="366" spans="1:19" x14ac:dyDescent="0.2">
      <c r="A366" t="s">
        <v>790</v>
      </c>
      <c r="B366" t="s">
        <v>791</v>
      </c>
      <c r="C366" t="s">
        <v>62</v>
      </c>
      <c r="D366" t="s">
        <v>35</v>
      </c>
      <c r="E366" s="1">
        <v>45861</v>
      </c>
      <c r="F366" s="1">
        <v>45864</v>
      </c>
      <c r="G366" t="s">
        <v>43</v>
      </c>
      <c r="H366" t="s">
        <v>50</v>
      </c>
      <c r="I366" t="s">
        <v>55</v>
      </c>
      <c r="J366">
        <v>27</v>
      </c>
      <c r="K366" t="s">
        <v>78</v>
      </c>
      <c r="L366" t="s">
        <v>26</v>
      </c>
      <c r="M366" t="s">
        <v>27</v>
      </c>
      <c r="N366">
        <v>2.9</v>
      </c>
      <c r="O366" s="3">
        <v>6763.12</v>
      </c>
      <c r="P366">
        <v>0</v>
      </c>
      <c r="Q366">
        <v>4.4000000000000004</v>
      </c>
      <c r="R366">
        <v>0.88</v>
      </c>
      <c r="S366" t="str">
        <f t="shared" si="5"/>
        <v>July</v>
      </c>
    </row>
    <row r="367" spans="1:19" x14ac:dyDescent="0.2">
      <c r="A367" t="s">
        <v>792</v>
      </c>
      <c r="B367" t="s">
        <v>793</v>
      </c>
      <c r="C367" t="s">
        <v>122</v>
      </c>
      <c r="D367" t="s">
        <v>42</v>
      </c>
      <c r="E367" s="1">
        <v>45823</v>
      </c>
      <c r="F367" s="1">
        <v>45829</v>
      </c>
      <c r="G367" t="s">
        <v>63</v>
      </c>
      <c r="H367" t="s">
        <v>44</v>
      </c>
      <c r="I367" t="s">
        <v>117</v>
      </c>
      <c r="J367">
        <v>48</v>
      </c>
      <c r="K367" t="s">
        <v>25</v>
      </c>
      <c r="L367" t="s">
        <v>32</v>
      </c>
      <c r="M367" t="s">
        <v>27</v>
      </c>
      <c r="N367">
        <v>5.3</v>
      </c>
      <c r="O367" s="3">
        <v>6763.12</v>
      </c>
      <c r="P367">
        <v>0</v>
      </c>
      <c r="Q367">
        <v>4.5</v>
      </c>
      <c r="R367">
        <v>0.72</v>
      </c>
      <c r="S367" t="str">
        <f t="shared" si="5"/>
        <v>June</v>
      </c>
    </row>
    <row r="368" spans="1:19" x14ac:dyDescent="0.2">
      <c r="A368" t="s">
        <v>794</v>
      </c>
      <c r="B368" t="s">
        <v>795</v>
      </c>
      <c r="C368" t="s">
        <v>20</v>
      </c>
      <c r="D368" t="s">
        <v>35</v>
      </c>
      <c r="E368" s="1">
        <v>46011</v>
      </c>
      <c r="F368" s="1">
        <v>46013</v>
      </c>
      <c r="G368" t="s">
        <v>50</v>
      </c>
      <c r="H368" t="s">
        <v>50</v>
      </c>
      <c r="I368" t="s">
        <v>100</v>
      </c>
      <c r="J368">
        <v>27</v>
      </c>
      <c r="K368" t="s">
        <v>78</v>
      </c>
      <c r="L368" t="s">
        <v>26</v>
      </c>
      <c r="M368" t="s">
        <v>39</v>
      </c>
      <c r="N368">
        <v>1.8</v>
      </c>
      <c r="O368" s="3">
        <v>6763.12</v>
      </c>
      <c r="P368">
        <v>0</v>
      </c>
      <c r="Q368">
        <v>4.0999999999999996</v>
      </c>
      <c r="R368">
        <v>0.79</v>
      </c>
      <c r="S368" t="str">
        <f t="shared" si="5"/>
        <v>December</v>
      </c>
    </row>
    <row r="369" spans="1:19" x14ac:dyDescent="0.2">
      <c r="A369" t="s">
        <v>796</v>
      </c>
      <c r="B369" t="s">
        <v>797</v>
      </c>
      <c r="C369" t="s">
        <v>30</v>
      </c>
      <c r="D369" t="s">
        <v>49</v>
      </c>
      <c r="E369" s="1">
        <v>45878</v>
      </c>
      <c r="F369" s="1">
        <v>45879</v>
      </c>
      <c r="G369" t="s">
        <v>50</v>
      </c>
      <c r="H369" t="s">
        <v>23</v>
      </c>
      <c r="I369" t="s">
        <v>117</v>
      </c>
      <c r="J369">
        <v>0</v>
      </c>
      <c r="K369" t="s">
        <v>103</v>
      </c>
      <c r="L369" t="s">
        <v>26</v>
      </c>
      <c r="M369" t="s">
        <v>27</v>
      </c>
      <c r="N369">
        <v>0.6</v>
      </c>
      <c r="O369" s="3">
        <v>6763.12</v>
      </c>
      <c r="P369">
        <v>0</v>
      </c>
      <c r="Q369">
        <v>3.6</v>
      </c>
      <c r="R369">
        <v>0.74</v>
      </c>
      <c r="S369" t="str">
        <f t="shared" si="5"/>
        <v>August</v>
      </c>
    </row>
    <row r="370" spans="1:19" x14ac:dyDescent="0.2">
      <c r="A370" t="s">
        <v>798</v>
      </c>
      <c r="B370" t="s">
        <v>799</v>
      </c>
      <c r="C370" t="s">
        <v>20</v>
      </c>
      <c r="D370" t="s">
        <v>42</v>
      </c>
      <c r="E370" s="1">
        <v>45989</v>
      </c>
      <c r="F370" s="1">
        <v>45991</v>
      </c>
      <c r="G370" t="s">
        <v>63</v>
      </c>
      <c r="H370" t="s">
        <v>23</v>
      </c>
      <c r="I370" t="s">
        <v>31</v>
      </c>
      <c r="J370">
        <v>48</v>
      </c>
      <c r="K370" t="s">
        <v>25</v>
      </c>
      <c r="L370" t="s">
        <v>26</v>
      </c>
      <c r="M370" t="s">
        <v>39</v>
      </c>
      <c r="N370">
        <v>1.4</v>
      </c>
      <c r="O370" s="3">
        <v>6763.12</v>
      </c>
      <c r="P370">
        <v>0</v>
      </c>
      <c r="Q370">
        <v>4.8</v>
      </c>
      <c r="R370">
        <v>0.78</v>
      </c>
      <c r="S370" t="str">
        <f t="shared" si="5"/>
        <v>November</v>
      </c>
    </row>
    <row r="371" spans="1:19" x14ac:dyDescent="0.2">
      <c r="A371" t="s">
        <v>800</v>
      </c>
      <c r="B371" t="s">
        <v>801</v>
      </c>
      <c r="C371" t="s">
        <v>58</v>
      </c>
      <c r="D371" t="s">
        <v>42</v>
      </c>
      <c r="E371" s="1">
        <v>46017</v>
      </c>
      <c r="F371" s="1">
        <v>46025</v>
      </c>
      <c r="G371" t="s">
        <v>63</v>
      </c>
      <c r="H371" t="s">
        <v>44</v>
      </c>
      <c r="I371" t="s">
        <v>100</v>
      </c>
      <c r="J371">
        <v>77</v>
      </c>
      <c r="K371" t="s">
        <v>65</v>
      </c>
      <c r="L371" t="s">
        <v>26</v>
      </c>
      <c r="M371" t="s">
        <v>27</v>
      </c>
      <c r="N371">
        <v>7.7</v>
      </c>
      <c r="O371" s="3">
        <v>6763.12</v>
      </c>
      <c r="P371">
        <v>1</v>
      </c>
      <c r="Q371">
        <v>4.2</v>
      </c>
      <c r="R371">
        <v>0.71</v>
      </c>
      <c r="S371" t="str">
        <f t="shared" si="5"/>
        <v>December</v>
      </c>
    </row>
    <row r="372" spans="1:19" x14ac:dyDescent="0.2">
      <c r="A372" t="s">
        <v>802</v>
      </c>
      <c r="B372" t="s">
        <v>803</v>
      </c>
      <c r="C372" t="s">
        <v>62</v>
      </c>
      <c r="D372" t="s">
        <v>49</v>
      </c>
      <c r="E372" s="1">
        <v>45686</v>
      </c>
      <c r="F372" s="1">
        <v>45687</v>
      </c>
      <c r="G372" t="s">
        <v>71</v>
      </c>
      <c r="H372" t="s">
        <v>50</v>
      </c>
      <c r="I372" t="s">
        <v>55</v>
      </c>
      <c r="J372">
        <v>53</v>
      </c>
      <c r="K372" t="s">
        <v>38</v>
      </c>
      <c r="L372" t="s">
        <v>26</v>
      </c>
      <c r="M372" t="s">
        <v>52</v>
      </c>
      <c r="N372">
        <v>0.4</v>
      </c>
      <c r="O372" s="3">
        <v>6763.12</v>
      </c>
      <c r="P372">
        <v>0</v>
      </c>
      <c r="Q372">
        <v>4.7</v>
      </c>
      <c r="R372">
        <v>0.89</v>
      </c>
      <c r="S372" t="str">
        <f t="shared" si="5"/>
        <v>January</v>
      </c>
    </row>
    <row r="373" spans="1:19" x14ac:dyDescent="0.2">
      <c r="A373" t="s">
        <v>804</v>
      </c>
      <c r="B373" t="s">
        <v>805</v>
      </c>
      <c r="C373" t="s">
        <v>30</v>
      </c>
      <c r="D373" t="s">
        <v>42</v>
      </c>
      <c r="E373" s="1">
        <v>45789</v>
      </c>
      <c r="F373" s="1">
        <v>45792</v>
      </c>
      <c r="G373" t="s">
        <v>22</v>
      </c>
      <c r="H373" t="s">
        <v>23</v>
      </c>
      <c r="I373" t="s">
        <v>64</v>
      </c>
      <c r="J373">
        <v>32</v>
      </c>
      <c r="K373" t="s">
        <v>78</v>
      </c>
      <c r="L373" t="s">
        <v>32</v>
      </c>
      <c r="M373" t="s">
        <v>27</v>
      </c>
      <c r="N373">
        <v>2.8</v>
      </c>
      <c r="O373" s="3">
        <v>6763.12</v>
      </c>
      <c r="P373">
        <v>0</v>
      </c>
      <c r="Q373">
        <v>4.8</v>
      </c>
      <c r="R373">
        <v>0.84</v>
      </c>
      <c r="S373" t="str">
        <f t="shared" si="5"/>
        <v>May</v>
      </c>
    </row>
    <row r="374" spans="1:19" x14ac:dyDescent="0.2">
      <c r="A374" t="s">
        <v>806</v>
      </c>
      <c r="B374" t="s">
        <v>807</v>
      </c>
      <c r="C374" t="s">
        <v>62</v>
      </c>
      <c r="D374" t="s">
        <v>35</v>
      </c>
      <c r="E374" s="1">
        <v>45925</v>
      </c>
      <c r="F374" s="1">
        <v>45928</v>
      </c>
      <c r="G374" t="s">
        <v>22</v>
      </c>
      <c r="H374" t="s">
        <v>44</v>
      </c>
      <c r="I374" t="s">
        <v>51</v>
      </c>
      <c r="J374">
        <v>43</v>
      </c>
      <c r="K374" t="s">
        <v>25</v>
      </c>
      <c r="L374" t="s">
        <v>26</v>
      </c>
      <c r="M374" t="s">
        <v>39</v>
      </c>
      <c r="N374">
        <v>2.2999999999999998</v>
      </c>
      <c r="O374" s="3">
        <v>6763.12</v>
      </c>
      <c r="P374">
        <v>0</v>
      </c>
      <c r="Q374">
        <v>3.8</v>
      </c>
      <c r="R374">
        <v>0.88</v>
      </c>
      <c r="S374" t="str">
        <f t="shared" si="5"/>
        <v>September</v>
      </c>
    </row>
    <row r="375" spans="1:19" x14ac:dyDescent="0.2">
      <c r="A375" t="s">
        <v>808</v>
      </c>
      <c r="B375" t="s">
        <v>809</v>
      </c>
      <c r="C375" t="s">
        <v>58</v>
      </c>
      <c r="D375" t="s">
        <v>21</v>
      </c>
      <c r="E375" s="1">
        <v>45954</v>
      </c>
      <c r="F375" s="1">
        <v>45961</v>
      </c>
      <c r="G375" t="s">
        <v>36</v>
      </c>
      <c r="H375" t="s">
        <v>50</v>
      </c>
      <c r="I375" t="s">
        <v>37</v>
      </c>
      <c r="J375">
        <v>12</v>
      </c>
      <c r="K375" t="s">
        <v>103</v>
      </c>
      <c r="L375" t="s">
        <v>26</v>
      </c>
      <c r="M375" t="s">
        <v>27</v>
      </c>
      <c r="N375">
        <v>7</v>
      </c>
      <c r="O375" s="3">
        <v>6763.12</v>
      </c>
      <c r="P375">
        <v>0</v>
      </c>
      <c r="Q375">
        <v>4.0999999999999996</v>
      </c>
      <c r="R375">
        <v>0.73</v>
      </c>
      <c r="S375" t="str">
        <f t="shared" si="5"/>
        <v>October</v>
      </c>
    </row>
    <row r="376" spans="1:19" x14ac:dyDescent="0.2">
      <c r="A376" t="s">
        <v>810</v>
      </c>
      <c r="B376" t="s">
        <v>811</v>
      </c>
      <c r="C376" t="s">
        <v>122</v>
      </c>
      <c r="D376" t="s">
        <v>35</v>
      </c>
      <c r="E376" s="1">
        <v>45712</v>
      </c>
      <c r="F376" s="1">
        <v>45714</v>
      </c>
      <c r="G376" t="s">
        <v>50</v>
      </c>
      <c r="H376" t="s">
        <v>23</v>
      </c>
      <c r="I376" t="s">
        <v>31</v>
      </c>
      <c r="J376">
        <v>21</v>
      </c>
      <c r="K376" t="s">
        <v>78</v>
      </c>
      <c r="L376" t="s">
        <v>26</v>
      </c>
      <c r="M376" t="s">
        <v>27</v>
      </c>
      <c r="N376">
        <v>1.5</v>
      </c>
      <c r="O376" s="3">
        <v>6763.12</v>
      </c>
      <c r="P376">
        <v>0</v>
      </c>
      <c r="Q376">
        <v>4.2</v>
      </c>
      <c r="R376">
        <v>0.74</v>
      </c>
      <c r="S376" t="str">
        <f t="shared" si="5"/>
        <v>February</v>
      </c>
    </row>
    <row r="377" spans="1:19" x14ac:dyDescent="0.2">
      <c r="A377" t="s">
        <v>812</v>
      </c>
      <c r="B377" t="s">
        <v>813</v>
      </c>
      <c r="C377" t="s">
        <v>30</v>
      </c>
      <c r="D377" t="s">
        <v>42</v>
      </c>
      <c r="E377" s="1">
        <v>45774</v>
      </c>
      <c r="F377" s="1">
        <v>45779</v>
      </c>
      <c r="G377" t="s">
        <v>99</v>
      </c>
      <c r="H377" t="s">
        <v>50</v>
      </c>
      <c r="I377" t="s">
        <v>37</v>
      </c>
      <c r="J377">
        <v>39</v>
      </c>
      <c r="K377" t="s">
        <v>25</v>
      </c>
      <c r="L377" t="s">
        <v>32</v>
      </c>
      <c r="M377" t="s">
        <v>27</v>
      </c>
      <c r="N377">
        <v>4.9000000000000004</v>
      </c>
      <c r="O377" s="3">
        <v>6763.12</v>
      </c>
      <c r="P377">
        <v>0</v>
      </c>
      <c r="Q377">
        <v>3.2</v>
      </c>
      <c r="R377">
        <v>0.78</v>
      </c>
      <c r="S377" t="str">
        <f t="shared" si="5"/>
        <v>April</v>
      </c>
    </row>
    <row r="378" spans="1:19" x14ac:dyDescent="0.2">
      <c r="A378" t="s">
        <v>814</v>
      </c>
      <c r="B378" t="s">
        <v>815</v>
      </c>
      <c r="C378" t="s">
        <v>122</v>
      </c>
      <c r="D378" t="s">
        <v>42</v>
      </c>
      <c r="E378" s="1">
        <v>45858</v>
      </c>
      <c r="F378" s="1">
        <v>45860</v>
      </c>
      <c r="G378" t="s">
        <v>43</v>
      </c>
      <c r="H378" t="s">
        <v>23</v>
      </c>
      <c r="I378" t="s">
        <v>31</v>
      </c>
      <c r="J378">
        <v>53</v>
      </c>
      <c r="K378" t="s">
        <v>38</v>
      </c>
      <c r="L378" t="s">
        <v>26</v>
      </c>
      <c r="M378" t="s">
        <v>27</v>
      </c>
      <c r="N378">
        <v>1.2</v>
      </c>
      <c r="O378" s="3">
        <v>6763.12</v>
      </c>
      <c r="P378">
        <v>0</v>
      </c>
      <c r="Q378">
        <v>3.2</v>
      </c>
      <c r="R378">
        <v>0.79</v>
      </c>
      <c r="S378" t="str">
        <f t="shared" si="5"/>
        <v>July</v>
      </c>
    </row>
    <row r="379" spans="1:19" x14ac:dyDescent="0.2">
      <c r="A379" t="s">
        <v>816</v>
      </c>
      <c r="B379" t="s">
        <v>817</v>
      </c>
      <c r="C379" t="s">
        <v>62</v>
      </c>
      <c r="D379" t="s">
        <v>35</v>
      </c>
      <c r="E379" s="1">
        <v>45949</v>
      </c>
      <c r="F379" s="1">
        <v>45956</v>
      </c>
      <c r="G379" t="s">
        <v>36</v>
      </c>
      <c r="H379" t="s">
        <v>50</v>
      </c>
      <c r="I379" t="s">
        <v>37</v>
      </c>
      <c r="J379">
        <v>44</v>
      </c>
      <c r="K379" t="s">
        <v>25</v>
      </c>
      <c r="L379" t="s">
        <v>32</v>
      </c>
      <c r="M379" t="s">
        <v>27</v>
      </c>
      <c r="N379">
        <v>6.1</v>
      </c>
      <c r="O379" s="3">
        <v>6763.12</v>
      </c>
      <c r="P379">
        <v>0</v>
      </c>
      <c r="Q379">
        <v>3.1</v>
      </c>
      <c r="R379">
        <v>0.91</v>
      </c>
      <c r="S379" t="str">
        <f t="shared" si="5"/>
        <v>October</v>
      </c>
    </row>
    <row r="380" spans="1:19" x14ac:dyDescent="0.2">
      <c r="A380" t="s">
        <v>818</v>
      </c>
      <c r="B380" t="s">
        <v>819</v>
      </c>
      <c r="C380" t="s">
        <v>122</v>
      </c>
      <c r="D380" t="s">
        <v>35</v>
      </c>
      <c r="E380" s="1">
        <v>45699</v>
      </c>
      <c r="F380" s="1">
        <v>45703</v>
      </c>
      <c r="G380" t="s">
        <v>116</v>
      </c>
      <c r="H380" t="s">
        <v>50</v>
      </c>
      <c r="I380" t="s">
        <v>45</v>
      </c>
      <c r="J380">
        <v>87</v>
      </c>
      <c r="K380" t="s">
        <v>65</v>
      </c>
      <c r="L380" t="s">
        <v>32</v>
      </c>
      <c r="M380" t="s">
        <v>39</v>
      </c>
      <c r="N380">
        <v>3.1</v>
      </c>
      <c r="O380" s="3">
        <v>6763.12</v>
      </c>
      <c r="P380">
        <v>1</v>
      </c>
      <c r="Q380">
        <v>3.8</v>
      </c>
      <c r="R380">
        <v>0.8</v>
      </c>
      <c r="S380" t="str">
        <f t="shared" si="5"/>
        <v>February</v>
      </c>
    </row>
    <row r="381" spans="1:19" x14ac:dyDescent="0.2">
      <c r="A381" t="s">
        <v>820</v>
      </c>
      <c r="B381" t="s">
        <v>821</v>
      </c>
      <c r="C381" t="s">
        <v>20</v>
      </c>
      <c r="D381" t="s">
        <v>21</v>
      </c>
      <c r="E381" s="1">
        <v>45877</v>
      </c>
      <c r="F381" s="1">
        <v>45879</v>
      </c>
      <c r="G381" t="s">
        <v>36</v>
      </c>
      <c r="H381" t="s">
        <v>50</v>
      </c>
      <c r="I381" t="s">
        <v>45</v>
      </c>
      <c r="J381">
        <v>58</v>
      </c>
      <c r="K381" t="s">
        <v>38</v>
      </c>
      <c r="L381" t="s">
        <v>32</v>
      </c>
      <c r="M381" t="s">
        <v>39</v>
      </c>
      <c r="N381">
        <v>1.7</v>
      </c>
      <c r="O381" s="3">
        <v>6763.12</v>
      </c>
      <c r="P381">
        <v>0</v>
      </c>
      <c r="Q381">
        <v>3.7</v>
      </c>
      <c r="R381">
        <v>0.79</v>
      </c>
      <c r="S381" t="str">
        <f t="shared" si="5"/>
        <v>August</v>
      </c>
    </row>
    <row r="382" spans="1:19" x14ac:dyDescent="0.2">
      <c r="A382" t="s">
        <v>822</v>
      </c>
      <c r="B382" t="s">
        <v>823</v>
      </c>
      <c r="C382" t="s">
        <v>58</v>
      </c>
      <c r="D382" t="s">
        <v>35</v>
      </c>
      <c r="E382" s="1">
        <v>45766</v>
      </c>
      <c r="F382" s="1">
        <v>45770</v>
      </c>
      <c r="G382" t="s">
        <v>36</v>
      </c>
      <c r="H382" t="s">
        <v>50</v>
      </c>
      <c r="I382" t="s">
        <v>55</v>
      </c>
      <c r="J382">
        <v>2</v>
      </c>
      <c r="K382" t="s">
        <v>103</v>
      </c>
      <c r="L382" t="s">
        <v>32</v>
      </c>
      <c r="M382" t="s">
        <v>27</v>
      </c>
      <c r="N382">
        <v>4</v>
      </c>
      <c r="O382" s="3">
        <v>6763.12</v>
      </c>
      <c r="P382">
        <v>1</v>
      </c>
      <c r="Q382">
        <v>3</v>
      </c>
      <c r="R382">
        <v>0.74</v>
      </c>
      <c r="S382" t="str">
        <f t="shared" si="5"/>
        <v>April</v>
      </c>
    </row>
    <row r="383" spans="1:19" x14ac:dyDescent="0.2">
      <c r="A383" t="s">
        <v>824</v>
      </c>
      <c r="B383" t="s">
        <v>825</v>
      </c>
      <c r="C383" t="s">
        <v>62</v>
      </c>
      <c r="D383" t="s">
        <v>42</v>
      </c>
      <c r="E383" s="1">
        <v>45736</v>
      </c>
      <c r="F383" s="1">
        <v>45737</v>
      </c>
      <c r="G383" t="s">
        <v>68</v>
      </c>
      <c r="H383" t="s">
        <v>50</v>
      </c>
      <c r="I383" t="s">
        <v>24</v>
      </c>
      <c r="J383">
        <v>47</v>
      </c>
      <c r="K383" t="s">
        <v>25</v>
      </c>
      <c r="L383" t="s">
        <v>32</v>
      </c>
      <c r="M383" t="s">
        <v>39</v>
      </c>
      <c r="N383">
        <v>1</v>
      </c>
      <c r="O383" s="3">
        <v>6763.12</v>
      </c>
      <c r="P383">
        <v>0</v>
      </c>
      <c r="Q383">
        <v>4</v>
      </c>
      <c r="R383">
        <v>0.84</v>
      </c>
      <c r="S383" t="str">
        <f t="shared" si="5"/>
        <v>March</v>
      </c>
    </row>
    <row r="384" spans="1:19" x14ac:dyDescent="0.2">
      <c r="A384" t="s">
        <v>826</v>
      </c>
      <c r="B384" t="s">
        <v>827</v>
      </c>
      <c r="C384" t="s">
        <v>58</v>
      </c>
      <c r="D384" t="s">
        <v>35</v>
      </c>
      <c r="E384" s="1">
        <v>45846</v>
      </c>
      <c r="F384" s="1">
        <v>45850</v>
      </c>
      <c r="G384" t="s">
        <v>71</v>
      </c>
      <c r="H384" t="s">
        <v>23</v>
      </c>
      <c r="I384" t="s">
        <v>37</v>
      </c>
      <c r="J384">
        <v>53</v>
      </c>
      <c r="K384" t="s">
        <v>38</v>
      </c>
      <c r="L384" t="s">
        <v>32</v>
      </c>
      <c r="M384" t="s">
        <v>39</v>
      </c>
      <c r="N384">
        <v>3.6</v>
      </c>
      <c r="O384" s="3">
        <v>6763.12</v>
      </c>
      <c r="P384">
        <v>0</v>
      </c>
      <c r="Q384">
        <v>3.8</v>
      </c>
      <c r="R384">
        <v>0.83</v>
      </c>
      <c r="S384" t="str">
        <f t="shared" si="5"/>
        <v>July</v>
      </c>
    </row>
    <row r="385" spans="1:19" x14ac:dyDescent="0.2">
      <c r="A385" t="s">
        <v>828</v>
      </c>
      <c r="B385" t="s">
        <v>829</v>
      </c>
      <c r="C385" t="s">
        <v>58</v>
      </c>
      <c r="D385" t="s">
        <v>42</v>
      </c>
      <c r="E385" s="1">
        <v>45809</v>
      </c>
      <c r="F385" s="1">
        <v>45821</v>
      </c>
      <c r="G385" t="s">
        <v>68</v>
      </c>
      <c r="H385" t="s">
        <v>50</v>
      </c>
      <c r="I385" t="s">
        <v>55</v>
      </c>
      <c r="J385">
        <v>3</v>
      </c>
      <c r="K385" t="s">
        <v>103</v>
      </c>
      <c r="L385" t="s">
        <v>26</v>
      </c>
      <c r="M385" t="s">
        <v>27</v>
      </c>
      <c r="N385">
        <v>11.1</v>
      </c>
      <c r="O385" s="3">
        <v>6763.12</v>
      </c>
      <c r="P385">
        <v>0</v>
      </c>
      <c r="Q385">
        <v>4.4000000000000004</v>
      </c>
      <c r="R385">
        <v>0.8</v>
      </c>
      <c r="S385" t="str">
        <f t="shared" si="5"/>
        <v>June</v>
      </c>
    </row>
    <row r="386" spans="1:19" x14ac:dyDescent="0.2">
      <c r="A386" t="s">
        <v>830</v>
      </c>
      <c r="B386" t="s">
        <v>831</v>
      </c>
      <c r="C386" t="s">
        <v>30</v>
      </c>
      <c r="D386" t="s">
        <v>49</v>
      </c>
      <c r="E386" s="1">
        <v>45890</v>
      </c>
      <c r="F386" s="1">
        <v>45893</v>
      </c>
      <c r="G386" t="s">
        <v>59</v>
      </c>
      <c r="H386" t="s">
        <v>50</v>
      </c>
      <c r="I386" t="s">
        <v>37</v>
      </c>
      <c r="J386">
        <v>35</v>
      </c>
      <c r="K386" t="s">
        <v>25</v>
      </c>
      <c r="L386" t="s">
        <v>32</v>
      </c>
      <c r="M386" t="s">
        <v>27</v>
      </c>
      <c r="N386">
        <v>2.5</v>
      </c>
      <c r="O386" s="3">
        <v>6763.12</v>
      </c>
      <c r="P386">
        <v>0</v>
      </c>
      <c r="Q386">
        <v>5</v>
      </c>
      <c r="R386">
        <v>0.83</v>
      </c>
      <c r="S386" t="str">
        <f t="shared" si="5"/>
        <v>August</v>
      </c>
    </row>
    <row r="387" spans="1:19" x14ac:dyDescent="0.2">
      <c r="A387" t="s">
        <v>832</v>
      </c>
      <c r="B387" t="s">
        <v>833</v>
      </c>
      <c r="C387" t="s">
        <v>62</v>
      </c>
      <c r="D387" t="s">
        <v>21</v>
      </c>
      <c r="E387" s="1">
        <v>45773</v>
      </c>
      <c r="F387" s="1">
        <v>45774</v>
      </c>
      <c r="G387" t="s">
        <v>116</v>
      </c>
      <c r="H387" t="s">
        <v>23</v>
      </c>
      <c r="I387" t="s">
        <v>51</v>
      </c>
      <c r="J387">
        <v>79</v>
      </c>
      <c r="K387" t="s">
        <v>65</v>
      </c>
      <c r="L387" t="s">
        <v>32</v>
      </c>
      <c r="M387" t="s">
        <v>27</v>
      </c>
      <c r="N387">
        <v>0.5</v>
      </c>
      <c r="O387" s="3">
        <v>6763.12</v>
      </c>
      <c r="P387">
        <v>0</v>
      </c>
      <c r="Q387">
        <v>4.2</v>
      </c>
      <c r="R387">
        <v>0.84</v>
      </c>
      <c r="S387" t="str">
        <f t="shared" ref="S387:S450" si="6">TEXT(E387, "mmmm")</f>
        <v>April</v>
      </c>
    </row>
    <row r="388" spans="1:19" x14ac:dyDescent="0.2">
      <c r="A388" t="s">
        <v>834</v>
      </c>
      <c r="B388" t="s">
        <v>835</v>
      </c>
      <c r="C388" t="s">
        <v>122</v>
      </c>
      <c r="D388" t="s">
        <v>35</v>
      </c>
      <c r="E388" s="1">
        <v>45958</v>
      </c>
      <c r="F388" s="1">
        <v>45959</v>
      </c>
      <c r="G388" t="s">
        <v>68</v>
      </c>
      <c r="H388" t="s">
        <v>23</v>
      </c>
      <c r="I388" t="s">
        <v>37</v>
      </c>
      <c r="J388">
        <v>32</v>
      </c>
      <c r="K388" t="s">
        <v>78</v>
      </c>
      <c r="L388" t="s">
        <v>26</v>
      </c>
      <c r="M388" t="s">
        <v>27</v>
      </c>
      <c r="N388">
        <v>0.8</v>
      </c>
      <c r="O388" s="3">
        <v>6763.12</v>
      </c>
      <c r="P388">
        <v>0</v>
      </c>
      <c r="Q388">
        <v>3.5</v>
      </c>
      <c r="R388">
        <v>0.79</v>
      </c>
      <c r="S388" t="str">
        <f t="shared" si="6"/>
        <v>October</v>
      </c>
    </row>
    <row r="389" spans="1:19" x14ac:dyDescent="0.2">
      <c r="A389" t="s">
        <v>836</v>
      </c>
      <c r="B389" t="s">
        <v>837</v>
      </c>
      <c r="C389" t="s">
        <v>30</v>
      </c>
      <c r="D389" t="s">
        <v>42</v>
      </c>
      <c r="E389" s="1">
        <v>45686</v>
      </c>
      <c r="F389" s="1">
        <v>45688</v>
      </c>
      <c r="G389" t="s">
        <v>22</v>
      </c>
      <c r="H389" t="s">
        <v>50</v>
      </c>
      <c r="I389" t="s">
        <v>64</v>
      </c>
      <c r="J389">
        <v>41</v>
      </c>
      <c r="K389" t="s">
        <v>25</v>
      </c>
      <c r="L389" t="s">
        <v>26</v>
      </c>
      <c r="M389" t="s">
        <v>39</v>
      </c>
      <c r="N389">
        <v>1.8</v>
      </c>
      <c r="O389" s="3">
        <v>6763.12</v>
      </c>
      <c r="P389">
        <v>0</v>
      </c>
      <c r="Q389">
        <v>4.3</v>
      </c>
      <c r="R389">
        <v>0.84</v>
      </c>
      <c r="S389" t="str">
        <f t="shared" si="6"/>
        <v>January</v>
      </c>
    </row>
    <row r="390" spans="1:19" x14ac:dyDescent="0.2">
      <c r="A390" t="s">
        <v>838</v>
      </c>
      <c r="B390" t="s">
        <v>839</v>
      </c>
      <c r="C390" t="s">
        <v>62</v>
      </c>
      <c r="D390" t="s">
        <v>49</v>
      </c>
      <c r="E390" s="1">
        <v>45972</v>
      </c>
      <c r="F390" s="1">
        <v>45977</v>
      </c>
      <c r="G390" t="s">
        <v>68</v>
      </c>
      <c r="H390" t="s">
        <v>44</v>
      </c>
      <c r="I390" t="s">
        <v>81</v>
      </c>
      <c r="J390">
        <v>20</v>
      </c>
      <c r="K390" t="s">
        <v>78</v>
      </c>
      <c r="L390" t="s">
        <v>32</v>
      </c>
      <c r="M390" t="s">
        <v>52</v>
      </c>
      <c r="N390">
        <v>4.2</v>
      </c>
      <c r="O390" s="3">
        <v>6763.12</v>
      </c>
      <c r="P390">
        <v>0</v>
      </c>
      <c r="Q390">
        <v>3.9</v>
      </c>
      <c r="R390">
        <v>0.82</v>
      </c>
      <c r="S390" t="str">
        <f t="shared" si="6"/>
        <v>November</v>
      </c>
    </row>
    <row r="391" spans="1:19" x14ac:dyDescent="0.2">
      <c r="A391" t="s">
        <v>840</v>
      </c>
      <c r="B391" t="s">
        <v>841</v>
      </c>
      <c r="C391" t="s">
        <v>30</v>
      </c>
      <c r="D391" t="s">
        <v>21</v>
      </c>
      <c r="E391" s="1">
        <v>45668</v>
      </c>
      <c r="F391" s="1">
        <v>45672</v>
      </c>
      <c r="G391" t="s">
        <v>99</v>
      </c>
      <c r="H391" t="s">
        <v>50</v>
      </c>
      <c r="I391" t="s">
        <v>64</v>
      </c>
      <c r="J391">
        <v>7</v>
      </c>
      <c r="K391" t="s">
        <v>103</v>
      </c>
      <c r="L391" t="s">
        <v>32</v>
      </c>
      <c r="M391" t="s">
        <v>52</v>
      </c>
      <c r="N391">
        <v>3.4</v>
      </c>
      <c r="O391" s="3">
        <v>6763.12</v>
      </c>
      <c r="P391">
        <v>0</v>
      </c>
      <c r="Q391">
        <v>3.8</v>
      </c>
      <c r="R391">
        <v>0.79</v>
      </c>
      <c r="S391" t="str">
        <f t="shared" si="6"/>
        <v>January</v>
      </c>
    </row>
    <row r="392" spans="1:19" x14ac:dyDescent="0.2">
      <c r="A392" t="s">
        <v>842</v>
      </c>
      <c r="B392" t="s">
        <v>843</v>
      </c>
      <c r="C392" t="s">
        <v>30</v>
      </c>
      <c r="D392" t="s">
        <v>21</v>
      </c>
      <c r="E392" s="1">
        <v>45926</v>
      </c>
      <c r="F392" s="1">
        <v>45927</v>
      </c>
      <c r="G392" t="s">
        <v>99</v>
      </c>
      <c r="H392" t="s">
        <v>23</v>
      </c>
      <c r="I392" t="s">
        <v>64</v>
      </c>
      <c r="J392">
        <v>28</v>
      </c>
      <c r="K392" t="s">
        <v>78</v>
      </c>
      <c r="L392" t="s">
        <v>26</v>
      </c>
      <c r="M392" t="s">
        <v>52</v>
      </c>
      <c r="N392">
        <v>0.8</v>
      </c>
      <c r="O392" s="3">
        <v>6763.12</v>
      </c>
      <c r="P392">
        <v>1</v>
      </c>
      <c r="Q392">
        <v>3.4</v>
      </c>
      <c r="R392">
        <v>0.86</v>
      </c>
      <c r="S392" t="str">
        <f t="shared" si="6"/>
        <v>September</v>
      </c>
    </row>
    <row r="393" spans="1:19" x14ac:dyDescent="0.2">
      <c r="A393" t="s">
        <v>844</v>
      </c>
      <c r="B393" t="s">
        <v>845</v>
      </c>
      <c r="C393" t="s">
        <v>58</v>
      </c>
      <c r="D393" t="s">
        <v>42</v>
      </c>
      <c r="E393" s="1">
        <v>45784</v>
      </c>
      <c r="F393" s="1">
        <v>45786</v>
      </c>
      <c r="G393" t="s">
        <v>50</v>
      </c>
      <c r="H393" t="s">
        <v>50</v>
      </c>
      <c r="I393" t="s">
        <v>55</v>
      </c>
      <c r="J393">
        <v>70</v>
      </c>
      <c r="K393" t="s">
        <v>169</v>
      </c>
      <c r="L393" t="s">
        <v>26</v>
      </c>
      <c r="M393" t="s">
        <v>39</v>
      </c>
      <c r="N393">
        <v>1.7</v>
      </c>
      <c r="O393" s="3">
        <v>6763.12</v>
      </c>
      <c r="P393">
        <v>0</v>
      </c>
      <c r="Q393">
        <v>3.4</v>
      </c>
      <c r="R393">
        <v>0.75</v>
      </c>
      <c r="S393" t="str">
        <f t="shared" si="6"/>
        <v>May</v>
      </c>
    </row>
    <row r="394" spans="1:19" x14ac:dyDescent="0.2">
      <c r="A394" t="s">
        <v>846</v>
      </c>
      <c r="B394" t="s">
        <v>847</v>
      </c>
      <c r="C394" t="s">
        <v>122</v>
      </c>
      <c r="D394" t="s">
        <v>42</v>
      </c>
      <c r="E394" s="1">
        <v>45797</v>
      </c>
      <c r="F394" s="1">
        <v>45798</v>
      </c>
      <c r="G394" t="s">
        <v>116</v>
      </c>
      <c r="H394" t="s">
        <v>23</v>
      </c>
      <c r="I394" t="s">
        <v>31</v>
      </c>
      <c r="J394">
        <v>89</v>
      </c>
      <c r="K394" t="s">
        <v>65</v>
      </c>
      <c r="L394" t="s">
        <v>26</v>
      </c>
      <c r="M394" t="s">
        <v>27</v>
      </c>
      <c r="N394">
        <v>0.3</v>
      </c>
      <c r="O394" s="3">
        <v>6763.12</v>
      </c>
      <c r="P394">
        <v>0</v>
      </c>
      <c r="Q394">
        <v>3.8</v>
      </c>
      <c r="R394">
        <v>0.82</v>
      </c>
      <c r="S394" t="str">
        <f t="shared" si="6"/>
        <v>May</v>
      </c>
    </row>
    <row r="395" spans="1:19" x14ac:dyDescent="0.2">
      <c r="A395" t="s">
        <v>848</v>
      </c>
      <c r="B395" t="s">
        <v>849</v>
      </c>
      <c r="C395" t="s">
        <v>30</v>
      </c>
      <c r="D395" t="s">
        <v>42</v>
      </c>
      <c r="E395" s="1">
        <v>45664</v>
      </c>
      <c r="F395" s="1">
        <v>45666</v>
      </c>
      <c r="G395" t="s">
        <v>71</v>
      </c>
      <c r="H395" t="s">
        <v>44</v>
      </c>
      <c r="I395" t="s">
        <v>55</v>
      </c>
      <c r="J395">
        <v>60</v>
      </c>
      <c r="K395" t="s">
        <v>38</v>
      </c>
      <c r="L395" t="s">
        <v>32</v>
      </c>
      <c r="M395" t="s">
        <v>27</v>
      </c>
      <c r="N395">
        <v>1.3</v>
      </c>
      <c r="O395" s="3">
        <v>6763.12</v>
      </c>
      <c r="P395">
        <v>0</v>
      </c>
      <c r="Q395">
        <v>4.4000000000000004</v>
      </c>
      <c r="R395">
        <v>0.89</v>
      </c>
      <c r="S395" t="str">
        <f t="shared" si="6"/>
        <v>January</v>
      </c>
    </row>
    <row r="396" spans="1:19" x14ac:dyDescent="0.2">
      <c r="A396" t="s">
        <v>850</v>
      </c>
      <c r="B396" t="s">
        <v>851</v>
      </c>
      <c r="C396" t="s">
        <v>58</v>
      </c>
      <c r="D396" t="s">
        <v>49</v>
      </c>
      <c r="E396" s="1">
        <v>45914</v>
      </c>
      <c r="F396" s="1">
        <v>45916</v>
      </c>
      <c r="G396" t="s">
        <v>36</v>
      </c>
      <c r="H396" t="s">
        <v>23</v>
      </c>
      <c r="I396" t="s">
        <v>81</v>
      </c>
      <c r="J396">
        <v>75</v>
      </c>
      <c r="K396" t="s">
        <v>65</v>
      </c>
      <c r="L396" t="s">
        <v>26</v>
      </c>
      <c r="M396" t="s">
        <v>27</v>
      </c>
      <c r="N396">
        <v>1.9</v>
      </c>
      <c r="O396" s="3">
        <v>6763.12</v>
      </c>
      <c r="P396">
        <v>0</v>
      </c>
      <c r="Q396">
        <v>4.2</v>
      </c>
      <c r="R396">
        <v>0.77</v>
      </c>
      <c r="S396" t="str">
        <f t="shared" si="6"/>
        <v>September</v>
      </c>
    </row>
    <row r="397" spans="1:19" x14ac:dyDescent="0.2">
      <c r="A397" t="s">
        <v>852</v>
      </c>
      <c r="B397" t="s">
        <v>853</v>
      </c>
      <c r="C397" t="s">
        <v>58</v>
      </c>
      <c r="D397" t="s">
        <v>42</v>
      </c>
      <c r="E397" s="1">
        <v>45718</v>
      </c>
      <c r="F397" s="1">
        <v>45724</v>
      </c>
      <c r="G397" t="s">
        <v>43</v>
      </c>
      <c r="H397" t="s">
        <v>23</v>
      </c>
      <c r="I397" t="s">
        <v>81</v>
      </c>
      <c r="J397">
        <v>59</v>
      </c>
      <c r="K397" t="s">
        <v>38</v>
      </c>
      <c r="L397" t="s">
        <v>26</v>
      </c>
      <c r="M397" t="s">
        <v>27</v>
      </c>
      <c r="N397">
        <v>5.7</v>
      </c>
      <c r="O397" s="3">
        <v>6763.12</v>
      </c>
      <c r="P397">
        <v>0</v>
      </c>
      <c r="Q397">
        <v>5</v>
      </c>
      <c r="R397">
        <v>0.76</v>
      </c>
      <c r="S397" t="str">
        <f t="shared" si="6"/>
        <v>March</v>
      </c>
    </row>
    <row r="398" spans="1:19" x14ac:dyDescent="0.2">
      <c r="A398" t="s">
        <v>854</v>
      </c>
      <c r="B398" t="s">
        <v>855</v>
      </c>
      <c r="C398" t="s">
        <v>62</v>
      </c>
      <c r="D398" t="s">
        <v>35</v>
      </c>
      <c r="E398" s="1">
        <v>45898</v>
      </c>
      <c r="F398" s="1">
        <v>45902</v>
      </c>
      <c r="G398" t="s">
        <v>99</v>
      </c>
      <c r="H398" t="s">
        <v>23</v>
      </c>
      <c r="I398" t="s">
        <v>24</v>
      </c>
      <c r="J398">
        <v>59</v>
      </c>
      <c r="K398" t="s">
        <v>38</v>
      </c>
      <c r="L398" t="s">
        <v>26</v>
      </c>
      <c r="M398" t="s">
        <v>27</v>
      </c>
      <c r="N398">
        <v>3.2</v>
      </c>
      <c r="O398" s="3">
        <v>6763.12</v>
      </c>
      <c r="P398">
        <v>0</v>
      </c>
      <c r="Q398">
        <v>4.3</v>
      </c>
      <c r="R398">
        <v>0.97</v>
      </c>
      <c r="S398" t="str">
        <f t="shared" si="6"/>
        <v>August</v>
      </c>
    </row>
    <row r="399" spans="1:19" x14ac:dyDescent="0.2">
      <c r="A399" t="s">
        <v>856</v>
      </c>
      <c r="B399" t="s">
        <v>857</v>
      </c>
      <c r="C399" t="s">
        <v>30</v>
      </c>
      <c r="D399" t="s">
        <v>49</v>
      </c>
      <c r="E399" s="1">
        <v>45922</v>
      </c>
      <c r="F399" s="1">
        <v>45926</v>
      </c>
      <c r="G399" t="s">
        <v>99</v>
      </c>
      <c r="H399" t="s">
        <v>50</v>
      </c>
      <c r="I399" t="s">
        <v>100</v>
      </c>
      <c r="J399">
        <v>38</v>
      </c>
      <c r="K399" t="s">
        <v>25</v>
      </c>
      <c r="L399" t="s">
        <v>26</v>
      </c>
      <c r="M399" t="s">
        <v>39</v>
      </c>
      <c r="N399">
        <v>3.6</v>
      </c>
      <c r="O399" s="3">
        <v>6763.12</v>
      </c>
      <c r="P399">
        <v>0</v>
      </c>
      <c r="Q399">
        <v>4.2</v>
      </c>
      <c r="R399">
        <v>0.83</v>
      </c>
      <c r="S399" t="str">
        <f t="shared" si="6"/>
        <v>September</v>
      </c>
    </row>
    <row r="400" spans="1:19" x14ac:dyDescent="0.2">
      <c r="A400" t="s">
        <v>858</v>
      </c>
      <c r="B400" t="s">
        <v>859</v>
      </c>
      <c r="C400" t="s">
        <v>20</v>
      </c>
      <c r="D400" t="s">
        <v>21</v>
      </c>
      <c r="E400" s="1">
        <v>45966</v>
      </c>
      <c r="F400" s="1">
        <v>45967</v>
      </c>
      <c r="G400" t="s">
        <v>36</v>
      </c>
      <c r="H400" t="s">
        <v>23</v>
      </c>
      <c r="I400" t="s">
        <v>117</v>
      </c>
      <c r="J400">
        <v>5</v>
      </c>
      <c r="K400" t="s">
        <v>103</v>
      </c>
      <c r="L400" t="s">
        <v>26</v>
      </c>
      <c r="M400" t="s">
        <v>27</v>
      </c>
      <c r="N400">
        <v>0.9</v>
      </c>
      <c r="O400" s="3">
        <v>6763.12</v>
      </c>
      <c r="P400">
        <v>0</v>
      </c>
      <c r="Q400">
        <v>3.7</v>
      </c>
      <c r="R400">
        <v>0.76</v>
      </c>
      <c r="S400" t="str">
        <f t="shared" si="6"/>
        <v>November</v>
      </c>
    </row>
    <row r="401" spans="1:19" x14ac:dyDescent="0.2">
      <c r="A401" t="s">
        <v>860</v>
      </c>
      <c r="B401" t="s">
        <v>861</v>
      </c>
      <c r="C401" t="s">
        <v>62</v>
      </c>
      <c r="D401" t="s">
        <v>49</v>
      </c>
      <c r="E401" s="1">
        <v>45916</v>
      </c>
      <c r="F401" s="1">
        <v>45918</v>
      </c>
      <c r="G401" t="s">
        <v>68</v>
      </c>
      <c r="H401" t="s">
        <v>23</v>
      </c>
      <c r="I401" t="s">
        <v>64</v>
      </c>
      <c r="J401">
        <v>37</v>
      </c>
      <c r="K401" t="s">
        <v>25</v>
      </c>
      <c r="L401" t="s">
        <v>26</v>
      </c>
      <c r="M401" t="s">
        <v>27</v>
      </c>
      <c r="N401">
        <v>1.6</v>
      </c>
      <c r="O401" s="3">
        <v>6763.12</v>
      </c>
      <c r="P401">
        <v>0</v>
      </c>
      <c r="Q401">
        <v>3.3</v>
      </c>
      <c r="R401">
        <v>0.83</v>
      </c>
      <c r="S401" t="str">
        <f t="shared" si="6"/>
        <v>September</v>
      </c>
    </row>
    <row r="402" spans="1:19" x14ac:dyDescent="0.2">
      <c r="A402" t="s">
        <v>862</v>
      </c>
      <c r="B402" t="s">
        <v>863</v>
      </c>
      <c r="C402" t="s">
        <v>30</v>
      </c>
      <c r="D402" t="s">
        <v>42</v>
      </c>
      <c r="E402" s="1">
        <v>45768</v>
      </c>
      <c r="F402" s="1">
        <v>45775</v>
      </c>
      <c r="G402" t="s">
        <v>36</v>
      </c>
      <c r="H402" t="s">
        <v>44</v>
      </c>
      <c r="I402" t="s">
        <v>100</v>
      </c>
      <c r="J402">
        <v>78</v>
      </c>
      <c r="K402" t="s">
        <v>65</v>
      </c>
      <c r="L402" t="s">
        <v>26</v>
      </c>
      <c r="M402" t="s">
        <v>39</v>
      </c>
      <c r="N402">
        <v>6.3</v>
      </c>
      <c r="O402" s="3">
        <v>6763.12</v>
      </c>
      <c r="P402">
        <v>0</v>
      </c>
      <c r="Q402">
        <v>3.6</v>
      </c>
      <c r="R402">
        <v>0.88</v>
      </c>
      <c r="S402" t="str">
        <f t="shared" si="6"/>
        <v>April</v>
      </c>
    </row>
    <row r="403" spans="1:19" x14ac:dyDescent="0.2">
      <c r="A403" t="s">
        <v>864</v>
      </c>
      <c r="B403" t="s">
        <v>865</v>
      </c>
      <c r="C403" t="s">
        <v>30</v>
      </c>
      <c r="D403" t="s">
        <v>42</v>
      </c>
      <c r="E403" s="1">
        <v>45927</v>
      </c>
      <c r="F403" s="1">
        <v>45929</v>
      </c>
      <c r="G403" t="s">
        <v>50</v>
      </c>
      <c r="H403" t="s">
        <v>50</v>
      </c>
      <c r="I403" t="s">
        <v>31</v>
      </c>
      <c r="J403">
        <v>48</v>
      </c>
      <c r="K403" t="s">
        <v>25</v>
      </c>
      <c r="L403" t="s">
        <v>26</v>
      </c>
      <c r="M403" t="s">
        <v>27</v>
      </c>
      <c r="N403">
        <v>1.4</v>
      </c>
      <c r="O403" s="3">
        <v>6763.12</v>
      </c>
      <c r="P403">
        <v>0</v>
      </c>
      <c r="Q403">
        <v>3.3</v>
      </c>
      <c r="R403">
        <v>0.77</v>
      </c>
      <c r="S403" t="str">
        <f t="shared" si="6"/>
        <v>September</v>
      </c>
    </row>
    <row r="404" spans="1:19" x14ac:dyDescent="0.2">
      <c r="A404" t="s">
        <v>866</v>
      </c>
      <c r="B404" t="s">
        <v>867</v>
      </c>
      <c r="C404" t="s">
        <v>30</v>
      </c>
      <c r="D404" t="s">
        <v>21</v>
      </c>
      <c r="E404" s="1">
        <v>45959</v>
      </c>
      <c r="F404" s="1">
        <v>45964</v>
      </c>
      <c r="G404" t="s">
        <v>43</v>
      </c>
      <c r="H404" t="s">
        <v>50</v>
      </c>
      <c r="I404" t="s">
        <v>31</v>
      </c>
      <c r="J404">
        <v>69</v>
      </c>
      <c r="K404" t="s">
        <v>169</v>
      </c>
      <c r="L404" t="s">
        <v>32</v>
      </c>
      <c r="M404" t="s">
        <v>82</v>
      </c>
      <c r="N404">
        <v>4.9000000000000004</v>
      </c>
      <c r="O404" s="3">
        <v>6763.12</v>
      </c>
      <c r="P404">
        <v>1</v>
      </c>
      <c r="Q404">
        <v>2.4</v>
      </c>
      <c r="R404">
        <v>0.79</v>
      </c>
      <c r="S404" t="str">
        <f t="shared" si="6"/>
        <v>October</v>
      </c>
    </row>
    <row r="405" spans="1:19" x14ac:dyDescent="0.2">
      <c r="A405" t="s">
        <v>868</v>
      </c>
      <c r="B405" t="s">
        <v>869</v>
      </c>
      <c r="C405" t="s">
        <v>20</v>
      </c>
      <c r="D405" t="s">
        <v>49</v>
      </c>
      <c r="E405" s="1">
        <v>45773</v>
      </c>
      <c r="F405" s="1">
        <v>45777</v>
      </c>
      <c r="G405" t="s">
        <v>36</v>
      </c>
      <c r="H405" t="s">
        <v>23</v>
      </c>
      <c r="I405" t="s">
        <v>45</v>
      </c>
      <c r="J405">
        <v>4</v>
      </c>
      <c r="K405" t="s">
        <v>103</v>
      </c>
      <c r="L405" t="s">
        <v>32</v>
      </c>
      <c r="M405" t="s">
        <v>27</v>
      </c>
      <c r="N405">
        <v>3.1</v>
      </c>
      <c r="O405" s="3">
        <v>6763.12</v>
      </c>
      <c r="P405">
        <v>0</v>
      </c>
      <c r="Q405">
        <v>3.3</v>
      </c>
      <c r="R405">
        <v>0.84</v>
      </c>
      <c r="S405" t="str">
        <f t="shared" si="6"/>
        <v>April</v>
      </c>
    </row>
    <row r="406" spans="1:19" x14ac:dyDescent="0.2">
      <c r="A406" t="s">
        <v>870</v>
      </c>
      <c r="B406" t="s">
        <v>871</v>
      </c>
      <c r="C406" t="s">
        <v>30</v>
      </c>
      <c r="D406" t="s">
        <v>42</v>
      </c>
      <c r="E406" s="1">
        <v>45703</v>
      </c>
      <c r="F406" s="1">
        <v>45710</v>
      </c>
      <c r="G406" t="s">
        <v>99</v>
      </c>
      <c r="H406" t="s">
        <v>50</v>
      </c>
      <c r="I406" t="s">
        <v>31</v>
      </c>
      <c r="J406">
        <v>18</v>
      </c>
      <c r="K406" t="s">
        <v>78</v>
      </c>
      <c r="L406" t="s">
        <v>26</v>
      </c>
      <c r="M406" t="s">
        <v>39</v>
      </c>
      <c r="N406">
        <v>6.3</v>
      </c>
      <c r="O406" s="3">
        <v>6763.12</v>
      </c>
      <c r="P406">
        <v>0</v>
      </c>
      <c r="Q406">
        <v>4.9000000000000004</v>
      </c>
      <c r="R406">
        <v>0.81</v>
      </c>
      <c r="S406" t="str">
        <f t="shared" si="6"/>
        <v>February</v>
      </c>
    </row>
    <row r="407" spans="1:19" x14ac:dyDescent="0.2">
      <c r="A407" t="s">
        <v>872</v>
      </c>
      <c r="B407" t="s">
        <v>873</v>
      </c>
      <c r="C407" t="s">
        <v>58</v>
      </c>
      <c r="D407" t="s">
        <v>42</v>
      </c>
      <c r="E407" s="1">
        <v>45982</v>
      </c>
      <c r="F407" s="1">
        <v>45983</v>
      </c>
      <c r="G407" t="s">
        <v>68</v>
      </c>
      <c r="H407" t="s">
        <v>50</v>
      </c>
      <c r="I407" t="s">
        <v>37</v>
      </c>
      <c r="J407">
        <v>27</v>
      </c>
      <c r="K407" t="s">
        <v>78</v>
      </c>
      <c r="L407" t="s">
        <v>26</v>
      </c>
      <c r="M407" t="s">
        <v>27</v>
      </c>
      <c r="N407">
        <v>0.8</v>
      </c>
      <c r="O407" s="3">
        <v>6763.12</v>
      </c>
      <c r="P407">
        <v>0</v>
      </c>
      <c r="Q407">
        <v>4.0999999999999996</v>
      </c>
      <c r="R407">
        <v>0.75</v>
      </c>
      <c r="S407" t="str">
        <f t="shared" si="6"/>
        <v>November</v>
      </c>
    </row>
    <row r="408" spans="1:19" x14ac:dyDescent="0.2">
      <c r="A408" t="s">
        <v>874</v>
      </c>
      <c r="B408" t="s">
        <v>875</v>
      </c>
      <c r="C408" t="s">
        <v>62</v>
      </c>
      <c r="D408" t="s">
        <v>49</v>
      </c>
      <c r="E408" s="1">
        <v>45711</v>
      </c>
      <c r="F408" s="1">
        <v>45713</v>
      </c>
      <c r="G408" t="s">
        <v>116</v>
      </c>
      <c r="H408" t="s">
        <v>50</v>
      </c>
      <c r="I408" t="s">
        <v>37</v>
      </c>
      <c r="J408">
        <v>32</v>
      </c>
      <c r="K408" t="s">
        <v>78</v>
      </c>
      <c r="L408" t="s">
        <v>32</v>
      </c>
      <c r="M408" t="s">
        <v>39</v>
      </c>
      <c r="N408">
        <v>1.9</v>
      </c>
      <c r="O408" s="3">
        <v>6763.12</v>
      </c>
      <c r="P408">
        <v>0</v>
      </c>
      <c r="Q408">
        <v>3.7</v>
      </c>
      <c r="R408">
        <v>0.88</v>
      </c>
      <c r="S408" t="str">
        <f t="shared" si="6"/>
        <v>February</v>
      </c>
    </row>
    <row r="409" spans="1:19" x14ac:dyDescent="0.2">
      <c r="A409" t="s">
        <v>876</v>
      </c>
      <c r="B409" t="s">
        <v>877</v>
      </c>
      <c r="C409" t="s">
        <v>30</v>
      </c>
      <c r="D409" t="s">
        <v>35</v>
      </c>
      <c r="E409" s="1">
        <v>45874</v>
      </c>
      <c r="F409" s="1">
        <v>45878</v>
      </c>
      <c r="G409" t="s">
        <v>68</v>
      </c>
      <c r="H409" t="s">
        <v>23</v>
      </c>
      <c r="I409" t="s">
        <v>81</v>
      </c>
      <c r="J409">
        <v>89</v>
      </c>
      <c r="K409" t="s">
        <v>65</v>
      </c>
      <c r="L409" t="s">
        <v>32</v>
      </c>
      <c r="M409" t="s">
        <v>27</v>
      </c>
      <c r="N409">
        <v>3.5</v>
      </c>
      <c r="O409" s="3">
        <v>6763.12</v>
      </c>
      <c r="P409">
        <v>1</v>
      </c>
      <c r="Q409">
        <v>4.0999999999999996</v>
      </c>
      <c r="R409">
        <v>0.79</v>
      </c>
      <c r="S409" t="str">
        <f t="shared" si="6"/>
        <v>August</v>
      </c>
    </row>
    <row r="410" spans="1:19" x14ac:dyDescent="0.2">
      <c r="A410" t="s">
        <v>878</v>
      </c>
      <c r="B410" t="s">
        <v>879</v>
      </c>
      <c r="C410" t="s">
        <v>58</v>
      </c>
      <c r="D410" t="s">
        <v>21</v>
      </c>
      <c r="E410" s="1">
        <v>45744</v>
      </c>
      <c r="F410" s="1">
        <v>45745</v>
      </c>
      <c r="G410" t="s">
        <v>71</v>
      </c>
      <c r="H410" t="s">
        <v>50</v>
      </c>
      <c r="I410" t="s">
        <v>37</v>
      </c>
      <c r="J410">
        <v>42</v>
      </c>
      <c r="K410" t="s">
        <v>25</v>
      </c>
      <c r="L410" t="s">
        <v>26</v>
      </c>
      <c r="M410" t="s">
        <v>27</v>
      </c>
      <c r="N410">
        <v>0.9</v>
      </c>
      <c r="O410" s="3">
        <v>6763.12</v>
      </c>
      <c r="P410">
        <v>0</v>
      </c>
      <c r="Q410">
        <v>2.7</v>
      </c>
      <c r="R410">
        <v>0.69</v>
      </c>
      <c r="S410" t="str">
        <f t="shared" si="6"/>
        <v>March</v>
      </c>
    </row>
    <row r="411" spans="1:19" x14ac:dyDescent="0.2">
      <c r="A411" t="s">
        <v>880</v>
      </c>
      <c r="B411" t="s">
        <v>881</v>
      </c>
      <c r="C411" t="s">
        <v>30</v>
      </c>
      <c r="D411" t="s">
        <v>42</v>
      </c>
      <c r="E411" s="1">
        <v>45703</v>
      </c>
      <c r="F411" s="1">
        <v>45704</v>
      </c>
      <c r="G411" t="s">
        <v>71</v>
      </c>
      <c r="H411" t="s">
        <v>50</v>
      </c>
      <c r="I411" t="s">
        <v>37</v>
      </c>
      <c r="J411">
        <v>60</v>
      </c>
      <c r="K411" t="s">
        <v>38</v>
      </c>
      <c r="L411" t="s">
        <v>26</v>
      </c>
      <c r="M411" t="s">
        <v>39</v>
      </c>
      <c r="N411">
        <v>0.2</v>
      </c>
      <c r="O411" s="3">
        <v>6763.12</v>
      </c>
      <c r="P411">
        <v>0</v>
      </c>
      <c r="Q411">
        <v>4.0999999999999996</v>
      </c>
      <c r="R411">
        <v>0.76</v>
      </c>
      <c r="S411" t="str">
        <f t="shared" si="6"/>
        <v>February</v>
      </c>
    </row>
    <row r="412" spans="1:19" x14ac:dyDescent="0.2">
      <c r="A412" t="s">
        <v>882</v>
      </c>
      <c r="B412" t="s">
        <v>883</v>
      </c>
      <c r="C412" t="s">
        <v>30</v>
      </c>
      <c r="D412" t="s">
        <v>49</v>
      </c>
      <c r="E412" s="1">
        <v>45941</v>
      </c>
      <c r="F412" s="1">
        <v>45952</v>
      </c>
      <c r="G412" t="s">
        <v>99</v>
      </c>
      <c r="H412" t="s">
        <v>50</v>
      </c>
      <c r="I412" t="s">
        <v>45</v>
      </c>
      <c r="J412">
        <v>58</v>
      </c>
      <c r="K412" t="s">
        <v>38</v>
      </c>
      <c r="L412" t="s">
        <v>32</v>
      </c>
      <c r="M412" t="s">
        <v>27</v>
      </c>
      <c r="N412">
        <v>10.7</v>
      </c>
      <c r="O412" s="3">
        <v>6763.12</v>
      </c>
      <c r="P412">
        <v>0</v>
      </c>
      <c r="Q412">
        <v>4.5</v>
      </c>
      <c r="R412">
        <v>0.84</v>
      </c>
      <c r="S412" t="str">
        <f t="shared" si="6"/>
        <v>October</v>
      </c>
    </row>
    <row r="413" spans="1:19" x14ac:dyDescent="0.2">
      <c r="A413" t="s">
        <v>884</v>
      </c>
      <c r="B413" t="s">
        <v>885</v>
      </c>
      <c r="C413" t="s">
        <v>58</v>
      </c>
      <c r="D413" t="s">
        <v>49</v>
      </c>
      <c r="E413" s="1">
        <v>45710</v>
      </c>
      <c r="F413" s="1">
        <v>45713</v>
      </c>
      <c r="G413" t="s">
        <v>43</v>
      </c>
      <c r="H413" t="s">
        <v>44</v>
      </c>
      <c r="I413" t="s">
        <v>31</v>
      </c>
      <c r="J413">
        <v>38</v>
      </c>
      <c r="K413" t="s">
        <v>25</v>
      </c>
      <c r="L413" t="s">
        <v>32</v>
      </c>
      <c r="M413" t="s">
        <v>27</v>
      </c>
      <c r="N413">
        <v>3</v>
      </c>
      <c r="O413" s="3">
        <v>6763.12</v>
      </c>
      <c r="P413">
        <v>0</v>
      </c>
      <c r="Q413">
        <v>3.8</v>
      </c>
      <c r="R413">
        <v>0.76</v>
      </c>
      <c r="S413" t="str">
        <f t="shared" si="6"/>
        <v>February</v>
      </c>
    </row>
    <row r="414" spans="1:19" x14ac:dyDescent="0.2">
      <c r="A414" t="s">
        <v>886</v>
      </c>
      <c r="B414" t="s">
        <v>887</v>
      </c>
      <c r="C414" t="s">
        <v>20</v>
      </c>
      <c r="D414" t="s">
        <v>49</v>
      </c>
      <c r="E414" s="1">
        <v>45902</v>
      </c>
      <c r="F414" s="1">
        <v>45903</v>
      </c>
      <c r="G414" t="s">
        <v>43</v>
      </c>
      <c r="H414" t="s">
        <v>23</v>
      </c>
      <c r="I414" t="s">
        <v>81</v>
      </c>
      <c r="J414">
        <v>87</v>
      </c>
      <c r="K414" t="s">
        <v>65</v>
      </c>
      <c r="L414" t="s">
        <v>32</v>
      </c>
      <c r="M414" t="s">
        <v>52</v>
      </c>
      <c r="N414">
        <v>0.5</v>
      </c>
      <c r="O414" s="3">
        <v>6763.12</v>
      </c>
      <c r="P414">
        <v>0</v>
      </c>
      <c r="Q414">
        <v>2.8</v>
      </c>
      <c r="R414">
        <v>0.77</v>
      </c>
      <c r="S414" t="str">
        <f t="shared" si="6"/>
        <v>September</v>
      </c>
    </row>
    <row r="415" spans="1:19" x14ac:dyDescent="0.2">
      <c r="A415" t="s">
        <v>888</v>
      </c>
      <c r="B415" t="s">
        <v>889</v>
      </c>
      <c r="C415" t="s">
        <v>62</v>
      </c>
      <c r="D415" t="s">
        <v>21</v>
      </c>
      <c r="E415" s="1">
        <v>45910</v>
      </c>
      <c r="F415" s="1">
        <v>45915</v>
      </c>
      <c r="G415" t="s">
        <v>71</v>
      </c>
      <c r="H415" t="s">
        <v>50</v>
      </c>
      <c r="I415" t="s">
        <v>81</v>
      </c>
      <c r="J415">
        <v>20</v>
      </c>
      <c r="K415" t="s">
        <v>78</v>
      </c>
      <c r="L415" t="s">
        <v>26</v>
      </c>
      <c r="M415" t="s">
        <v>27</v>
      </c>
      <c r="N415">
        <v>4.8</v>
      </c>
      <c r="O415" s="3">
        <v>6763.12</v>
      </c>
      <c r="P415">
        <v>0</v>
      </c>
      <c r="Q415">
        <v>3.7</v>
      </c>
      <c r="R415">
        <v>0.79</v>
      </c>
      <c r="S415" t="str">
        <f t="shared" si="6"/>
        <v>September</v>
      </c>
    </row>
    <row r="416" spans="1:19" x14ac:dyDescent="0.2">
      <c r="A416" t="s">
        <v>890</v>
      </c>
      <c r="B416" t="s">
        <v>891</v>
      </c>
      <c r="C416" t="s">
        <v>20</v>
      </c>
      <c r="D416" t="s">
        <v>21</v>
      </c>
      <c r="E416" s="1">
        <v>45679</v>
      </c>
      <c r="F416" s="1">
        <v>45681</v>
      </c>
      <c r="G416" t="s">
        <v>36</v>
      </c>
      <c r="H416" t="s">
        <v>50</v>
      </c>
      <c r="I416" t="s">
        <v>24</v>
      </c>
      <c r="J416">
        <v>3</v>
      </c>
      <c r="K416" t="s">
        <v>103</v>
      </c>
      <c r="L416" t="s">
        <v>26</v>
      </c>
      <c r="M416" t="s">
        <v>39</v>
      </c>
      <c r="N416">
        <v>1.1000000000000001</v>
      </c>
      <c r="O416" s="3">
        <v>6763.12</v>
      </c>
      <c r="P416">
        <v>0</v>
      </c>
      <c r="Q416">
        <v>4.7</v>
      </c>
      <c r="R416">
        <v>0.79</v>
      </c>
      <c r="S416" t="str">
        <f t="shared" si="6"/>
        <v>January</v>
      </c>
    </row>
    <row r="417" spans="1:19" x14ac:dyDescent="0.2">
      <c r="A417" t="s">
        <v>892</v>
      </c>
      <c r="B417" t="s">
        <v>893</v>
      </c>
      <c r="C417" t="s">
        <v>30</v>
      </c>
      <c r="D417" t="s">
        <v>42</v>
      </c>
      <c r="E417" s="1">
        <v>45721</v>
      </c>
      <c r="F417" s="1">
        <v>45723</v>
      </c>
      <c r="G417" t="s">
        <v>99</v>
      </c>
      <c r="H417" t="s">
        <v>23</v>
      </c>
      <c r="I417" t="s">
        <v>24</v>
      </c>
      <c r="J417">
        <v>67</v>
      </c>
      <c r="K417" t="s">
        <v>169</v>
      </c>
      <c r="L417" t="s">
        <v>26</v>
      </c>
      <c r="M417" t="s">
        <v>39</v>
      </c>
      <c r="N417">
        <v>1.3</v>
      </c>
      <c r="O417" s="3">
        <v>6763.12</v>
      </c>
      <c r="P417">
        <v>0</v>
      </c>
      <c r="Q417">
        <v>4.0999999999999996</v>
      </c>
      <c r="R417">
        <v>0.86</v>
      </c>
      <c r="S417" t="str">
        <f t="shared" si="6"/>
        <v>March</v>
      </c>
    </row>
    <row r="418" spans="1:19" x14ac:dyDescent="0.2">
      <c r="A418" t="s">
        <v>894</v>
      </c>
      <c r="B418" t="s">
        <v>895</v>
      </c>
      <c r="C418" t="s">
        <v>20</v>
      </c>
      <c r="D418" t="s">
        <v>35</v>
      </c>
      <c r="E418" s="1">
        <v>45947</v>
      </c>
      <c r="F418" s="1">
        <v>45950</v>
      </c>
      <c r="G418" t="s">
        <v>50</v>
      </c>
      <c r="H418" t="s">
        <v>50</v>
      </c>
      <c r="I418" t="s">
        <v>24</v>
      </c>
      <c r="J418">
        <v>59</v>
      </c>
      <c r="K418" t="s">
        <v>38</v>
      </c>
      <c r="L418" t="s">
        <v>32</v>
      </c>
      <c r="M418" t="s">
        <v>27</v>
      </c>
      <c r="N418">
        <v>2.2999999999999998</v>
      </c>
      <c r="O418" s="3">
        <v>6763.12</v>
      </c>
      <c r="P418">
        <v>0</v>
      </c>
      <c r="Q418">
        <v>2.8</v>
      </c>
      <c r="R418">
        <v>0.77</v>
      </c>
      <c r="S418" t="str">
        <f t="shared" si="6"/>
        <v>October</v>
      </c>
    </row>
    <row r="419" spans="1:19" x14ac:dyDescent="0.2">
      <c r="A419" t="s">
        <v>896</v>
      </c>
      <c r="B419" t="s">
        <v>897</v>
      </c>
      <c r="C419" t="s">
        <v>30</v>
      </c>
      <c r="D419" t="s">
        <v>49</v>
      </c>
      <c r="E419" s="1">
        <v>45843</v>
      </c>
      <c r="F419" s="1">
        <v>45845</v>
      </c>
      <c r="G419" t="s">
        <v>22</v>
      </c>
      <c r="H419" t="s">
        <v>23</v>
      </c>
      <c r="I419" t="s">
        <v>37</v>
      </c>
      <c r="J419">
        <v>23</v>
      </c>
      <c r="K419" t="s">
        <v>78</v>
      </c>
      <c r="L419" t="s">
        <v>26</v>
      </c>
      <c r="M419" t="s">
        <v>39</v>
      </c>
      <c r="N419">
        <v>1.2</v>
      </c>
      <c r="O419" s="3">
        <v>6763.12</v>
      </c>
      <c r="P419">
        <v>0</v>
      </c>
      <c r="Q419">
        <v>5</v>
      </c>
      <c r="R419">
        <v>0.79</v>
      </c>
      <c r="S419" t="str">
        <f t="shared" si="6"/>
        <v>July</v>
      </c>
    </row>
    <row r="420" spans="1:19" x14ac:dyDescent="0.2">
      <c r="A420" t="s">
        <v>898</v>
      </c>
      <c r="B420" t="s">
        <v>899</v>
      </c>
      <c r="C420" t="s">
        <v>62</v>
      </c>
      <c r="D420" t="s">
        <v>49</v>
      </c>
      <c r="E420" s="1">
        <v>45702</v>
      </c>
      <c r="F420" s="1">
        <v>45704</v>
      </c>
      <c r="G420" t="s">
        <v>116</v>
      </c>
      <c r="H420" t="s">
        <v>50</v>
      </c>
      <c r="I420" t="s">
        <v>100</v>
      </c>
      <c r="J420">
        <v>78</v>
      </c>
      <c r="K420" t="s">
        <v>65</v>
      </c>
      <c r="L420" t="s">
        <v>32</v>
      </c>
      <c r="M420" t="s">
        <v>27</v>
      </c>
      <c r="N420">
        <v>1.4</v>
      </c>
      <c r="O420" s="3">
        <v>6763.12</v>
      </c>
      <c r="P420">
        <v>0</v>
      </c>
      <c r="Q420">
        <v>3.1</v>
      </c>
      <c r="R420">
        <v>0.79</v>
      </c>
      <c r="S420" t="str">
        <f t="shared" si="6"/>
        <v>February</v>
      </c>
    </row>
    <row r="421" spans="1:19" x14ac:dyDescent="0.2">
      <c r="A421" t="s">
        <v>900</v>
      </c>
      <c r="B421" t="s">
        <v>901</v>
      </c>
      <c r="C421" t="s">
        <v>58</v>
      </c>
      <c r="D421" t="s">
        <v>42</v>
      </c>
      <c r="E421" s="1">
        <v>46019</v>
      </c>
      <c r="F421" s="1">
        <v>46020</v>
      </c>
      <c r="G421" t="s">
        <v>50</v>
      </c>
      <c r="H421" t="s">
        <v>44</v>
      </c>
      <c r="I421" t="s">
        <v>31</v>
      </c>
      <c r="J421">
        <v>14</v>
      </c>
      <c r="K421" t="s">
        <v>46</v>
      </c>
      <c r="L421" t="s">
        <v>26</v>
      </c>
      <c r="M421" t="s">
        <v>82</v>
      </c>
      <c r="N421">
        <v>0.3</v>
      </c>
      <c r="O421" s="3">
        <v>6763.12</v>
      </c>
      <c r="P421">
        <v>0</v>
      </c>
      <c r="Q421">
        <v>3.6</v>
      </c>
      <c r="R421">
        <v>0.74</v>
      </c>
      <c r="S421" t="str">
        <f t="shared" si="6"/>
        <v>December</v>
      </c>
    </row>
    <row r="422" spans="1:19" x14ac:dyDescent="0.2">
      <c r="A422" t="s">
        <v>902</v>
      </c>
      <c r="B422" t="s">
        <v>903</v>
      </c>
      <c r="C422" t="s">
        <v>122</v>
      </c>
      <c r="D422" t="s">
        <v>21</v>
      </c>
      <c r="E422" s="1">
        <v>45754</v>
      </c>
      <c r="F422" s="1">
        <v>45757</v>
      </c>
      <c r="G422" t="s">
        <v>99</v>
      </c>
      <c r="H422" t="s">
        <v>50</v>
      </c>
      <c r="I422" t="s">
        <v>37</v>
      </c>
      <c r="J422">
        <v>22</v>
      </c>
      <c r="K422" t="s">
        <v>78</v>
      </c>
      <c r="L422" t="s">
        <v>32</v>
      </c>
      <c r="M422" t="s">
        <v>27</v>
      </c>
      <c r="N422">
        <v>2.5</v>
      </c>
      <c r="O422" s="3">
        <v>6763.12</v>
      </c>
      <c r="P422">
        <v>0</v>
      </c>
      <c r="Q422">
        <v>3.3</v>
      </c>
      <c r="R422">
        <v>0.79</v>
      </c>
      <c r="S422" t="str">
        <f t="shared" si="6"/>
        <v>April</v>
      </c>
    </row>
    <row r="423" spans="1:19" x14ac:dyDescent="0.2">
      <c r="A423" t="s">
        <v>904</v>
      </c>
      <c r="B423" t="s">
        <v>905</v>
      </c>
      <c r="C423" t="s">
        <v>20</v>
      </c>
      <c r="D423" t="s">
        <v>49</v>
      </c>
      <c r="E423" s="1">
        <v>45659</v>
      </c>
      <c r="F423" s="1">
        <v>45663</v>
      </c>
      <c r="G423" t="s">
        <v>63</v>
      </c>
      <c r="H423" t="s">
        <v>23</v>
      </c>
      <c r="I423" t="s">
        <v>64</v>
      </c>
      <c r="J423">
        <v>14</v>
      </c>
      <c r="K423" t="s">
        <v>46</v>
      </c>
      <c r="L423" t="s">
        <v>32</v>
      </c>
      <c r="M423" t="s">
        <v>27</v>
      </c>
      <c r="N423">
        <v>3.8</v>
      </c>
      <c r="O423" s="3">
        <v>6763.12</v>
      </c>
      <c r="P423">
        <v>0</v>
      </c>
      <c r="Q423">
        <v>3.3</v>
      </c>
      <c r="R423">
        <v>0.88</v>
      </c>
      <c r="S423" t="str">
        <f t="shared" si="6"/>
        <v>January</v>
      </c>
    </row>
    <row r="424" spans="1:19" x14ac:dyDescent="0.2">
      <c r="A424" t="s">
        <v>906</v>
      </c>
      <c r="B424" t="s">
        <v>907</v>
      </c>
      <c r="C424" t="s">
        <v>58</v>
      </c>
      <c r="D424" t="s">
        <v>35</v>
      </c>
      <c r="E424" s="1">
        <v>45995</v>
      </c>
      <c r="F424" s="1">
        <v>45998</v>
      </c>
      <c r="G424" t="s">
        <v>36</v>
      </c>
      <c r="H424" t="s">
        <v>50</v>
      </c>
      <c r="I424" t="s">
        <v>37</v>
      </c>
      <c r="J424">
        <v>16</v>
      </c>
      <c r="K424" t="s">
        <v>46</v>
      </c>
      <c r="L424" t="s">
        <v>26</v>
      </c>
      <c r="M424" t="s">
        <v>27</v>
      </c>
      <c r="N424">
        <v>2.2000000000000002</v>
      </c>
      <c r="O424" s="3">
        <v>6763.12</v>
      </c>
      <c r="P424">
        <v>0</v>
      </c>
      <c r="Q424">
        <v>3.6</v>
      </c>
      <c r="R424">
        <v>0.76</v>
      </c>
      <c r="S424" t="str">
        <f t="shared" si="6"/>
        <v>December</v>
      </c>
    </row>
    <row r="425" spans="1:19" x14ac:dyDescent="0.2">
      <c r="A425" t="s">
        <v>908</v>
      </c>
      <c r="B425" t="s">
        <v>909</v>
      </c>
      <c r="C425" t="s">
        <v>62</v>
      </c>
      <c r="D425" t="s">
        <v>35</v>
      </c>
      <c r="E425" s="1">
        <v>45664</v>
      </c>
      <c r="F425" s="1">
        <v>45668</v>
      </c>
      <c r="G425" t="s">
        <v>50</v>
      </c>
      <c r="H425" t="s">
        <v>44</v>
      </c>
      <c r="I425" t="s">
        <v>37</v>
      </c>
      <c r="J425">
        <v>66</v>
      </c>
      <c r="K425" t="s">
        <v>169</v>
      </c>
      <c r="L425" t="s">
        <v>32</v>
      </c>
      <c r="M425" t="s">
        <v>82</v>
      </c>
      <c r="N425">
        <v>3.8</v>
      </c>
      <c r="O425" s="3">
        <v>6763.12</v>
      </c>
      <c r="P425">
        <v>0</v>
      </c>
      <c r="Q425">
        <v>4.0999999999999996</v>
      </c>
      <c r="R425">
        <v>0.84</v>
      </c>
      <c r="S425" t="str">
        <f t="shared" si="6"/>
        <v>January</v>
      </c>
    </row>
    <row r="426" spans="1:19" x14ac:dyDescent="0.2">
      <c r="A426" t="s">
        <v>910</v>
      </c>
      <c r="B426" t="s">
        <v>911</v>
      </c>
      <c r="C426" t="s">
        <v>30</v>
      </c>
      <c r="D426" t="s">
        <v>21</v>
      </c>
      <c r="E426" s="1">
        <v>45859</v>
      </c>
      <c r="F426" s="1">
        <v>45861</v>
      </c>
      <c r="G426" t="s">
        <v>71</v>
      </c>
      <c r="H426" t="s">
        <v>44</v>
      </c>
      <c r="I426" t="s">
        <v>45</v>
      </c>
      <c r="J426">
        <v>64</v>
      </c>
      <c r="K426" t="s">
        <v>38</v>
      </c>
      <c r="L426" t="s">
        <v>26</v>
      </c>
      <c r="M426" t="s">
        <v>82</v>
      </c>
      <c r="N426">
        <v>1.7</v>
      </c>
      <c r="O426" s="3">
        <v>6763.12</v>
      </c>
      <c r="P426">
        <v>0</v>
      </c>
      <c r="Q426">
        <v>4.7</v>
      </c>
      <c r="R426">
        <v>0.85</v>
      </c>
      <c r="S426" t="str">
        <f t="shared" si="6"/>
        <v>July</v>
      </c>
    </row>
    <row r="427" spans="1:19" x14ac:dyDescent="0.2">
      <c r="A427" t="s">
        <v>912</v>
      </c>
      <c r="B427" t="s">
        <v>913</v>
      </c>
      <c r="C427" t="s">
        <v>30</v>
      </c>
      <c r="D427" t="s">
        <v>35</v>
      </c>
      <c r="E427" s="1">
        <v>46020</v>
      </c>
      <c r="F427" s="1">
        <v>46021</v>
      </c>
      <c r="G427" t="s">
        <v>43</v>
      </c>
      <c r="H427" t="s">
        <v>23</v>
      </c>
      <c r="I427" t="s">
        <v>24</v>
      </c>
      <c r="J427">
        <v>58</v>
      </c>
      <c r="K427" t="s">
        <v>38</v>
      </c>
      <c r="L427" t="s">
        <v>26</v>
      </c>
      <c r="M427" t="s">
        <v>52</v>
      </c>
      <c r="N427">
        <v>1</v>
      </c>
      <c r="O427" s="3">
        <v>6763.12</v>
      </c>
      <c r="P427">
        <v>0</v>
      </c>
      <c r="Q427">
        <v>3.7</v>
      </c>
      <c r="R427">
        <v>0.85</v>
      </c>
      <c r="S427" t="str">
        <f t="shared" si="6"/>
        <v>December</v>
      </c>
    </row>
    <row r="428" spans="1:19" x14ac:dyDescent="0.2">
      <c r="A428" t="s">
        <v>914</v>
      </c>
      <c r="B428" t="s">
        <v>915</v>
      </c>
      <c r="C428" t="s">
        <v>30</v>
      </c>
      <c r="D428" t="s">
        <v>42</v>
      </c>
      <c r="E428" s="1">
        <v>45868</v>
      </c>
      <c r="F428" s="1">
        <v>45872</v>
      </c>
      <c r="G428" t="s">
        <v>71</v>
      </c>
      <c r="H428" t="s">
        <v>50</v>
      </c>
      <c r="I428" t="s">
        <v>31</v>
      </c>
      <c r="J428">
        <v>78</v>
      </c>
      <c r="K428" t="s">
        <v>65</v>
      </c>
      <c r="L428" t="s">
        <v>32</v>
      </c>
      <c r="M428" t="s">
        <v>39</v>
      </c>
      <c r="N428">
        <v>3.3</v>
      </c>
      <c r="O428" s="3">
        <v>6763.12</v>
      </c>
      <c r="P428">
        <v>0</v>
      </c>
      <c r="Q428">
        <v>3.3</v>
      </c>
      <c r="R428">
        <v>0.8</v>
      </c>
      <c r="S428" t="str">
        <f t="shared" si="6"/>
        <v>July</v>
      </c>
    </row>
    <row r="429" spans="1:19" x14ac:dyDescent="0.2">
      <c r="A429" t="s">
        <v>916</v>
      </c>
      <c r="B429" t="s">
        <v>917</v>
      </c>
      <c r="C429" t="s">
        <v>122</v>
      </c>
      <c r="D429" t="s">
        <v>42</v>
      </c>
      <c r="E429" s="1">
        <v>45871</v>
      </c>
      <c r="F429" s="1">
        <v>45883</v>
      </c>
      <c r="G429" t="s">
        <v>99</v>
      </c>
      <c r="H429" t="s">
        <v>50</v>
      </c>
      <c r="I429" t="s">
        <v>37</v>
      </c>
      <c r="J429">
        <v>6</v>
      </c>
      <c r="K429" t="s">
        <v>103</v>
      </c>
      <c r="L429" t="s">
        <v>32</v>
      </c>
      <c r="M429" t="s">
        <v>39</v>
      </c>
      <c r="N429">
        <v>11.6</v>
      </c>
      <c r="O429" s="3">
        <v>6763.12</v>
      </c>
      <c r="P429">
        <v>0</v>
      </c>
      <c r="Q429">
        <v>4</v>
      </c>
      <c r="R429">
        <v>0.87</v>
      </c>
      <c r="S429" t="str">
        <f t="shared" si="6"/>
        <v>August</v>
      </c>
    </row>
    <row r="430" spans="1:19" x14ac:dyDescent="0.2">
      <c r="A430" t="s">
        <v>918</v>
      </c>
      <c r="B430" t="s">
        <v>919</v>
      </c>
      <c r="C430" t="s">
        <v>20</v>
      </c>
      <c r="D430" t="s">
        <v>35</v>
      </c>
      <c r="E430" s="1">
        <v>45799</v>
      </c>
      <c r="F430" s="1">
        <v>45804</v>
      </c>
      <c r="G430" t="s">
        <v>99</v>
      </c>
      <c r="H430" t="s">
        <v>23</v>
      </c>
      <c r="I430" t="s">
        <v>31</v>
      </c>
      <c r="J430">
        <v>56</v>
      </c>
      <c r="K430" t="s">
        <v>38</v>
      </c>
      <c r="L430" t="s">
        <v>26</v>
      </c>
      <c r="M430" t="s">
        <v>39</v>
      </c>
      <c r="N430">
        <v>5</v>
      </c>
      <c r="O430" s="3">
        <v>6763.12</v>
      </c>
      <c r="P430">
        <v>1</v>
      </c>
      <c r="Q430">
        <v>4.2</v>
      </c>
      <c r="R430">
        <v>0.8</v>
      </c>
      <c r="S430" t="str">
        <f t="shared" si="6"/>
        <v>May</v>
      </c>
    </row>
    <row r="431" spans="1:19" x14ac:dyDescent="0.2">
      <c r="A431" t="s">
        <v>920</v>
      </c>
      <c r="B431" t="s">
        <v>921</v>
      </c>
      <c r="C431" t="s">
        <v>30</v>
      </c>
      <c r="D431" t="s">
        <v>42</v>
      </c>
      <c r="E431" s="1">
        <v>45704</v>
      </c>
      <c r="F431" s="1">
        <v>45707</v>
      </c>
      <c r="G431" t="s">
        <v>71</v>
      </c>
      <c r="H431" t="s">
        <v>23</v>
      </c>
      <c r="I431" t="s">
        <v>31</v>
      </c>
      <c r="J431">
        <v>10</v>
      </c>
      <c r="K431" t="s">
        <v>103</v>
      </c>
      <c r="L431" t="s">
        <v>26</v>
      </c>
      <c r="M431" t="s">
        <v>82</v>
      </c>
      <c r="N431">
        <v>2.5</v>
      </c>
      <c r="O431" s="3">
        <v>6763.12</v>
      </c>
      <c r="P431">
        <v>0</v>
      </c>
      <c r="Q431">
        <v>4</v>
      </c>
      <c r="R431">
        <v>0.83</v>
      </c>
      <c r="S431" t="str">
        <f t="shared" si="6"/>
        <v>February</v>
      </c>
    </row>
    <row r="432" spans="1:19" x14ac:dyDescent="0.2">
      <c r="A432" t="s">
        <v>922</v>
      </c>
      <c r="B432" t="s">
        <v>923</v>
      </c>
      <c r="C432" t="s">
        <v>122</v>
      </c>
      <c r="D432" t="s">
        <v>21</v>
      </c>
      <c r="E432" s="1">
        <v>45867</v>
      </c>
      <c r="F432" s="1">
        <v>45870</v>
      </c>
      <c r="G432" t="s">
        <v>63</v>
      </c>
      <c r="H432" t="s">
        <v>50</v>
      </c>
      <c r="I432" t="s">
        <v>51</v>
      </c>
      <c r="J432">
        <v>86</v>
      </c>
      <c r="K432" t="s">
        <v>65</v>
      </c>
      <c r="L432" t="s">
        <v>32</v>
      </c>
      <c r="M432" t="s">
        <v>39</v>
      </c>
      <c r="N432">
        <v>2.2999999999999998</v>
      </c>
      <c r="O432" s="3">
        <v>6763.12</v>
      </c>
      <c r="P432">
        <v>1</v>
      </c>
      <c r="Q432">
        <v>4.0999999999999996</v>
      </c>
      <c r="R432">
        <v>0.8</v>
      </c>
      <c r="S432" t="str">
        <f t="shared" si="6"/>
        <v>July</v>
      </c>
    </row>
    <row r="433" spans="1:19" x14ac:dyDescent="0.2">
      <c r="A433" t="s">
        <v>924</v>
      </c>
      <c r="B433" t="s">
        <v>925</v>
      </c>
      <c r="C433" t="s">
        <v>20</v>
      </c>
      <c r="D433" t="s">
        <v>49</v>
      </c>
      <c r="E433" s="1">
        <v>45985</v>
      </c>
      <c r="F433" s="1">
        <v>45987</v>
      </c>
      <c r="G433" t="s">
        <v>36</v>
      </c>
      <c r="H433" t="s">
        <v>50</v>
      </c>
      <c r="I433" t="s">
        <v>81</v>
      </c>
      <c r="J433">
        <v>57</v>
      </c>
      <c r="K433" t="s">
        <v>38</v>
      </c>
      <c r="L433" t="s">
        <v>32</v>
      </c>
      <c r="M433" t="s">
        <v>27</v>
      </c>
      <c r="N433">
        <v>1.3</v>
      </c>
      <c r="O433" s="3">
        <v>6763.12</v>
      </c>
      <c r="P433">
        <v>0</v>
      </c>
      <c r="Q433">
        <v>3.8</v>
      </c>
      <c r="R433">
        <v>0.81</v>
      </c>
      <c r="S433" t="str">
        <f t="shared" si="6"/>
        <v>November</v>
      </c>
    </row>
    <row r="434" spans="1:19" x14ac:dyDescent="0.2">
      <c r="A434" t="s">
        <v>926</v>
      </c>
      <c r="B434" t="s">
        <v>927</v>
      </c>
      <c r="C434" t="s">
        <v>30</v>
      </c>
      <c r="D434" t="s">
        <v>42</v>
      </c>
      <c r="E434" s="1">
        <v>45691</v>
      </c>
      <c r="F434" s="1">
        <v>45696</v>
      </c>
      <c r="G434" t="s">
        <v>59</v>
      </c>
      <c r="H434" t="s">
        <v>50</v>
      </c>
      <c r="I434" t="s">
        <v>24</v>
      </c>
      <c r="J434">
        <v>69</v>
      </c>
      <c r="K434" t="s">
        <v>169</v>
      </c>
      <c r="L434" t="s">
        <v>26</v>
      </c>
      <c r="M434" t="s">
        <v>39</v>
      </c>
      <c r="N434">
        <v>4.2</v>
      </c>
      <c r="O434" s="3">
        <v>6763.12</v>
      </c>
      <c r="P434">
        <v>0</v>
      </c>
      <c r="Q434">
        <v>3.9</v>
      </c>
      <c r="R434">
        <v>0.88</v>
      </c>
      <c r="S434" t="str">
        <f t="shared" si="6"/>
        <v>February</v>
      </c>
    </row>
    <row r="435" spans="1:19" x14ac:dyDescent="0.2">
      <c r="A435" t="s">
        <v>928</v>
      </c>
      <c r="B435" t="s">
        <v>929</v>
      </c>
      <c r="C435" t="s">
        <v>62</v>
      </c>
      <c r="D435" t="s">
        <v>49</v>
      </c>
      <c r="E435" s="1">
        <v>45979</v>
      </c>
      <c r="F435" s="1">
        <v>45982</v>
      </c>
      <c r="G435" t="s">
        <v>43</v>
      </c>
      <c r="H435" t="s">
        <v>23</v>
      </c>
      <c r="I435" t="s">
        <v>24</v>
      </c>
      <c r="J435">
        <v>51</v>
      </c>
      <c r="K435" t="s">
        <v>38</v>
      </c>
      <c r="L435" t="s">
        <v>32</v>
      </c>
      <c r="M435" t="s">
        <v>39</v>
      </c>
      <c r="N435">
        <v>2.2000000000000002</v>
      </c>
      <c r="O435" s="3">
        <v>6763.12</v>
      </c>
      <c r="P435">
        <v>0</v>
      </c>
      <c r="Q435">
        <v>3.8</v>
      </c>
      <c r="R435">
        <v>0.82</v>
      </c>
      <c r="S435" t="str">
        <f t="shared" si="6"/>
        <v>November</v>
      </c>
    </row>
    <row r="436" spans="1:19" x14ac:dyDescent="0.2">
      <c r="A436" t="s">
        <v>930</v>
      </c>
      <c r="B436" t="s">
        <v>931</v>
      </c>
      <c r="C436" t="s">
        <v>20</v>
      </c>
      <c r="D436" t="s">
        <v>35</v>
      </c>
      <c r="E436" s="1">
        <v>45809</v>
      </c>
      <c r="F436" s="1">
        <v>45813</v>
      </c>
      <c r="G436" t="s">
        <v>116</v>
      </c>
      <c r="H436" t="s">
        <v>23</v>
      </c>
      <c r="I436" t="s">
        <v>55</v>
      </c>
      <c r="J436">
        <v>34</v>
      </c>
      <c r="K436" t="s">
        <v>78</v>
      </c>
      <c r="L436" t="s">
        <v>26</v>
      </c>
      <c r="M436" t="s">
        <v>27</v>
      </c>
      <c r="N436">
        <v>3.3</v>
      </c>
      <c r="O436" s="3">
        <v>6763.12</v>
      </c>
      <c r="P436">
        <v>0</v>
      </c>
      <c r="Q436">
        <v>4.5</v>
      </c>
      <c r="R436">
        <v>0.83</v>
      </c>
      <c r="S436" t="str">
        <f t="shared" si="6"/>
        <v>June</v>
      </c>
    </row>
    <row r="437" spans="1:19" x14ac:dyDescent="0.2">
      <c r="A437" t="s">
        <v>932</v>
      </c>
      <c r="B437" t="s">
        <v>933</v>
      </c>
      <c r="C437" t="s">
        <v>122</v>
      </c>
      <c r="D437" t="s">
        <v>35</v>
      </c>
      <c r="E437" s="1">
        <v>45853</v>
      </c>
      <c r="F437" s="1">
        <v>45859</v>
      </c>
      <c r="G437" t="s">
        <v>71</v>
      </c>
      <c r="H437" t="s">
        <v>23</v>
      </c>
      <c r="I437" t="s">
        <v>64</v>
      </c>
      <c r="J437">
        <v>62</v>
      </c>
      <c r="K437" t="s">
        <v>38</v>
      </c>
      <c r="L437" t="s">
        <v>26</v>
      </c>
      <c r="M437" t="s">
        <v>27</v>
      </c>
      <c r="N437">
        <v>5.6</v>
      </c>
      <c r="O437" s="3">
        <v>6763.12</v>
      </c>
      <c r="P437">
        <v>0</v>
      </c>
      <c r="Q437">
        <v>5</v>
      </c>
      <c r="R437">
        <v>0.79</v>
      </c>
      <c r="S437" t="str">
        <f t="shared" si="6"/>
        <v>July</v>
      </c>
    </row>
    <row r="438" spans="1:19" x14ac:dyDescent="0.2">
      <c r="A438" t="s">
        <v>934</v>
      </c>
      <c r="B438" t="s">
        <v>935</v>
      </c>
      <c r="C438" t="s">
        <v>20</v>
      </c>
      <c r="D438" t="s">
        <v>21</v>
      </c>
      <c r="E438" s="1">
        <v>45718</v>
      </c>
      <c r="F438" s="1">
        <v>45721</v>
      </c>
      <c r="G438" t="s">
        <v>71</v>
      </c>
      <c r="H438" t="s">
        <v>23</v>
      </c>
      <c r="I438" t="s">
        <v>31</v>
      </c>
      <c r="J438">
        <v>76</v>
      </c>
      <c r="K438" t="s">
        <v>65</v>
      </c>
      <c r="L438" t="s">
        <v>32</v>
      </c>
      <c r="M438" t="s">
        <v>27</v>
      </c>
      <c r="N438">
        <v>2.8</v>
      </c>
      <c r="O438" s="3">
        <v>6763.12</v>
      </c>
      <c r="P438">
        <v>0</v>
      </c>
      <c r="Q438">
        <v>4</v>
      </c>
      <c r="R438">
        <v>0.84</v>
      </c>
      <c r="S438" t="str">
        <f t="shared" si="6"/>
        <v>March</v>
      </c>
    </row>
    <row r="439" spans="1:19" x14ac:dyDescent="0.2">
      <c r="A439" t="s">
        <v>936</v>
      </c>
      <c r="B439" t="s">
        <v>937</v>
      </c>
      <c r="C439" t="s">
        <v>122</v>
      </c>
      <c r="D439" t="s">
        <v>42</v>
      </c>
      <c r="E439" s="1">
        <v>45884</v>
      </c>
      <c r="F439" s="1">
        <v>45890</v>
      </c>
      <c r="G439" t="s">
        <v>116</v>
      </c>
      <c r="H439" t="s">
        <v>50</v>
      </c>
      <c r="I439" t="s">
        <v>37</v>
      </c>
      <c r="J439">
        <v>16</v>
      </c>
      <c r="K439" t="s">
        <v>46</v>
      </c>
      <c r="L439" t="s">
        <v>26</v>
      </c>
      <c r="M439" t="s">
        <v>82</v>
      </c>
      <c r="N439">
        <v>6</v>
      </c>
      <c r="O439" s="3">
        <v>6763.12</v>
      </c>
      <c r="P439">
        <v>0</v>
      </c>
      <c r="Q439">
        <v>3.9</v>
      </c>
      <c r="R439">
        <v>0.77</v>
      </c>
      <c r="S439" t="str">
        <f t="shared" si="6"/>
        <v>August</v>
      </c>
    </row>
    <row r="440" spans="1:19" x14ac:dyDescent="0.2">
      <c r="A440" t="s">
        <v>938</v>
      </c>
      <c r="B440" t="s">
        <v>939</v>
      </c>
      <c r="C440" t="s">
        <v>62</v>
      </c>
      <c r="D440" t="s">
        <v>49</v>
      </c>
      <c r="E440" s="1">
        <v>45724</v>
      </c>
      <c r="F440" s="1">
        <v>45726</v>
      </c>
      <c r="G440" t="s">
        <v>99</v>
      </c>
      <c r="H440" t="s">
        <v>50</v>
      </c>
      <c r="I440" t="s">
        <v>24</v>
      </c>
      <c r="J440">
        <v>79</v>
      </c>
      <c r="K440" t="s">
        <v>65</v>
      </c>
      <c r="L440" t="s">
        <v>32</v>
      </c>
      <c r="M440" t="s">
        <v>27</v>
      </c>
      <c r="N440">
        <v>1.8</v>
      </c>
      <c r="O440" s="3">
        <v>6763.12</v>
      </c>
      <c r="P440">
        <v>0</v>
      </c>
      <c r="Q440">
        <v>4.0999999999999996</v>
      </c>
      <c r="R440">
        <v>0.83</v>
      </c>
      <c r="S440" t="str">
        <f t="shared" si="6"/>
        <v>March</v>
      </c>
    </row>
    <row r="441" spans="1:19" x14ac:dyDescent="0.2">
      <c r="A441" t="s">
        <v>940</v>
      </c>
      <c r="B441" t="s">
        <v>941</v>
      </c>
      <c r="C441" t="s">
        <v>20</v>
      </c>
      <c r="D441" t="s">
        <v>21</v>
      </c>
      <c r="E441" s="1">
        <v>45757</v>
      </c>
      <c r="F441" s="1">
        <v>45758</v>
      </c>
      <c r="G441" t="s">
        <v>43</v>
      </c>
      <c r="H441" t="s">
        <v>50</v>
      </c>
      <c r="I441" t="s">
        <v>64</v>
      </c>
      <c r="J441">
        <v>66</v>
      </c>
      <c r="K441" t="s">
        <v>169</v>
      </c>
      <c r="L441" t="s">
        <v>32</v>
      </c>
      <c r="M441" t="s">
        <v>82</v>
      </c>
      <c r="N441">
        <v>0.7</v>
      </c>
      <c r="O441" s="3">
        <v>6763.12</v>
      </c>
      <c r="P441">
        <v>1</v>
      </c>
      <c r="Q441">
        <v>3.5</v>
      </c>
      <c r="R441">
        <v>0.83</v>
      </c>
      <c r="S441" t="str">
        <f t="shared" si="6"/>
        <v>April</v>
      </c>
    </row>
    <row r="442" spans="1:19" x14ac:dyDescent="0.2">
      <c r="A442" t="s">
        <v>942</v>
      </c>
      <c r="B442" t="s">
        <v>943</v>
      </c>
      <c r="C442" t="s">
        <v>20</v>
      </c>
      <c r="D442" t="s">
        <v>35</v>
      </c>
      <c r="E442" s="1">
        <v>45921</v>
      </c>
      <c r="F442" s="1">
        <v>45925</v>
      </c>
      <c r="G442" t="s">
        <v>43</v>
      </c>
      <c r="H442" t="s">
        <v>23</v>
      </c>
      <c r="I442" t="s">
        <v>31</v>
      </c>
      <c r="J442">
        <v>7</v>
      </c>
      <c r="K442" t="s">
        <v>103</v>
      </c>
      <c r="L442" t="s">
        <v>26</v>
      </c>
      <c r="M442" t="s">
        <v>39</v>
      </c>
      <c r="N442">
        <v>3.1</v>
      </c>
      <c r="O442" s="3">
        <v>6763.12</v>
      </c>
      <c r="P442">
        <v>0</v>
      </c>
      <c r="Q442">
        <v>4.4000000000000004</v>
      </c>
      <c r="R442">
        <v>0.81</v>
      </c>
      <c r="S442" t="str">
        <f t="shared" si="6"/>
        <v>September</v>
      </c>
    </row>
    <row r="443" spans="1:19" x14ac:dyDescent="0.2">
      <c r="A443" t="s">
        <v>944</v>
      </c>
      <c r="B443" t="s">
        <v>945</v>
      </c>
      <c r="C443" t="s">
        <v>62</v>
      </c>
      <c r="D443" t="s">
        <v>42</v>
      </c>
      <c r="E443" s="1">
        <v>45676</v>
      </c>
      <c r="F443" s="1">
        <v>45679</v>
      </c>
      <c r="G443" t="s">
        <v>50</v>
      </c>
      <c r="H443" t="s">
        <v>50</v>
      </c>
      <c r="I443" t="s">
        <v>100</v>
      </c>
      <c r="J443">
        <v>85</v>
      </c>
      <c r="K443" t="s">
        <v>65</v>
      </c>
      <c r="L443" t="s">
        <v>26</v>
      </c>
      <c r="M443" t="s">
        <v>82</v>
      </c>
      <c r="N443">
        <v>2.1</v>
      </c>
      <c r="O443" s="3">
        <v>6763.12</v>
      </c>
      <c r="P443">
        <v>0</v>
      </c>
      <c r="Q443">
        <v>4</v>
      </c>
      <c r="R443">
        <v>0.81</v>
      </c>
      <c r="S443" t="str">
        <f t="shared" si="6"/>
        <v>January</v>
      </c>
    </row>
    <row r="444" spans="1:19" x14ac:dyDescent="0.2">
      <c r="A444" t="s">
        <v>946</v>
      </c>
      <c r="B444" t="s">
        <v>947</v>
      </c>
      <c r="C444" t="s">
        <v>62</v>
      </c>
      <c r="D444" t="s">
        <v>21</v>
      </c>
      <c r="E444" s="1">
        <v>45821</v>
      </c>
      <c r="F444" s="1">
        <v>45825</v>
      </c>
      <c r="G444" t="s">
        <v>63</v>
      </c>
      <c r="H444" t="s">
        <v>50</v>
      </c>
      <c r="I444" t="s">
        <v>100</v>
      </c>
      <c r="J444">
        <v>16</v>
      </c>
      <c r="K444" t="s">
        <v>46</v>
      </c>
      <c r="L444" t="s">
        <v>26</v>
      </c>
      <c r="M444" t="s">
        <v>27</v>
      </c>
      <c r="N444">
        <v>3.6</v>
      </c>
      <c r="O444" s="3">
        <v>6763.12</v>
      </c>
      <c r="P444">
        <v>0</v>
      </c>
      <c r="Q444">
        <v>3.6</v>
      </c>
      <c r="R444">
        <v>0.89</v>
      </c>
      <c r="S444" t="str">
        <f t="shared" si="6"/>
        <v>June</v>
      </c>
    </row>
    <row r="445" spans="1:19" x14ac:dyDescent="0.2">
      <c r="A445" t="s">
        <v>948</v>
      </c>
      <c r="B445" t="s">
        <v>949</v>
      </c>
      <c r="C445" t="s">
        <v>62</v>
      </c>
      <c r="D445" t="s">
        <v>49</v>
      </c>
      <c r="E445" s="1">
        <v>45875</v>
      </c>
      <c r="F445" s="1">
        <v>45876</v>
      </c>
      <c r="G445" t="s">
        <v>99</v>
      </c>
      <c r="H445" t="s">
        <v>50</v>
      </c>
      <c r="I445" t="s">
        <v>100</v>
      </c>
      <c r="J445">
        <v>54</v>
      </c>
      <c r="K445" t="s">
        <v>38</v>
      </c>
      <c r="L445" t="s">
        <v>32</v>
      </c>
      <c r="M445" t="s">
        <v>52</v>
      </c>
      <c r="N445">
        <v>1</v>
      </c>
      <c r="O445" s="3">
        <v>6763.12</v>
      </c>
      <c r="P445">
        <v>0</v>
      </c>
      <c r="Q445">
        <v>4.4000000000000004</v>
      </c>
      <c r="R445">
        <v>0.87</v>
      </c>
      <c r="S445" t="str">
        <f t="shared" si="6"/>
        <v>August</v>
      </c>
    </row>
    <row r="446" spans="1:19" x14ac:dyDescent="0.2">
      <c r="A446" t="s">
        <v>950</v>
      </c>
      <c r="B446" t="s">
        <v>951</v>
      </c>
      <c r="C446" t="s">
        <v>122</v>
      </c>
      <c r="D446" t="s">
        <v>49</v>
      </c>
      <c r="E446" s="1">
        <v>45706</v>
      </c>
      <c r="F446" s="1">
        <v>45710</v>
      </c>
      <c r="G446" t="s">
        <v>99</v>
      </c>
      <c r="H446" t="s">
        <v>50</v>
      </c>
      <c r="I446" t="s">
        <v>45</v>
      </c>
      <c r="J446">
        <v>11</v>
      </c>
      <c r="K446" t="s">
        <v>103</v>
      </c>
      <c r="L446" t="s">
        <v>26</v>
      </c>
      <c r="M446" t="s">
        <v>39</v>
      </c>
      <c r="N446">
        <v>3.6</v>
      </c>
      <c r="O446" s="3">
        <v>6763.12</v>
      </c>
      <c r="P446">
        <v>0</v>
      </c>
      <c r="Q446">
        <v>3.9</v>
      </c>
      <c r="R446">
        <v>0.78</v>
      </c>
      <c r="S446" t="str">
        <f t="shared" si="6"/>
        <v>February</v>
      </c>
    </row>
    <row r="447" spans="1:19" x14ac:dyDescent="0.2">
      <c r="A447" t="s">
        <v>952</v>
      </c>
      <c r="B447" t="s">
        <v>953</v>
      </c>
      <c r="C447" t="s">
        <v>30</v>
      </c>
      <c r="D447" t="s">
        <v>35</v>
      </c>
      <c r="E447" s="1">
        <v>45765</v>
      </c>
      <c r="F447" s="1">
        <v>45770</v>
      </c>
      <c r="G447" t="s">
        <v>63</v>
      </c>
      <c r="H447" t="s">
        <v>23</v>
      </c>
      <c r="I447" t="s">
        <v>55</v>
      </c>
      <c r="J447">
        <v>17</v>
      </c>
      <c r="K447" t="s">
        <v>46</v>
      </c>
      <c r="L447" t="s">
        <v>32</v>
      </c>
      <c r="M447" t="s">
        <v>27</v>
      </c>
      <c r="N447">
        <v>4.0999999999999996</v>
      </c>
      <c r="O447" s="3">
        <v>6763.12</v>
      </c>
      <c r="P447">
        <v>0</v>
      </c>
      <c r="Q447">
        <v>3.3</v>
      </c>
      <c r="R447">
        <v>0.8</v>
      </c>
      <c r="S447" t="str">
        <f t="shared" si="6"/>
        <v>April</v>
      </c>
    </row>
    <row r="448" spans="1:19" x14ac:dyDescent="0.2">
      <c r="A448" t="s">
        <v>954</v>
      </c>
      <c r="B448" t="s">
        <v>955</v>
      </c>
      <c r="C448" t="s">
        <v>58</v>
      </c>
      <c r="D448" t="s">
        <v>35</v>
      </c>
      <c r="E448" s="1">
        <v>45783</v>
      </c>
      <c r="F448" s="1">
        <v>45787</v>
      </c>
      <c r="G448" t="s">
        <v>68</v>
      </c>
      <c r="H448" t="s">
        <v>50</v>
      </c>
      <c r="I448" t="s">
        <v>45</v>
      </c>
      <c r="J448">
        <v>58</v>
      </c>
      <c r="K448" t="s">
        <v>38</v>
      </c>
      <c r="L448" t="s">
        <v>26</v>
      </c>
      <c r="M448" t="s">
        <v>27</v>
      </c>
      <c r="N448">
        <v>3.5</v>
      </c>
      <c r="O448" s="3">
        <v>6763.12</v>
      </c>
      <c r="P448">
        <v>0</v>
      </c>
      <c r="Q448">
        <v>4.0999999999999996</v>
      </c>
      <c r="R448">
        <v>0.76</v>
      </c>
      <c r="S448" t="str">
        <f t="shared" si="6"/>
        <v>May</v>
      </c>
    </row>
    <row r="449" spans="1:19" x14ac:dyDescent="0.2">
      <c r="A449" t="s">
        <v>956</v>
      </c>
      <c r="B449" t="s">
        <v>957</v>
      </c>
      <c r="C449" t="s">
        <v>20</v>
      </c>
      <c r="D449" t="s">
        <v>21</v>
      </c>
      <c r="E449" s="1">
        <v>45900</v>
      </c>
      <c r="F449" s="1">
        <v>45904</v>
      </c>
      <c r="G449" t="s">
        <v>43</v>
      </c>
      <c r="H449" t="s">
        <v>50</v>
      </c>
      <c r="I449" t="s">
        <v>31</v>
      </c>
      <c r="J449">
        <v>61</v>
      </c>
      <c r="K449" t="s">
        <v>38</v>
      </c>
      <c r="L449" t="s">
        <v>32</v>
      </c>
      <c r="M449" t="s">
        <v>27</v>
      </c>
      <c r="N449">
        <v>3.3</v>
      </c>
      <c r="O449" s="3">
        <v>6763.12</v>
      </c>
      <c r="P449">
        <v>1</v>
      </c>
      <c r="Q449">
        <v>4</v>
      </c>
      <c r="R449">
        <v>0.83</v>
      </c>
      <c r="S449" t="str">
        <f t="shared" si="6"/>
        <v>August</v>
      </c>
    </row>
    <row r="450" spans="1:19" x14ac:dyDescent="0.2">
      <c r="A450" t="s">
        <v>958</v>
      </c>
      <c r="B450" t="s">
        <v>959</v>
      </c>
      <c r="C450" t="s">
        <v>58</v>
      </c>
      <c r="D450" t="s">
        <v>21</v>
      </c>
      <c r="E450" s="1">
        <v>46014</v>
      </c>
      <c r="F450" s="1">
        <v>46022</v>
      </c>
      <c r="G450" t="s">
        <v>36</v>
      </c>
      <c r="H450" t="s">
        <v>23</v>
      </c>
      <c r="I450" t="s">
        <v>37</v>
      </c>
      <c r="J450">
        <v>62</v>
      </c>
      <c r="K450" t="s">
        <v>38</v>
      </c>
      <c r="L450" t="s">
        <v>32</v>
      </c>
      <c r="M450" t="s">
        <v>27</v>
      </c>
      <c r="N450">
        <v>7.1</v>
      </c>
      <c r="O450" s="3">
        <v>6763.12</v>
      </c>
      <c r="P450">
        <v>0</v>
      </c>
      <c r="Q450">
        <v>4.3</v>
      </c>
      <c r="R450">
        <v>0.69</v>
      </c>
      <c r="S450" t="str">
        <f t="shared" si="6"/>
        <v>December</v>
      </c>
    </row>
    <row r="451" spans="1:19" x14ac:dyDescent="0.2">
      <c r="A451" t="s">
        <v>960</v>
      </c>
      <c r="B451" t="s">
        <v>961</v>
      </c>
      <c r="C451" t="s">
        <v>58</v>
      </c>
      <c r="D451" t="s">
        <v>49</v>
      </c>
      <c r="E451" s="1">
        <v>45963</v>
      </c>
      <c r="F451" s="1">
        <v>45965</v>
      </c>
      <c r="G451" t="s">
        <v>36</v>
      </c>
      <c r="H451" t="s">
        <v>50</v>
      </c>
      <c r="I451" t="s">
        <v>51</v>
      </c>
      <c r="J451">
        <v>31</v>
      </c>
      <c r="K451" t="s">
        <v>78</v>
      </c>
      <c r="L451" t="s">
        <v>32</v>
      </c>
      <c r="M451" t="s">
        <v>39</v>
      </c>
      <c r="N451">
        <v>1.3</v>
      </c>
      <c r="O451" s="3">
        <v>6763.12</v>
      </c>
      <c r="P451">
        <v>0</v>
      </c>
      <c r="Q451">
        <v>4.4000000000000004</v>
      </c>
      <c r="R451">
        <v>0.77</v>
      </c>
      <c r="S451" t="str">
        <f t="shared" ref="S451:S514" si="7">TEXT(E451, "mmmm")</f>
        <v>November</v>
      </c>
    </row>
    <row r="452" spans="1:19" x14ac:dyDescent="0.2">
      <c r="A452" t="s">
        <v>962</v>
      </c>
      <c r="B452" t="s">
        <v>963</v>
      </c>
      <c r="C452" t="s">
        <v>122</v>
      </c>
      <c r="D452" t="s">
        <v>42</v>
      </c>
      <c r="E452" s="1">
        <v>45727</v>
      </c>
      <c r="F452" s="1">
        <v>45728</v>
      </c>
      <c r="G452" t="s">
        <v>68</v>
      </c>
      <c r="H452" t="s">
        <v>50</v>
      </c>
      <c r="I452" t="s">
        <v>45</v>
      </c>
      <c r="J452">
        <v>74</v>
      </c>
      <c r="K452" t="s">
        <v>169</v>
      </c>
      <c r="L452" t="s">
        <v>26</v>
      </c>
      <c r="M452" t="s">
        <v>52</v>
      </c>
      <c r="N452">
        <v>0.2</v>
      </c>
      <c r="O452" s="3">
        <v>6763.12</v>
      </c>
      <c r="P452">
        <v>1</v>
      </c>
      <c r="Q452">
        <v>3.8</v>
      </c>
      <c r="R452">
        <v>0.81</v>
      </c>
      <c r="S452" t="str">
        <f t="shared" si="7"/>
        <v>March</v>
      </c>
    </row>
    <row r="453" spans="1:19" x14ac:dyDescent="0.2">
      <c r="A453" t="s">
        <v>964</v>
      </c>
      <c r="B453" t="s">
        <v>965</v>
      </c>
      <c r="C453" t="s">
        <v>122</v>
      </c>
      <c r="D453" t="s">
        <v>35</v>
      </c>
      <c r="E453" s="1">
        <v>45664</v>
      </c>
      <c r="F453" s="1">
        <v>45665</v>
      </c>
      <c r="G453" t="s">
        <v>68</v>
      </c>
      <c r="H453" t="s">
        <v>50</v>
      </c>
      <c r="I453" t="s">
        <v>37</v>
      </c>
      <c r="J453">
        <v>4</v>
      </c>
      <c r="K453" t="s">
        <v>103</v>
      </c>
      <c r="L453" t="s">
        <v>32</v>
      </c>
      <c r="M453" t="s">
        <v>39</v>
      </c>
      <c r="N453">
        <v>0.4</v>
      </c>
      <c r="O453" s="3">
        <v>6763.12</v>
      </c>
      <c r="P453">
        <v>0</v>
      </c>
      <c r="Q453">
        <v>3.6</v>
      </c>
      <c r="R453">
        <v>0.69</v>
      </c>
      <c r="S453" t="str">
        <f t="shared" si="7"/>
        <v>January</v>
      </c>
    </row>
    <row r="454" spans="1:19" x14ac:dyDescent="0.2">
      <c r="A454" t="s">
        <v>966</v>
      </c>
      <c r="B454" t="s">
        <v>967</v>
      </c>
      <c r="C454" t="s">
        <v>20</v>
      </c>
      <c r="D454" t="s">
        <v>49</v>
      </c>
      <c r="E454" s="1">
        <v>45676</v>
      </c>
      <c r="F454" s="1">
        <v>45677</v>
      </c>
      <c r="G454" t="s">
        <v>99</v>
      </c>
      <c r="H454" t="s">
        <v>23</v>
      </c>
      <c r="I454" t="s">
        <v>100</v>
      </c>
      <c r="J454">
        <v>77</v>
      </c>
      <c r="K454" t="s">
        <v>65</v>
      </c>
      <c r="L454" t="s">
        <v>26</v>
      </c>
      <c r="M454" t="s">
        <v>39</v>
      </c>
      <c r="N454">
        <v>0.9</v>
      </c>
      <c r="O454" s="3">
        <v>6763.12</v>
      </c>
      <c r="P454">
        <v>0</v>
      </c>
      <c r="Q454">
        <v>3.9</v>
      </c>
      <c r="R454">
        <v>0.81</v>
      </c>
      <c r="S454" t="str">
        <f t="shared" si="7"/>
        <v>January</v>
      </c>
    </row>
    <row r="455" spans="1:19" x14ac:dyDescent="0.2">
      <c r="A455" t="s">
        <v>968</v>
      </c>
      <c r="B455" t="s">
        <v>969</v>
      </c>
      <c r="C455" t="s">
        <v>122</v>
      </c>
      <c r="D455" t="s">
        <v>35</v>
      </c>
      <c r="E455" s="1">
        <v>45875</v>
      </c>
      <c r="F455" s="1">
        <v>45877</v>
      </c>
      <c r="G455" t="s">
        <v>50</v>
      </c>
      <c r="H455" t="s">
        <v>50</v>
      </c>
      <c r="I455" t="s">
        <v>51</v>
      </c>
      <c r="J455">
        <v>27</v>
      </c>
      <c r="K455" t="s">
        <v>78</v>
      </c>
      <c r="L455" t="s">
        <v>26</v>
      </c>
      <c r="M455" t="s">
        <v>39</v>
      </c>
      <c r="N455">
        <v>1.9</v>
      </c>
      <c r="O455" s="3">
        <v>6763.12</v>
      </c>
      <c r="P455">
        <v>0</v>
      </c>
      <c r="Q455">
        <v>3.9</v>
      </c>
      <c r="R455">
        <v>0.81</v>
      </c>
      <c r="S455" t="str">
        <f t="shared" si="7"/>
        <v>August</v>
      </c>
    </row>
    <row r="456" spans="1:19" x14ac:dyDescent="0.2">
      <c r="A456" t="s">
        <v>970</v>
      </c>
      <c r="B456" t="s">
        <v>971</v>
      </c>
      <c r="C456" t="s">
        <v>58</v>
      </c>
      <c r="D456" t="s">
        <v>35</v>
      </c>
      <c r="E456" s="1">
        <v>45715</v>
      </c>
      <c r="F456" s="1">
        <v>45717</v>
      </c>
      <c r="G456" t="s">
        <v>116</v>
      </c>
      <c r="H456" t="s">
        <v>23</v>
      </c>
      <c r="I456" t="s">
        <v>117</v>
      </c>
      <c r="J456">
        <v>56</v>
      </c>
      <c r="K456" t="s">
        <v>38</v>
      </c>
      <c r="L456" t="s">
        <v>32</v>
      </c>
      <c r="M456" t="s">
        <v>82</v>
      </c>
      <c r="N456">
        <v>1.5</v>
      </c>
      <c r="O456" s="3">
        <v>6763.12</v>
      </c>
      <c r="P456">
        <v>0</v>
      </c>
      <c r="Q456">
        <v>4.2</v>
      </c>
      <c r="R456">
        <v>0.77</v>
      </c>
      <c r="S456" t="str">
        <f t="shared" si="7"/>
        <v>February</v>
      </c>
    </row>
    <row r="457" spans="1:19" x14ac:dyDescent="0.2">
      <c r="A457" t="s">
        <v>972</v>
      </c>
      <c r="B457" t="s">
        <v>973</v>
      </c>
      <c r="C457" t="s">
        <v>58</v>
      </c>
      <c r="D457" t="s">
        <v>49</v>
      </c>
      <c r="E457" s="1">
        <v>45742</v>
      </c>
      <c r="F457" s="1">
        <v>45755</v>
      </c>
      <c r="G457" t="s">
        <v>71</v>
      </c>
      <c r="H457" t="s">
        <v>44</v>
      </c>
      <c r="I457" t="s">
        <v>81</v>
      </c>
      <c r="J457">
        <v>82</v>
      </c>
      <c r="K457" t="s">
        <v>65</v>
      </c>
      <c r="L457" t="s">
        <v>32</v>
      </c>
      <c r="M457" t="s">
        <v>82</v>
      </c>
      <c r="N457">
        <v>12.1</v>
      </c>
      <c r="O457" s="3">
        <v>6763.12</v>
      </c>
      <c r="P457">
        <v>0</v>
      </c>
      <c r="Q457">
        <v>3.9</v>
      </c>
      <c r="R457">
        <v>0.78</v>
      </c>
      <c r="S457" t="str">
        <f t="shared" si="7"/>
        <v>March</v>
      </c>
    </row>
    <row r="458" spans="1:19" x14ac:dyDescent="0.2">
      <c r="A458" t="s">
        <v>974</v>
      </c>
      <c r="B458" t="s">
        <v>975</v>
      </c>
      <c r="C458" t="s">
        <v>20</v>
      </c>
      <c r="D458" t="s">
        <v>42</v>
      </c>
      <c r="E458" s="1">
        <v>45967</v>
      </c>
      <c r="F458" s="1">
        <v>45968</v>
      </c>
      <c r="G458" t="s">
        <v>99</v>
      </c>
      <c r="H458" t="s">
        <v>23</v>
      </c>
      <c r="I458" t="s">
        <v>64</v>
      </c>
      <c r="J458">
        <v>23</v>
      </c>
      <c r="K458" t="s">
        <v>78</v>
      </c>
      <c r="L458" t="s">
        <v>32</v>
      </c>
      <c r="M458" t="s">
        <v>27</v>
      </c>
      <c r="N458">
        <v>1</v>
      </c>
      <c r="O458" s="3">
        <v>6763.12</v>
      </c>
      <c r="P458">
        <v>1</v>
      </c>
      <c r="Q458">
        <v>3.8</v>
      </c>
      <c r="R458">
        <v>0.79</v>
      </c>
      <c r="S458" t="str">
        <f t="shared" si="7"/>
        <v>November</v>
      </c>
    </row>
    <row r="459" spans="1:19" x14ac:dyDescent="0.2">
      <c r="A459" t="s">
        <v>976</v>
      </c>
      <c r="B459" t="s">
        <v>977</v>
      </c>
      <c r="C459" t="s">
        <v>58</v>
      </c>
      <c r="D459" t="s">
        <v>49</v>
      </c>
      <c r="E459" s="1">
        <v>45976</v>
      </c>
      <c r="F459" s="1">
        <v>45986</v>
      </c>
      <c r="G459" t="s">
        <v>36</v>
      </c>
      <c r="H459" t="s">
        <v>50</v>
      </c>
      <c r="I459" t="s">
        <v>24</v>
      </c>
      <c r="J459">
        <v>37</v>
      </c>
      <c r="K459" t="s">
        <v>25</v>
      </c>
      <c r="L459" t="s">
        <v>32</v>
      </c>
      <c r="M459" t="s">
        <v>52</v>
      </c>
      <c r="N459">
        <v>9.6</v>
      </c>
      <c r="O459" s="3">
        <v>6763.12</v>
      </c>
      <c r="P459">
        <v>0</v>
      </c>
      <c r="Q459">
        <v>4.3</v>
      </c>
      <c r="R459">
        <v>0.71</v>
      </c>
      <c r="S459" t="str">
        <f t="shared" si="7"/>
        <v>November</v>
      </c>
    </row>
    <row r="460" spans="1:19" x14ac:dyDescent="0.2">
      <c r="A460" t="s">
        <v>978</v>
      </c>
      <c r="B460" t="s">
        <v>979</v>
      </c>
      <c r="C460" t="s">
        <v>20</v>
      </c>
      <c r="D460" t="s">
        <v>35</v>
      </c>
      <c r="E460" s="1">
        <v>45964</v>
      </c>
      <c r="F460" s="1">
        <v>45966</v>
      </c>
      <c r="G460" t="s">
        <v>71</v>
      </c>
      <c r="H460" t="s">
        <v>23</v>
      </c>
      <c r="I460" t="s">
        <v>24</v>
      </c>
      <c r="J460">
        <v>75</v>
      </c>
      <c r="K460" t="s">
        <v>65</v>
      </c>
      <c r="L460" t="s">
        <v>26</v>
      </c>
      <c r="M460" t="s">
        <v>27</v>
      </c>
      <c r="N460">
        <v>1.8</v>
      </c>
      <c r="O460" s="3">
        <v>6763.12</v>
      </c>
      <c r="P460">
        <v>1</v>
      </c>
      <c r="Q460">
        <v>3.5</v>
      </c>
      <c r="R460">
        <v>0.73</v>
      </c>
      <c r="S460" t="str">
        <f t="shared" si="7"/>
        <v>November</v>
      </c>
    </row>
    <row r="461" spans="1:19" x14ac:dyDescent="0.2">
      <c r="A461" t="s">
        <v>980</v>
      </c>
      <c r="B461" t="s">
        <v>981</v>
      </c>
      <c r="C461" t="s">
        <v>58</v>
      </c>
      <c r="D461" t="s">
        <v>49</v>
      </c>
      <c r="E461" s="1">
        <v>45750</v>
      </c>
      <c r="F461" s="1">
        <v>45751</v>
      </c>
      <c r="G461" t="s">
        <v>50</v>
      </c>
      <c r="H461" t="s">
        <v>50</v>
      </c>
      <c r="I461" t="s">
        <v>31</v>
      </c>
      <c r="J461">
        <v>78</v>
      </c>
      <c r="K461" t="s">
        <v>65</v>
      </c>
      <c r="L461" t="s">
        <v>26</v>
      </c>
      <c r="M461" t="s">
        <v>82</v>
      </c>
      <c r="N461">
        <v>0.9</v>
      </c>
      <c r="O461" s="3">
        <v>6763.12</v>
      </c>
      <c r="P461">
        <v>0</v>
      </c>
      <c r="Q461">
        <v>5</v>
      </c>
      <c r="R461">
        <v>0.79</v>
      </c>
      <c r="S461" t="str">
        <f t="shared" si="7"/>
        <v>April</v>
      </c>
    </row>
    <row r="462" spans="1:19" x14ac:dyDescent="0.2">
      <c r="A462" t="s">
        <v>982</v>
      </c>
      <c r="B462" t="s">
        <v>983</v>
      </c>
      <c r="C462" t="s">
        <v>122</v>
      </c>
      <c r="D462" t="s">
        <v>21</v>
      </c>
      <c r="E462" s="1">
        <v>45884</v>
      </c>
      <c r="F462" s="1">
        <v>45885</v>
      </c>
      <c r="G462" t="s">
        <v>99</v>
      </c>
      <c r="H462" t="s">
        <v>50</v>
      </c>
      <c r="I462" t="s">
        <v>55</v>
      </c>
      <c r="J462">
        <v>21</v>
      </c>
      <c r="K462" t="s">
        <v>78</v>
      </c>
      <c r="L462" t="s">
        <v>26</v>
      </c>
      <c r="M462" t="s">
        <v>52</v>
      </c>
      <c r="N462">
        <v>0.6</v>
      </c>
      <c r="O462" s="3">
        <v>6763.12</v>
      </c>
      <c r="P462">
        <v>0</v>
      </c>
      <c r="Q462">
        <v>4.4000000000000004</v>
      </c>
      <c r="R462">
        <v>0.81</v>
      </c>
      <c r="S462" t="str">
        <f t="shared" si="7"/>
        <v>August</v>
      </c>
    </row>
    <row r="463" spans="1:19" x14ac:dyDescent="0.2">
      <c r="A463" t="s">
        <v>984</v>
      </c>
      <c r="B463" t="s">
        <v>985</v>
      </c>
      <c r="C463" t="s">
        <v>58</v>
      </c>
      <c r="D463" t="s">
        <v>42</v>
      </c>
      <c r="E463" s="1">
        <v>45880</v>
      </c>
      <c r="F463" s="1">
        <v>45895</v>
      </c>
      <c r="G463" t="s">
        <v>59</v>
      </c>
      <c r="H463" t="s">
        <v>50</v>
      </c>
      <c r="I463" t="s">
        <v>64</v>
      </c>
      <c r="J463">
        <v>46</v>
      </c>
      <c r="K463" t="s">
        <v>25</v>
      </c>
      <c r="L463" t="s">
        <v>32</v>
      </c>
      <c r="M463" t="s">
        <v>39</v>
      </c>
      <c r="N463">
        <v>14.9</v>
      </c>
      <c r="O463" s="3">
        <v>6763.12</v>
      </c>
      <c r="P463">
        <v>1</v>
      </c>
      <c r="Q463">
        <v>2.9</v>
      </c>
      <c r="R463">
        <v>0.8</v>
      </c>
      <c r="S463" t="str">
        <f t="shared" si="7"/>
        <v>August</v>
      </c>
    </row>
    <row r="464" spans="1:19" x14ac:dyDescent="0.2">
      <c r="A464" t="s">
        <v>986</v>
      </c>
      <c r="B464" t="s">
        <v>987</v>
      </c>
      <c r="C464" t="s">
        <v>58</v>
      </c>
      <c r="D464" t="s">
        <v>49</v>
      </c>
      <c r="E464" s="1">
        <v>45725</v>
      </c>
      <c r="F464" s="1">
        <v>45728</v>
      </c>
      <c r="G464" t="s">
        <v>43</v>
      </c>
      <c r="H464" t="s">
        <v>50</v>
      </c>
      <c r="I464" t="s">
        <v>31</v>
      </c>
      <c r="J464">
        <v>30</v>
      </c>
      <c r="K464" t="s">
        <v>78</v>
      </c>
      <c r="L464" t="s">
        <v>32</v>
      </c>
      <c r="M464" t="s">
        <v>27</v>
      </c>
      <c r="N464">
        <v>2.7</v>
      </c>
      <c r="O464" s="3">
        <v>6763.12</v>
      </c>
      <c r="P464">
        <v>0</v>
      </c>
      <c r="Q464">
        <v>4</v>
      </c>
      <c r="R464">
        <v>0.72</v>
      </c>
      <c r="S464" t="str">
        <f t="shared" si="7"/>
        <v>March</v>
      </c>
    </row>
    <row r="465" spans="1:19" x14ac:dyDescent="0.2">
      <c r="A465" t="s">
        <v>988</v>
      </c>
      <c r="B465" t="s">
        <v>989</v>
      </c>
      <c r="C465" t="s">
        <v>122</v>
      </c>
      <c r="D465" t="s">
        <v>42</v>
      </c>
      <c r="E465" s="1">
        <v>45860</v>
      </c>
      <c r="F465" s="1">
        <v>45873</v>
      </c>
      <c r="G465" t="s">
        <v>99</v>
      </c>
      <c r="H465" t="s">
        <v>50</v>
      </c>
      <c r="I465" t="s">
        <v>81</v>
      </c>
      <c r="J465">
        <v>47</v>
      </c>
      <c r="K465" t="s">
        <v>25</v>
      </c>
      <c r="L465" t="s">
        <v>32</v>
      </c>
      <c r="M465" t="s">
        <v>39</v>
      </c>
      <c r="N465">
        <v>12.9</v>
      </c>
      <c r="O465" s="3">
        <v>6763.12</v>
      </c>
      <c r="P465">
        <v>0</v>
      </c>
      <c r="Q465">
        <v>4.2</v>
      </c>
      <c r="R465">
        <v>0.81</v>
      </c>
      <c r="S465" t="str">
        <f t="shared" si="7"/>
        <v>July</v>
      </c>
    </row>
    <row r="466" spans="1:19" x14ac:dyDescent="0.2">
      <c r="A466" t="s">
        <v>990</v>
      </c>
      <c r="B466" t="s">
        <v>991</v>
      </c>
      <c r="C466" t="s">
        <v>20</v>
      </c>
      <c r="D466" t="s">
        <v>35</v>
      </c>
      <c r="E466" s="1">
        <v>45849</v>
      </c>
      <c r="F466" s="1">
        <v>45857</v>
      </c>
      <c r="G466" t="s">
        <v>36</v>
      </c>
      <c r="H466" t="s">
        <v>50</v>
      </c>
      <c r="I466" t="s">
        <v>100</v>
      </c>
      <c r="J466">
        <v>34</v>
      </c>
      <c r="K466" t="s">
        <v>78</v>
      </c>
      <c r="L466" t="s">
        <v>26</v>
      </c>
      <c r="M466" t="s">
        <v>27</v>
      </c>
      <c r="N466">
        <v>7.4</v>
      </c>
      <c r="O466" s="3">
        <v>6763.12</v>
      </c>
      <c r="P466">
        <v>0</v>
      </c>
      <c r="Q466">
        <v>3.5</v>
      </c>
      <c r="R466">
        <v>0.74</v>
      </c>
      <c r="S466" t="str">
        <f t="shared" si="7"/>
        <v>July</v>
      </c>
    </row>
    <row r="467" spans="1:19" x14ac:dyDescent="0.2">
      <c r="A467" t="s">
        <v>992</v>
      </c>
      <c r="B467" t="s">
        <v>993</v>
      </c>
      <c r="C467" t="s">
        <v>62</v>
      </c>
      <c r="D467" t="s">
        <v>21</v>
      </c>
      <c r="E467" s="1">
        <v>45802</v>
      </c>
      <c r="F467" s="1">
        <v>45805</v>
      </c>
      <c r="G467" t="s">
        <v>36</v>
      </c>
      <c r="H467" t="s">
        <v>50</v>
      </c>
      <c r="I467" t="s">
        <v>37</v>
      </c>
      <c r="J467">
        <v>0</v>
      </c>
      <c r="K467" t="s">
        <v>103</v>
      </c>
      <c r="L467" t="s">
        <v>32</v>
      </c>
      <c r="M467" t="s">
        <v>82</v>
      </c>
      <c r="N467">
        <v>2.8</v>
      </c>
      <c r="O467" s="3">
        <v>6763.12</v>
      </c>
      <c r="P467">
        <v>1</v>
      </c>
      <c r="Q467">
        <v>3</v>
      </c>
      <c r="R467">
        <v>0.81</v>
      </c>
      <c r="S467" t="str">
        <f t="shared" si="7"/>
        <v>May</v>
      </c>
    </row>
    <row r="468" spans="1:19" x14ac:dyDescent="0.2">
      <c r="A468" t="s">
        <v>994</v>
      </c>
      <c r="B468" t="s">
        <v>995</v>
      </c>
      <c r="C468" t="s">
        <v>122</v>
      </c>
      <c r="D468" t="s">
        <v>49</v>
      </c>
      <c r="E468" s="1">
        <v>45932</v>
      </c>
      <c r="F468" s="1">
        <v>45934</v>
      </c>
      <c r="G468" t="s">
        <v>36</v>
      </c>
      <c r="H468" t="s">
        <v>50</v>
      </c>
      <c r="I468" t="s">
        <v>100</v>
      </c>
      <c r="J468">
        <v>84</v>
      </c>
      <c r="K468" t="s">
        <v>65</v>
      </c>
      <c r="L468" t="s">
        <v>32</v>
      </c>
      <c r="M468" t="s">
        <v>27</v>
      </c>
      <c r="N468">
        <v>1.8</v>
      </c>
      <c r="O468" s="3">
        <v>6763.12</v>
      </c>
      <c r="P468">
        <v>1</v>
      </c>
      <c r="Q468">
        <v>3.3</v>
      </c>
      <c r="R468">
        <v>0.79</v>
      </c>
      <c r="S468" t="str">
        <f t="shared" si="7"/>
        <v>October</v>
      </c>
    </row>
    <row r="469" spans="1:19" x14ac:dyDescent="0.2">
      <c r="A469" t="s">
        <v>996</v>
      </c>
      <c r="B469" t="s">
        <v>997</v>
      </c>
      <c r="C469" t="s">
        <v>58</v>
      </c>
      <c r="D469" t="s">
        <v>21</v>
      </c>
      <c r="E469" s="1">
        <v>45905</v>
      </c>
      <c r="F469" s="1">
        <v>45911</v>
      </c>
      <c r="G469" t="s">
        <v>99</v>
      </c>
      <c r="H469" t="s">
        <v>23</v>
      </c>
      <c r="I469" t="s">
        <v>51</v>
      </c>
      <c r="J469">
        <v>57</v>
      </c>
      <c r="K469" t="s">
        <v>38</v>
      </c>
      <c r="L469" t="s">
        <v>26</v>
      </c>
      <c r="M469" t="s">
        <v>39</v>
      </c>
      <c r="N469">
        <v>5.6</v>
      </c>
      <c r="O469" s="3">
        <v>6763.12</v>
      </c>
      <c r="P469">
        <v>0</v>
      </c>
      <c r="Q469">
        <v>4.2</v>
      </c>
      <c r="R469">
        <v>0.78</v>
      </c>
      <c r="S469" t="str">
        <f t="shared" si="7"/>
        <v>September</v>
      </c>
    </row>
    <row r="470" spans="1:19" x14ac:dyDescent="0.2">
      <c r="A470" t="s">
        <v>998</v>
      </c>
      <c r="B470" t="s">
        <v>999</v>
      </c>
      <c r="C470" t="s">
        <v>62</v>
      </c>
      <c r="D470" t="s">
        <v>49</v>
      </c>
      <c r="E470" s="1">
        <v>45852</v>
      </c>
      <c r="F470" s="1">
        <v>45853</v>
      </c>
      <c r="G470" t="s">
        <v>50</v>
      </c>
      <c r="H470" t="s">
        <v>44</v>
      </c>
      <c r="I470" t="s">
        <v>81</v>
      </c>
      <c r="J470">
        <v>42</v>
      </c>
      <c r="K470" t="s">
        <v>25</v>
      </c>
      <c r="L470" t="s">
        <v>26</v>
      </c>
      <c r="M470" t="s">
        <v>82</v>
      </c>
      <c r="N470">
        <v>1</v>
      </c>
      <c r="O470" s="3">
        <v>6763.12</v>
      </c>
      <c r="P470">
        <v>0</v>
      </c>
      <c r="Q470">
        <v>2.6</v>
      </c>
      <c r="R470">
        <v>0.91</v>
      </c>
      <c r="S470" t="str">
        <f t="shared" si="7"/>
        <v>July</v>
      </c>
    </row>
    <row r="471" spans="1:19" x14ac:dyDescent="0.2">
      <c r="A471" t="s">
        <v>1000</v>
      </c>
      <c r="B471" t="s">
        <v>1001</v>
      </c>
      <c r="C471" t="s">
        <v>62</v>
      </c>
      <c r="D471" t="s">
        <v>21</v>
      </c>
      <c r="E471" s="1">
        <v>45922</v>
      </c>
      <c r="F471" s="1">
        <v>45924</v>
      </c>
      <c r="G471" t="s">
        <v>36</v>
      </c>
      <c r="H471" t="s">
        <v>50</v>
      </c>
      <c r="I471" t="s">
        <v>45</v>
      </c>
      <c r="J471">
        <v>9</v>
      </c>
      <c r="K471" t="s">
        <v>103</v>
      </c>
      <c r="L471" t="s">
        <v>32</v>
      </c>
      <c r="M471" t="s">
        <v>27</v>
      </c>
      <c r="N471">
        <v>1.7</v>
      </c>
      <c r="O471" s="3">
        <v>6763.12</v>
      </c>
      <c r="P471">
        <v>0</v>
      </c>
      <c r="Q471">
        <v>3</v>
      </c>
      <c r="R471">
        <v>0.83</v>
      </c>
      <c r="S471" t="str">
        <f t="shared" si="7"/>
        <v>September</v>
      </c>
    </row>
    <row r="472" spans="1:19" x14ac:dyDescent="0.2">
      <c r="A472" t="s">
        <v>1002</v>
      </c>
      <c r="B472" t="s">
        <v>1003</v>
      </c>
      <c r="C472" t="s">
        <v>122</v>
      </c>
      <c r="D472" t="s">
        <v>42</v>
      </c>
      <c r="E472" s="1">
        <v>45936</v>
      </c>
      <c r="F472" s="1">
        <v>45939</v>
      </c>
      <c r="G472" t="s">
        <v>68</v>
      </c>
      <c r="H472" t="s">
        <v>23</v>
      </c>
      <c r="I472" t="s">
        <v>81</v>
      </c>
      <c r="J472">
        <v>6</v>
      </c>
      <c r="K472" t="s">
        <v>103</v>
      </c>
      <c r="L472" t="s">
        <v>26</v>
      </c>
      <c r="M472" t="s">
        <v>27</v>
      </c>
      <c r="N472">
        <v>2.6</v>
      </c>
      <c r="O472" s="3">
        <v>6763.12</v>
      </c>
      <c r="P472">
        <v>0</v>
      </c>
      <c r="Q472">
        <v>4.2</v>
      </c>
      <c r="R472">
        <v>0.75</v>
      </c>
      <c r="S472" t="str">
        <f t="shared" si="7"/>
        <v>October</v>
      </c>
    </row>
    <row r="473" spans="1:19" x14ac:dyDescent="0.2">
      <c r="A473" t="s">
        <v>1004</v>
      </c>
      <c r="B473" t="s">
        <v>1005</v>
      </c>
      <c r="C473" t="s">
        <v>58</v>
      </c>
      <c r="D473" t="s">
        <v>35</v>
      </c>
      <c r="E473" s="1">
        <v>45864</v>
      </c>
      <c r="F473" s="1">
        <v>45865</v>
      </c>
      <c r="G473" t="s">
        <v>59</v>
      </c>
      <c r="H473" t="s">
        <v>50</v>
      </c>
      <c r="I473" t="s">
        <v>81</v>
      </c>
      <c r="J473">
        <v>43</v>
      </c>
      <c r="K473" t="s">
        <v>25</v>
      </c>
      <c r="L473" t="s">
        <v>32</v>
      </c>
      <c r="M473" t="s">
        <v>39</v>
      </c>
      <c r="N473">
        <v>0.7</v>
      </c>
      <c r="O473" s="3">
        <v>6763.12</v>
      </c>
      <c r="P473">
        <v>0</v>
      </c>
      <c r="Q473">
        <v>3.7</v>
      </c>
      <c r="R473">
        <v>0.71</v>
      </c>
      <c r="S473" t="str">
        <f t="shared" si="7"/>
        <v>July</v>
      </c>
    </row>
    <row r="474" spans="1:19" x14ac:dyDescent="0.2">
      <c r="A474" t="s">
        <v>1006</v>
      </c>
      <c r="B474" t="s">
        <v>1007</v>
      </c>
      <c r="C474" t="s">
        <v>62</v>
      </c>
      <c r="D474" t="s">
        <v>42</v>
      </c>
      <c r="E474" s="1">
        <v>45755</v>
      </c>
      <c r="F474" s="1">
        <v>45759</v>
      </c>
      <c r="G474" t="s">
        <v>43</v>
      </c>
      <c r="H474" t="s">
        <v>50</v>
      </c>
      <c r="I474" t="s">
        <v>51</v>
      </c>
      <c r="J474">
        <v>59</v>
      </c>
      <c r="K474" t="s">
        <v>38</v>
      </c>
      <c r="L474" t="s">
        <v>32</v>
      </c>
      <c r="M474" t="s">
        <v>27</v>
      </c>
      <c r="N474">
        <v>3.9</v>
      </c>
      <c r="O474" s="3">
        <v>6763.12</v>
      </c>
      <c r="P474">
        <v>0</v>
      </c>
      <c r="Q474">
        <v>3.5</v>
      </c>
      <c r="R474">
        <v>0.81</v>
      </c>
      <c r="S474" t="str">
        <f t="shared" si="7"/>
        <v>April</v>
      </c>
    </row>
    <row r="475" spans="1:19" x14ac:dyDescent="0.2">
      <c r="A475" t="s">
        <v>1008</v>
      </c>
      <c r="B475" t="s">
        <v>1009</v>
      </c>
      <c r="C475" t="s">
        <v>20</v>
      </c>
      <c r="D475" t="s">
        <v>21</v>
      </c>
      <c r="E475" s="1">
        <v>45934</v>
      </c>
      <c r="F475" s="1">
        <v>45936</v>
      </c>
      <c r="G475" t="s">
        <v>50</v>
      </c>
      <c r="H475" t="s">
        <v>50</v>
      </c>
      <c r="I475" t="s">
        <v>51</v>
      </c>
      <c r="J475">
        <v>23</v>
      </c>
      <c r="K475" t="s">
        <v>78</v>
      </c>
      <c r="L475" t="s">
        <v>32</v>
      </c>
      <c r="M475" t="s">
        <v>27</v>
      </c>
      <c r="N475">
        <v>1.6</v>
      </c>
      <c r="O475" s="3">
        <v>6763.12</v>
      </c>
      <c r="P475">
        <v>1</v>
      </c>
      <c r="Q475">
        <v>3.4</v>
      </c>
      <c r="R475">
        <v>0.89</v>
      </c>
      <c r="S475" t="str">
        <f t="shared" si="7"/>
        <v>October</v>
      </c>
    </row>
    <row r="476" spans="1:19" x14ac:dyDescent="0.2">
      <c r="A476" t="s">
        <v>1010</v>
      </c>
      <c r="B476" t="s">
        <v>1011</v>
      </c>
      <c r="C476" t="s">
        <v>30</v>
      </c>
      <c r="D476" t="s">
        <v>21</v>
      </c>
      <c r="E476" s="1">
        <v>45919</v>
      </c>
      <c r="F476" s="1">
        <v>45920</v>
      </c>
      <c r="G476" t="s">
        <v>43</v>
      </c>
      <c r="H476" t="s">
        <v>50</v>
      </c>
      <c r="I476" t="s">
        <v>24</v>
      </c>
      <c r="J476">
        <v>67</v>
      </c>
      <c r="K476" t="s">
        <v>169</v>
      </c>
      <c r="L476" t="s">
        <v>32</v>
      </c>
      <c r="M476" t="s">
        <v>27</v>
      </c>
      <c r="N476">
        <v>1</v>
      </c>
      <c r="O476" s="3">
        <v>6763.12</v>
      </c>
      <c r="P476">
        <v>0</v>
      </c>
      <c r="Q476">
        <v>3</v>
      </c>
      <c r="R476">
        <v>0.85</v>
      </c>
      <c r="S476" t="str">
        <f t="shared" si="7"/>
        <v>September</v>
      </c>
    </row>
    <row r="477" spans="1:19" x14ac:dyDescent="0.2">
      <c r="A477" t="s">
        <v>1012</v>
      </c>
      <c r="B477" t="s">
        <v>1013</v>
      </c>
      <c r="C477" t="s">
        <v>30</v>
      </c>
      <c r="D477" t="s">
        <v>49</v>
      </c>
      <c r="E477" s="1">
        <v>46016</v>
      </c>
      <c r="F477" s="1">
        <v>46022</v>
      </c>
      <c r="G477" t="s">
        <v>116</v>
      </c>
      <c r="H477" t="s">
        <v>50</v>
      </c>
      <c r="I477" t="s">
        <v>117</v>
      </c>
      <c r="J477">
        <v>35</v>
      </c>
      <c r="K477" t="s">
        <v>25</v>
      </c>
      <c r="L477" t="s">
        <v>26</v>
      </c>
      <c r="M477" t="s">
        <v>27</v>
      </c>
      <c r="N477">
        <v>5.2</v>
      </c>
      <c r="O477" s="3">
        <v>6763.12</v>
      </c>
      <c r="P477">
        <v>0</v>
      </c>
      <c r="Q477">
        <v>4.2</v>
      </c>
      <c r="R477">
        <v>0.86</v>
      </c>
      <c r="S477" t="str">
        <f t="shared" si="7"/>
        <v>December</v>
      </c>
    </row>
    <row r="478" spans="1:19" x14ac:dyDescent="0.2">
      <c r="A478" t="s">
        <v>1014</v>
      </c>
      <c r="B478" t="s">
        <v>1015</v>
      </c>
      <c r="C478" t="s">
        <v>62</v>
      </c>
      <c r="D478" t="s">
        <v>35</v>
      </c>
      <c r="E478" s="1">
        <v>45712</v>
      </c>
      <c r="F478" s="1">
        <v>45718</v>
      </c>
      <c r="G478" t="s">
        <v>43</v>
      </c>
      <c r="H478" t="s">
        <v>50</v>
      </c>
      <c r="I478" t="s">
        <v>64</v>
      </c>
      <c r="J478">
        <v>1</v>
      </c>
      <c r="K478" t="s">
        <v>103</v>
      </c>
      <c r="L478" t="s">
        <v>26</v>
      </c>
      <c r="M478" t="s">
        <v>39</v>
      </c>
      <c r="N478">
        <v>5.8</v>
      </c>
      <c r="O478" s="3">
        <v>6763.12</v>
      </c>
      <c r="P478">
        <v>0</v>
      </c>
      <c r="Q478">
        <v>3.4</v>
      </c>
      <c r="R478">
        <v>0.83</v>
      </c>
      <c r="S478" t="str">
        <f t="shared" si="7"/>
        <v>February</v>
      </c>
    </row>
    <row r="479" spans="1:19" x14ac:dyDescent="0.2">
      <c r="A479" t="s">
        <v>1016</v>
      </c>
      <c r="B479" t="s">
        <v>1017</v>
      </c>
      <c r="C479" t="s">
        <v>20</v>
      </c>
      <c r="D479" t="s">
        <v>42</v>
      </c>
      <c r="E479" s="1">
        <v>45811</v>
      </c>
      <c r="F479" s="1">
        <v>45816</v>
      </c>
      <c r="G479" t="s">
        <v>63</v>
      </c>
      <c r="H479" t="s">
        <v>50</v>
      </c>
      <c r="I479" t="s">
        <v>55</v>
      </c>
      <c r="J479">
        <v>48</v>
      </c>
      <c r="K479" t="s">
        <v>25</v>
      </c>
      <c r="L479" t="s">
        <v>26</v>
      </c>
      <c r="M479" t="s">
        <v>39</v>
      </c>
      <c r="N479">
        <v>4.5999999999999996</v>
      </c>
      <c r="O479" s="3">
        <v>6763.12</v>
      </c>
      <c r="P479">
        <v>0</v>
      </c>
      <c r="Q479">
        <v>3.6</v>
      </c>
      <c r="R479">
        <v>0.8</v>
      </c>
      <c r="S479" t="str">
        <f t="shared" si="7"/>
        <v>June</v>
      </c>
    </row>
    <row r="480" spans="1:19" x14ac:dyDescent="0.2">
      <c r="A480" t="s">
        <v>1018</v>
      </c>
      <c r="B480" t="s">
        <v>1019</v>
      </c>
      <c r="C480" t="s">
        <v>122</v>
      </c>
      <c r="D480" t="s">
        <v>42</v>
      </c>
      <c r="E480" s="1">
        <v>45995</v>
      </c>
      <c r="F480" s="1">
        <v>45997</v>
      </c>
      <c r="G480" t="s">
        <v>36</v>
      </c>
      <c r="H480" t="s">
        <v>50</v>
      </c>
      <c r="I480" t="s">
        <v>31</v>
      </c>
      <c r="J480">
        <v>16</v>
      </c>
      <c r="K480" t="s">
        <v>46</v>
      </c>
      <c r="L480" t="s">
        <v>32</v>
      </c>
      <c r="M480" t="s">
        <v>27</v>
      </c>
      <c r="N480">
        <v>1.4</v>
      </c>
      <c r="O480" s="3">
        <v>6763.12</v>
      </c>
      <c r="P480">
        <v>0</v>
      </c>
      <c r="Q480">
        <v>4.0999999999999996</v>
      </c>
      <c r="R480">
        <v>0.81</v>
      </c>
      <c r="S480" t="str">
        <f t="shared" si="7"/>
        <v>December</v>
      </c>
    </row>
    <row r="481" spans="1:19" x14ac:dyDescent="0.2">
      <c r="A481" t="s">
        <v>1020</v>
      </c>
      <c r="B481" t="s">
        <v>1021</v>
      </c>
      <c r="C481" t="s">
        <v>122</v>
      </c>
      <c r="D481" t="s">
        <v>42</v>
      </c>
      <c r="E481" s="1">
        <v>45845</v>
      </c>
      <c r="F481" s="1">
        <v>45849</v>
      </c>
      <c r="G481" t="s">
        <v>22</v>
      </c>
      <c r="H481" t="s">
        <v>50</v>
      </c>
      <c r="I481" t="s">
        <v>117</v>
      </c>
      <c r="J481">
        <v>1</v>
      </c>
      <c r="K481" t="s">
        <v>103</v>
      </c>
      <c r="L481" t="s">
        <v>26</v>
      </c>
      <c r="M481" t="s">
        <v>39</v>
      </c>
      <c r="N481">
        <v>3.3</v>
      </c>
      <c r="O481" s="3">
        <v>6763.12</v>
      </c>
      <c r="P481">
        <v>0</v>
      </c>
      <c r="Q481">
        <v>3.7</v>
      </c>
      <c r="R481">
        <v>0.76</v>
      </c>
      <c r="S481" t="str">
        <f t="shared" si="7"/>
        <v>July</v>
      </c>
    </row>
    <row r="482" spans="1:19" x14ac:dyDescent="0.2">
      <c r="A482" t="s">
        <v>1022</v>
      </c>
      <c r="B482" t="s">
        <v>1023</v>
      </c>
      <c r="C482" t="s">
        <v>58</v>
      </c>
      <c r="D482" t="s">
        <v>42</v>
      </c>
      <c r="E482" s="1">
        <v>46002</v>
      </c>
      <c r="F482" s="1">
        <v>46005</v>
      </c>
      <c r="G482" t="s">
        <v>43</v>
      </c>
      <c r="H482" t="s">
        <v>50</v>
      </c>
      <c r="I482" t="s">
        <v>81</v>
      </c>
      <c r="J482">
        <v>11</v>
      </c>
      <c r="K482" t="s">
        <v>103</v>
      </c>
      <c r="L482" t="s">
        <v>26</v>
      </c>
      <c r="M482" t="s">
        <v>27</v>
      </c>
      <c r="N482">
        <v>2.1</v>
      </c>
      <c r="O482" s="3">
        <v>6763.12</v>
      </c>
      <c r="P482">
        <v>0</v>
      </c>
      <c r="Q482">
        <v>3.5</v>
      </c>
      <c r="R482">
        <v>0.74</v>
      </c>
      <c r="S482" t="str">
        <f t="shared" si="7"/>
        <v>December</v>
      </c>
    </row>
    <row r="483" spans="1:19" x14ac:dyDescent="0.2">
      <c r="A483" t="s">
        <v>1024</v>
      </c>
      <c r="B483" t="s">
        <v>1025</v>
      </c>
      <c r="C483" t="s">
        <v>20</v>
      </c>
      <c r="D483" t="s">
        <v>49</v>
      </c>
      <c r="E483" s="1">
        <v>45662</v>
      </c>
      <c r="F483" s="1">
        <v>45666</v>
      </c>
      <c r="G483" t="s">
        <v>36</v>
      </c>
      <c r="H483" t="s">
        <v>50</v>
      </c>
      <c r="I483" t="s">
        <v>100</v>
      </c>
      <c r="J483">
        <v>25</v>
      </c>
      <c r="K483" t="s">
        <v>78</v>
      </c>
      <c r="L483" t="s">
        <v>32</v>
      </c>
      <c r="M483" t="s">
        <v>27</v>
      </c>
      <c r="N483">
        <v>4</v>
      </c>
      <c r="O483" s="3">
        <v>6763.12</v>
      </c>
      <c r="P483">
        <v>0</v>
      </c>
      <c r="Q483">
        <v>2.7</v>
      </c>
      <c r="R483">
        <v>0.77</v>
      </c>
      <c r="S483" t="str">
        <f t="shared" si="7"/>
        <v>January</v>
      </c>
    </row>
    <row r="484" spans="1:19" x14ac:dyDescent="0.2">
      <c r="A484" t="s">
        <v>1026</v>
      </c>
      <c r="B484" t="s">
        <v>1027</v>
      </c>
      <c r="C484" t="s">
        <v>62</v>
      </c>
      <c r="D484" t="s">
        <v>21</v>
      </c>
      <c r="E484" s="1">
        <v>45670</v>
      </c>
      <c r="F484" s="1">
        <v>45675</v>
      </c>
      <c r="G484" t="s">
        <v>43</v>
      </c>
      <c r="H484" t="s">
        <v>50</v>
      </c>
      <c r="I484" t="s">
        <v>81</v>
      </c>
      <c r="J484">
        <v>46</v>
      </c>
      <c r="K484" t="s">
        <v>25</v>
      </c>
      <c r="L484" t="s">
        <v>26</v>
      </c>
      <c r="M484" t="s">
        <v>82</v>
      </c>
      <c r="N484">
        <v>5</v>
      </c>
      <c r="O484" s="3">
        <v>6763.12</v>
      </c>
      <c r="P484">
        <v>0</v>
      </c>
      <c r="Q484">
        <v>4.0999999999999996</v>
      </c>
      <c r="R484">
        <v>0.82</v>
      </c>
      <c r="S484" t="str">
        <f t="shared" si="7"/>
        <v>January</v>
      </c>
    </row>
    <row r="485" spans="1:19" x14ac:dyDescent="0.2">
      <c r="A485" t="s">
        <v>1028</v>
      </c>
      <c r="B485" t="s">
        <v>1029</v>
      </c>
      <c r="C485" t="s">
        <v>58</v>
      </c>
      <c r="D485" t="s">
        <v>42</v>
      </c>
      <c r="E485" s="1">
        <v>45948</v>
      </c>
      <c r="F485" s="1">
        <v>45949</v>
      </c>
      <c r="G485" t="s">
        <v>68</v>
      </c>
      <c r="H485" t="s">
        <v>50</v>
      </c>
      <c r="I485" t="s">
        <v>24</v>
      </c>
      <c r="J485">
        <v>90</v>
      </c>
      <c r="K485" t="s">
        <v>65</v>
      </c>
      <c r="L485" t="s">
        <v>26</v>
      </c>
      <c r="M485" t="s">
        <v>27</v>
      </c>
      <c r="N485">
        <v>0.7</v>
      </c>
      <c r="O485" s="3">
        <v>6763.12</v>
      </c>
      <c r="P485">
        <v>1</v>
      </c>
      <c r="Q485">
        <v>3.9</v>
      </c>
      <c r="R485">
        <v>0.75</v>
      </c>
      <c r="S485" t="str">
        <f t="shared" si="7"/>
        <v>October</v>
      </c>
    </row>
    <row r="486" spans="1:19" x14ac:dyDescent="0.2">
      <c r="A486" t="s">
        <v>1030</v>
      </c>
      <c r="B486" t="s">
        <v>1031</v>
      </c>
      <c r="C486" t="s">
        <v>62</v>
      </c>
      <c r="D486" t="s">
        <v>35</v>
      </c>
      <c r="E486" s="1">
        <v>45788</v>
      </c>
      <c r="F486" s="1">
        <v>45789</v>
      </c>
      <c r="G486" t="s">
        <v>50</v>
      </c>
      <c r="H486" t="s">
        <v>50</v>
      </c>
      <c r="I486" t="s">
        <v>31</v>
      </c>
      <c r="J486">
        <v>19</v>
      </c>
      <c r="K486" t="s">
        <v>78</v>
      </c>
      <c r="L486" t="s">
        <v>26</v>
      </c>
      <c r="M486" t="s">
        <v>39</v>
      </c>
      <c r="N486">
        <v>0.2</v>
      </c>
      <c r="O486" s="3">
        <v>6763.12</v>
      </c>
      <c r="P486">
        <v>0</v>
      </c>
      <c r="Q486">
        <v>3.4</v>
      </c>
      <c r="R486">
        <v>0.81</v>
      </c>
      <c r="S486" t="str">
        <f t="shared" si="7"/>
        <v>May</v>
      </c>
    </row>
    <row r="487" spans="1:19" x14ac:dyDescent="0.2">
      <c r="A487" t="s">
        <v>1032</v>
      </c>
      <c r="B487" t="s">
        <v>1033</v>
      </c>
      <c r="C487" t="s">
        <v>62</v>
      </c>
      <c r="D487" t="s">
        <v>42</v>
      </c>
      <c r="E487" s="1">
        <v>45847</v>
      </c>
      <c r="F487" s="1">
        <v>45850</v>
      </c>
      <c r="G487" t="s">
        <v>99</v>
      </c>
      <c r="H487" t="s">
        <v>50</v>
      </c>
      <c r="I487" t="s">
        <v>37</v>
      </c>
      <c r="J487">
        <v>5</v>
      </c>
      <c r="K487" t="s">
        <v>103</v>
      </c>
      <c r="L487" t="s">
        <v>32</v>
      </c>
      <c r="M487" t="s">
        <v>52</v>
      </c>
      <c r="N487">
        <v>2.2000000000000002</v>
      </c>
      <c r="O487" s="3">
        <v>6763.12</v>
      </c>
      <c r="P487">
        <v>0</v>
      </c>
      <c r="Q487">
        <v>3.3</v>
      </c>
      <c r="R487">
        <v>0.85</v>
      </c>
      <c r="S487" t="str">
        <f t="shared" si="7"/>
        <v>July</v>
      </c>
    </row>
    <row r="488" spans="1:19" x14ac:dyDescent="0.2">
      <c r="A488" t="s">
        <v>1034</v>
      </c>
      <c r="B488" t="s">
        <v>1035</v>
      </c>
      <c r="C488" t="s">
        <v>122</v>
      </c>
      <c r="D488" t="s">
        <v>21</v>
      </c>
      <c r="E488" s="1">
        <v>45814</v>
      </c>
      <c r="F488" s="1">
        <v>45827</v>
      </c>
      <c r="G488" t="s">
        <v>63</v>
      </c>
      <c r="H488" t="s">
        <v>50</v>
      </c>
      <c r="I488" t="s">
        <v>117</v>
      </c>
      <c r="J488">
        <v>17</v>
      </c>
      <c r="K488" t="s">
        <v>46</v>
      </c>
      <c r="L488" t="s">
        <v>26</v>
      </c>
      <c r="M488" t="s">
        <v>39</v>
      </c>
      <c r="N488">
        <v>13</v>
      </c>
      <c r="O488" s="3">
        <v>6763.12</v>
      </c>
      <c r="P488">
        <v>0</v>
      </c>
      <c r="Q488">
        <v>3.7</v>
      </c>
      <c r="R488">
        <v>0.79</v>
      </c>
      <c r="S488" t="str">
        <f t="shared" si="7"/>
        <v>June</v>
      </c>
    </row>
    <row r="489" spans="1:19" x14ac:dyDescent="0.2">
      <c r="A489" t="s">
        <v>1036</v>
      </c>
      <c r="B489" t="s">
        <v>1037</v>
      </c>
      <c r="C489" t="s">
        <v>58</v>
      </c>
      <c r="D489" t="s">
        <v>49</v>
      </c>
      <c r="E489" s="1">
        <v>45806</v>
      </c>
      <c r="F489" s="1">
        <v>45821</v>
      </c>
      <c r="G489" t="s">
        <v>63</v>
      </c>
      <c r="H489" t="s">
        <v>44</v>
      </c>
      <c r="I489" t="s">
        <v>64</v>
      </c>
      <c r="J489">
        <v>29</v>
      </c>
      <c r="K489" t="s">
        <v>78</v>
      </c>
      <c r="L489" t="s">
        <v>32</v>
      </c>
      <c r="M489" t="s">
        <v>39</v>
      </c>
      <c r="N489">
        <v>14.3</v>
      </c>
      <c r="O489" s="3">
        <v>6763.12</v>
      </c>
      <c r="P489">
        <v>0</v>
      </c>
      <c r="Q489">
        <v>4</v>
      </c>
      <c r="R489">
        <v>0.74</v>
      </c>
      <c r="S489" t="str">
        <f t="shared" si="7"/>
        <v>May</v>
      </c>
    </row>
    <row r="490" spans="1:19" x14ac:dyDescent="0.2">
      <c r="A490" t="s">
        <v>1038</v>
      </c>
      <c r="B490" t="s">
        <v>1039</v>
      </c>
      <c r="C490" t="s">
        <v>30</v>
      </c>
      <c r="D490" t="s">
        <v>21</v>
      </c>
      <c r="E490" s="1">
        <v>46000</v>
      </c>
      <c r="F490" s="1">
        <v>46003</v>
      </c>
      <c r="G490" t="s">
        <v>22</v>
      </c>
      <c r="H490" t="s">
        <v>50</v>
      </c>
      <c r="I490" t="s">
        <v>100</v>
      </c>
      <c r="J490">
        <v>18</v>
      </c>
      <c r="K490" t="s">
        <v>78</v>
      </c>
      <c r="L490" t="s">
        <v>26</v>
      </c>
      <c r="M490" t="s">
        <v>27</v>
      </c>
      <c r="N490">
        <v>2.7</v>
      </c>
      <c r="O490" s="3">
        <v>6763.12</v>
      </c>
      <c r="P490">
        <v>0</v>
      </c>
      <c r="Q490">
        <v>4</v>
      </c>
      <c r="R490">
        <v>0.79</v>
      </c>
      <c r="S490" t="str">
        <f t="shared" si="7"/>
        <v>December</v>
      </c>
    </row>
    <row r="491" spans="1:19" x14ac:dyDescent="0.2">
      <c r="A491" t="s">
        <v>1040</v>
      </c>
      <c r="B491" t="s">
        <v>1041</v>
      </c>
      <c r="C491" t="s">
        <v>62</v>
      </c>
      <c r="D491" t="s">
        <v>21</v>
      </c>
      <c r="E491" s="1">
        <v>45692</v>
      </c>
      <c r="F491" s="1">
        <v>45701</v>
      </c>
      <c r="G491" t="s">
        <v>71</v>
      </c>
      <c r="H491" t="s">
        <v>50</v>
      </c>
      <c r="I491" t="s">
        <v>64</v>
      </c>
      <c r="J491">
        <v>29</v>
      </c>
      <c r="K491" t="s">
        <v>78</v>
      </c>
      <c r="L491" t="s">
        <v>26</v>
      </c>
      <c r="M491" t="s">
        <v>27</v>
      </c>
      <c r="N491">
        <v>9</v>
      </c>
      <c r="O491" s="3">
        <v>6763.12</v>
      </c>
      <c r="P491">
        <v>0</v>
      </c>
      <c r="Q491">
        <v>4.7</v>
      </c>
      <c r="R491">
        <v>0.84</v>
      </c>
      <c r="S491" t="str">
        <f t="shared" si="7"/>
        <v>February</v>
      </c>
    </row>
    <row r="492" spans="1:19" x14ac:dyDescent="0.2">
      <c r="A492" t="s">
        <v>1042</v>
      </c>
      <c r="B492" t="s">
        <v>1043</v>
      </c>
      <c r="C492" t="s">
        <v>122</v>
      </c>
      <c r="D492" t="s">
        <v>35</v>
      </c>
      <c r="E492" s="1">
        <v>45939</v>
      </c>
      <c r="F492" s="1">
        <v>45942</v>
      </c>
      <c r="G492" t="s">
        <v>43</v>
      </c>
      <c r="H492" t="s">
        <v>50</v>
      </c>
      <c r="I492" t="s">
        <v>100</v>
      </c>
      <c r="J492">
        <v>88</v>
      </c>
      <c r="K492" t="s">
        <v>65</v>
      </c>
      <c r="L492" t="s">
        <v>32</v>
      </c>
      <c r="M492" t="s">
        <v>27</v>
      </c>
      <c r="N492">
        <v>2.8</v>
      </c>
      <c r="O492" s="3">
        <v>6763.12</v>
      </c>
      <c r="P492">
        <v>0</v>
      </c>
      <c r="Q492">
        <v>4.3</v>
      </c>
      <c r="R492">
        <v>0.76</v>
      </c>
      <c r="S492" t="str">
        <f t="shared" si="7"/>
        <v>October</v>
      </c>
    </row>
    <row r="493" spans="1:19" x14ac:dyDescent="0.2">
      <c r="A493" t="s">
        <v>1044</v>
      </c>
      <c r="B493" t="s">
        <v>1045</v>
      </c>
      <c r="C493" t="s">
        <v>58</v>
      </c>
      <c r="D493" t="s">
        <v>21</v>
      </c>
      <c r="E493" s="1">
        <v>45982</v>
      </c>
      <c r="F493" s="1">
        <v>45986</v>
      </c>
      <c r="G493" t="s">
        <v>36</v>
      </c>
      <c r="H493" t="s">
        <v>44</v>
      </c>
      <c r="I493" t="s">
        <v>24</v>
      </c>
      <c r="J493">
        <v>34</v>
      </c>
      <c r="K493" t="s">
        <v>78</v>
      </c>
      <c r="L493" t="s">
        <v>26</v>
      </c>
      <c r="M493" t="s">
        <v>82</v>
      </c>
      <c r="N493">
        <v>3.5</v>
      </c>
      <c r="O493" s="3">
        <v>6763.12</v>
      </c>
      <c r="P493">
        <v>0</v>
      </c>
      <c r="Q493">
        <v>3.8</v>
      </c>
      <c r="R493">
        <v>0.75</v>
      </c>
      <c r="S493" t="str">
        <f t="shared" si="7"/>
        <v>November</v>
      </c>
    </row>
    <row r="494" spans="1:19" x14ac:dyDescent="0.2">
      <c r="A494" t="s">
        <v>1046</v>
      </c>
      <c r="B494" t="s">
        <v>1047</v>
      </c>
      <c r="C494" t="s">
        <v>62</v>
      </c>
      <c r="D494" t="s">
        <v>21</v>
      </c>
      <c r="E494" s="1">
        <v>45897</v>
      </c>
      <c r="F494" s="1">
        <v>45900</v>
      </c>
      <c r="G494" t="s">
        <v>99</v>
      </c>
      <c r="H494" t="s">
        <v>23</v>
      </c>
      <c r="I494" t="s">
        <v>51</v>
      </c>
      <c r="J494">
        <v>57</v>
      </c>
      <c r="K494" t="s">
        <v>38</v>
      </c>
      <c r="L494" t="s">
        <v>26</v>
      </c>
      <c r="M494" t="s">
        <v>82</v>
      </c>
      <c r="N494">
        <v>2.5</v>
      </c>
      <c r="O494" s="3">
        <v>6763.12</v>
      </c>
      <c r="P494">
        <v>0</v>
      </c>
      <c r="Q494">
        <v>4.3</v>
      </c>
      <c r="R494">
        <v>0.88</v>
      </c>
      <c r="S494" t="str">
        <f t="shared" si="7"/>
        <v>August</v>
      </c>
    </row>
    <row r="495" spans="1:19" x14ac:dyDescent="0.2">
      <c r="A495" t="s">
        <v>1048</v>
      </c>
      <c r="B495" t="s">
        <v>1049</v>
      </c>
      <c r="C495" t="s">
        <v>30</v>
      </c>
      <c r="D495" t="s">
        <v>35</v>
      </c>
      <c r="E495" s="1">
        <v>45802</v>
      </c>
      <c r="F495" s="1">
        <v>45808</v>
      </c>
      <c r="G495" t="s">
        <v>43</v>
      </c>
      <c r="H495" t="s">
        <v>23</v>
      </c>
      <c r="I495" t="s">
        <v>55</v>
      </c>
      <c r="J495">
        <v>62</v>
      </c>
      <c r="K495" t="s">
        <v>38</v>
      </c>
      <c r="L495" t="s">
        <v>26</v>
      </c>
      <c r="M495" t="s">
        <v>27</v>
      </c>
      <c r="N495">
        <v>5.8</v>
      </c>
      <c r="O495" s="3">
        <v>6763.12</v>
      </c>
      <c r="P495">
        <v>0</v>
      </c>
      <c r="Q495">
        <v>3.9</v>
      </c>
      <c r="R495">
        <v>0.77</v>
      </c>
      <c r="S495" t="str">
        <f t="shared" si="7"/>
        <v>May</v>
      </c>
    </row>
    <row r="496" spans="1:19" x14ac:dyDescent="0.2">
      <c r="A496" t="s">
        <v>1050</v>
      </c>
      <c r="B496" t="s">
        <v>1051</v>
      </c>
      <c r="C496" t="s">
        <v>62</v>
      </c>
      <c r="D496" t="s">
        <v>35</v>
      </c>
      <c r="E496" s="1">
        <v>45716</v>
      </c>
      <c r="F496" s="1">
        <v>45724</v>
      </c>
      <c r="G496" t="s">
        <v>43</v>
      </c>
      <c r="H496" t="s">
        <v>44</v>
      </c>
      <c r="I496" t="s">
        <v>117</v>
      </c>
      <c r="J496">
        <v>11</v>
      </c>
      <c r="K496" t="s">
        <v>103</v>
      </c>
      <c r="L496" t="s">
        <v>32</v>
      </c>
      <c r="M496" t="s">
        <v>27</v>
      </c>
      <c r="N496">
        <v>8</v>
      </c>
      <c r="O496" s="3">
        <v>6763.12</v>
      </c>
      <c r="P496">
        <v>1</v>
      </c>
      <c r="Q496">
        <v>3.7</v>
      </c>
      <c r="R496">
        <v>0.93</v>
      </c>
      <c r="S496" t="str">
        <f t="shared" si="7"/>
        <v>February</v>
      </c>
    </row>
    <row r="497" spans="1:19" x14ac:dyDescent="0.2">
      <c r="A497" t="s">
        <v>1052</v>
      </c>
      <c r="B497" t="s">
        <v>1053</v>
      </c>
      <c r="C497" t="s">
        <v>30</v>
      </c>
      <c r="D497" t="s">
        <v>49</v>
      </c>
      <c r="E497" s="1">
        <v>45907</v>
      </c>
      <c r="F497" s="1">
        <v>45910</v>
      </c>
      <c r="G497" t="s">
        <v>22</v>
      </c>
      <c r="H497" t="s">
        <v>50</v>
      </c>
      <c r="I497" t="s">
        <v>64</v>
      </c>
      <c r="J497">
        <v>22</v>
      </c>
      <c r="K497" t="s">
        <v>78</v>
      </c>
      <c r="L497" t="s">
        <v>32</v>
      </c>
      <c r="M497" t="s">
        <v>27</v>
      </c>
      <c r="N497">
        <v>2.2000000000000002</v>
      </c>
      <c r="O497" s="3">
        <v>6763.12</v>
      </c>
      <c r="P497">
        <v>0</v>
      </c>
      <c r="Q497">
        <v>4.7</v>
      </c>
      <c r="R497">
        <v>0.82</v>
      </c>
      <c r="S497" t="str">
        <f t="shared" si="7"/>
        <v>September</v>
      </c>
    </row>
    <row r="498" spans="1:19" x14ac:dyDescent="0.2">
      <c r="A498" t="s">
        <v>1054</v>
      </c>
      <c r="B498" t="s">
        <v>1055</v>
      </c>
      <c r="C498" t="s">
        <v>20</v>
      </c>
      <c r="D498" t="s">
        <v>21</v>
      </c>
      <c r="E498" s="1">
        <v>45829</v>
      </c>
      <c r="F498" s="1">
        <v>45833</v>
      </c>
      <c r="G498" t="s">
        <v>99</v>
      </c>
      <c r="H498" t="s">
        <v>44</v>
      </c>
      <c r="I498" t="s">
        <v>81</v>
      </c>
      <c r="J498">
        <v>37</v>
      </c>
      <c r="K498" t="s">
        <v>25</v>
      </c>
      <c r="L498" t="s">
        <v>32</v>
      </c>
      <c r="M498" t="s">
        <v>39</v>
      </c>
      <c r="N498">
        <v>3.3</v>
      </c>
      <c r="O498" s="3">
        <v>6763.12</v>
      </c>
      <c r="P498">
        <v>0</v>
      </c>
      <c r="Q498">
        <v>3.4</v>
      </c>
      <c r="R498">
        <v>0.82</v>
      </c>
      <c r="S498" t="str">
        <f t="shared" si="7"/>
        <v>June</v>
      </c>
    </row>
    <row r="499" spans="1:19" x14ac:dyDescent="0.2">
      <c r="A499" t="s">
        <v>1056</v>
      </c>
      <c r="B499" t="s">
        <v>1057</v>
      </c>
      <c r="C499" t="s">
        <v>20</v>
      </c>
      <c r="D499" t="s">
        <v>42</v>
      </c>
      <c r="E499" s="1">
        <v>45712</v>
      </c>
      <c r="F499" s="1">
        <v>45715</v>
      </c>
      <c r="G499" t="s">
        <v>43</v>
      </c>
      <c r="H499" t="s">
        <v>50</v>
      </c>
      <c r="I499" t="s">
        <v>31</v>
      </c>
      <c r="J499">
        <v>41</v>
      </c>
      <c r="K499" t="s">
        <v>25</v>
      </c>
      <c r="L499" t="s">
        <v>32</v>
      </c>
      <c r="M499" t="s">
        <v>39</v>
      </c>
      <c r="N499">
        <v>2.6</v>
      </c>
      <c r="O499" s="3">
        <v>6763.12</v>
      </c>
      <c r="P499">
        <v>0</v>
      </c>
      <c r="Q499">
        <v>3.9</v>
      </c>
      <c r="R499">
        <v>0.77</v>
      </c>
      <c r="S499" t="str">
        <f t="shared" si="7"/>
        <v>February</v>
      </c>
    </row>
    <row r="500" spans="1:19" x14ac:dyDescent="0.2">
      <c r="A500" t="s">
        <v>1058</v>
      </c>
      <c r="B500" t="s">
        <v>1059</v>
      </c>
      <c r="C500" t="s">
        <v>122</v>
      </c>
      <c r="D500" t="s">
        <v>35</v>
      </c>
      <c r="E500" s="1">
        <v>45789</v>
      </c>
      <c r="F500" s="1">
        <v>45795</v>
      </c>
      <c r="G500" t="s">
        <v>116</v>
      </c>
      <c r="H500" t="s">
        <v>23</v>
      </c>
      <c r="I500" t="s">
        <v>100</v>
      </c>
      <c r="J500">
        <v>1</v>
      </c>
      <c r="K500" t="s">
        <v>103</v>
      </c>
      <c r="L500" t="s">
        <v>26</v>
      </c>
      <c r="M500" t="s">
        <v>39</v>
      </c>
      <c r="N500">
        <v>5.9</v>
      </c>
      <c r="O500" s="3">
        <v>6763.12</v>
      </c>
      <c r="P500">
        <v>0</v>
      </c>
      <c r="Q500">
        <v>4.5999999999999996</v>
      </c>
      <c r="R500">
        <v>0.83</v>
      </c>
      <c r="S500" t="str">
        <f t="shared" si="7"/>
        <v>May</v>
      </c>
    </row>
    <row r="501" spans="1:19" x14ac:dyDescent="0.2">
      <c r="A501" t="s">
        <v>1060</v>
      </c>
      <c r="B501" t="s">
        <v>1061</v>
      </c>
      <c r="C501" t="s">
        <v>20</v>
      </c>
      <c r="D501" t="s">
        <v>49</v>
      </c>
      <c r="E501" s="1">
        <v>46008</v>
      </c>
      <c r="F501" s="1">
        <v>46014</v>
      </c>
      <c r="G501" t="s">
        <v>43</v>
      </c>
      <c r="H501" t="s">
        <v>50</v>
      </c>
      <c r="I501" t="s">
        <v>37</v>
      </c>
      <c r="J501">
        <v>58</v>
      </c>
      <c r="K501" t="s">
        <v>38</v>
      </c>
      <c r="L501" t="s">
        <v>32</v>
      </c>
      <c r="M501" t="s">
        <v>82</v>
      </c>
      <c r="N501">
        <v>5.4</v>
      </c>
      <c r="O501" s="3">
        <v>6763.12</v>
      </c>
      <c r="P501">
        <v>0</v>
      </c>
      <c r="Q501">
        <v>4.0999999999999996</v>
      </c>
      <c r="R501">
        <v>0.79</v>
      </c>
      <c r="S501" t="str">
        <f t="shared" si="7"/>
        <v>December</v>
      </c>
    </row>
    <row r="502" spans="1:19" x14ac:dyDescent="0.2">
      <c r="A502" t="s">
        <v>1062</v>
      </c>
      <c r="B502" t="s">
        <v>1063</v>
      </c>
      <c r="C502" t="s">
        <v>62</v>
      </c>
      <c r="D502" t="s">
        <v>35</v>
      </c>
      <c r="E502" s="1">
        <v>45754</v>
      </c>
      <c r="F502" s="1">
        <v>45756</v>
      </c>
      <c r="G502" t="s">
        <v>36</v>
      </c>
      <c r="H502" t="s">
        <v>50</v>
      </c>
      <c r="I502" t="s">
        <v>64</v>
      </c>
      <c r="J502">
        <v>27</v>
      </c>
      <c r="K502" t="s">
        <v>78</v>
      </c>
      <c r="L502" t="s">
        <v>26</v>
      </c>
      <c r="M502" t="s">
        <v>27</v>
      </c>
      <c r="N502">
        <v>1.4</v>
      </c>
      <c r="O502" s="3">
        <v>6763.12</v>
      </c>
      <c r="P502">
        <v>0</v>
      </c>
      <c r="Q502">
        <v>3.7</v>
      </c>
      <c r="R502">
        <v>0.82</v>
      </c>
      <c r="S502" t="str">
        <f t="shared" si="7"/>
        <v>April</v>
      </c>
    </row>
    <row r="503" spans="1:19" x14ac:dyDescent="0.2">
      <c r="A503" t="s">
        <v>1064</v>
      </c>
      <c r="B503" t="s">
        <v>1065</v>
      </c>
      <c r="C503" t="s">
        <v>122</v>
      </c>
      <c r="D503" t="s">
        <v>49</v>
      </c>
      <c r="E503" s="1">
        <v>45723</v>
      </c>
      <c r="F503" s="1">
        <v>45731</v>
      </c>
      <c r="G503" t="s">
        <v>116</v>
      </c>
      <c r="H503" t="s">
        <v>44</v>
      </c>
      <c r="I503" t="s">
        <v>64</v>
      </c>
      <c r="J503">
        <v>29</v>
      </c>
      <c r="K503" t="s">
        <v>78</v>
      </c>
      <c r="L503" t="s">
        <v>26</v>
      </c>
      <c r="M503" t="s">
        <v>39</v>
      </c>
      <c r="N503">
        <v>7.3</v>
      </c>
      <c r="O503" s="3">
        <v>6763.12</v>
      </c>
      <c r="P503">
        <v>0</v>
      </c>
      <c r="Q503">
        <v>2.7</v>
      </c>
      <c r="R503">
        <v>0.76</v>
      </c>
      <c r="S503" t="str">
        <f t="shared" si="7"/>
        <v>March</v>
      </c>
    </row>
    <row r="504" spans="1:19" x14ac:dyDescent="0.2">
      <c r="A504" t="s">
        <v>1066</v>
      </c>
      <c r="B504" t="s">
        <v>1067</v>
      </c>
      <c r="C504" t="s">
        <v>20</v>
      </c>
      <c r="D504" t="s">
        <v>49</v>
      </c>
      <c r="E504" s="1">
        <v>45906</v>
      </c>
      <c r="F504" s="1">
        <v>45907</v>
      </c>
      <c r="G504" t="s">
        <v>68</v>
      </c>
      <c r="H504" t="s">
        <v>50</v>
      </c>
      <c r="I504" t="s">
        <v>55</v>
      </c>
      <c r="J504">
        <v>54</v>
      </c>
      <c r="K504" t="s">
        <v>38</v>
      </c>
      <c r="L504" t="s">
        <v>26</v>
      </c>
      <c r="M504" t="s">
        <v>39</v>
      </c>
      <c r="N504">
        <v>0.2</v>
      </c>
      <c r="O504" s="3">
        <v>6763.12</v>
      </c>
      <c r="P504">
        <v>0</v>
      </c>
      <c r="Q504">
        <v>2.5</v>
      </c>
      <c r="R504">
        <v>0.79</v>
      </c>
      <c r="S504" t="str">
        <f t="shared" si="7"/>
        <v>September</v>
      </c>
    </row>
    <row r="505" spans="1:19" x14ac:dyDescent="0.2">
      <c r="A505" t="s">
        <v>1068</v>
      </c>
      <c r="B505" t="s">
        <v>1069</v>
      </c>
      <c r="C505" t="s">
        <v>62</v>
      </c>
      <c r="D505" t="s">
        <v>49</v>
      </c>
      <c r="E505" s="1">
        <v>45730</v>
      </c>
      <c r="F505" s="1">
        <v>45746</v>
      </c>
      <c r="G505" t="s">
        <v>59</v>
      </c>
      <c r="H505" t="s">
        <v>44</v>
      </c>
      <c r="I505" t="s">
        <v>100</v>
      </c>
      <c r="J505">
        <v>86</v>
      </c>
      <c r="K505" t="s">
        <v>65</v>
      </c>
      <c r="L505" t="s">
        <v>32</v>
      </c>
      <c r="M505" t="s">
        <v>27</v>
      </c>
      <c r="N505">
        <v>15.1</v>
      </c>
      <c r="O505" s="3">
        <v>6763.12</v>
      </c>
      <c r="P505">
        <v>0</v>
      </c>
      <c r="Q505">
        <v>4.8</v>
      </c>
      <c r="R505">
        <v>0.86</v>
      </c>
      <c r="S505" t="str">
        <f t="shared" si="7"/>
        <v>March</v>
      </c>
    </row>
    <row r="506" spans="1:19" x14ac:dyDescent="0.2">
      <c r="A506" t="s">
        <v>1070</v>
      </c>
      <c r="B506" t="s">
        <v>1071</v>
      </c>
      <c r="C506" t="s">
        <v>58</v>
      </c>
      <c r="D506" t="s">
        <v>21</v>
      </c>
      <c r="E506" s="1">
        <v>45993</v>
      </c>
      <c r="F506" s="1">
        <v>46001</v>
      </c>
      <c r="G506" t="s">
        <v>63</v>
      </c>
      <c r="H506" t="s">
        <v>50</v>
      </c>
      <c r="I506" t="s">
        <v>37</v>
      </c>
      <c r="J506">
        <v>78</v>
      </c>
      <c r="K506" t="s">
        <v>65</v>
      </c>
      <c r="L506" t="s">
        <v>26</v>
      </c>
      <c r="M506" t="s">
        <v>82</v>
      </c>
      <c r="N506">
        <v>7.7</v>
      </c>
      <c r="O506" s="3">
        <v>6763.12</v>
      </c>
      <c r="P506">
        <v>0</v>
      </c>
      <c r="Q506">
        <v>3.9</v>
      </c>
      <c r="R506">
        <v>0.76</v>
      </c>
      <c r="S506" t="str">
        <f t="shared" si="7"/>
        <v>December</v>
      </c>
    </row>
    <row r="507" spans="1:19" x14ac:dyDescent="0.2">
      <c r="A507" t="s">
        <v>1072</v>
      </c>
      <c r="B507" t="s">
        <v>1073</v>
      </c>
      <c r="C507" t="s">
        <v>30</v>
      </c>
      <c r="D507" t="s">
        <v>21</v>
      </c>
      <c r="E507" s="1">
        <v>45971</v>
      </c>
      <c r="F507" s="1">
        <v>45974</v>
      </c>
      <c r="G507" t="s">
        <v>116</v>
      </c>
      <c r="H507" t="s">
        <v>23</v>
      </c>
      <c r="I507" t="s">
        <v>55</v>
      </c>
      <c r="J507">
        <v>89</v>
      </c>
      <c r="K507" t="s">
        <v>65</v>
      </c>
      <c r="L507" t="s">
        <v>26</v>
      </c>
      <c r="M507" t="s">
        <v>27</v>
      </c>
      <c r="N507">
        <v>2.1</v>
      </c>
      <c r="O507" s="3">
        <v>6763.12</v>
      </c>
      <c r="P507">
        <v>0</v>
      </c>
      <c r="Q507">
        <v>3.5</v>
      </c>
      <c r="R507">
        <v>0.82</v>
      </c>
      <c r="S507" t="str">
        <f t="shared" si="7"/>
        <v>November</v>
      </c>
    </row>
    <row r="508" spans="1:19" x14ac:dyDescent="0.2">
      <c r="A508" t="s">
        <v>1074</v>
      </c>
      <c r="B508" t="s">
        <v>1075</v>
      </c>
      <c r="C508" t="s">
        <v>62</v>
      </c>
      <c r="D508" t="s">
        <v>35</v>
      </c>
      <c r="E508" s="1">
        <v>46016</v>
      </c>
      <c r="F508" s="1">
        <v>46017</v>
      </c>
      <c r="G508" t="s">
        <v>50</v>
      </c>
      <c r="H508" t="s">
        <v>44</v>
      </c>
      <c r="I508" t="s">
        <v>81</v>
      </c>
      <c r="J508">
        <v>37</v>
      </c>
      <c r="K508" t="s">
        <v>25</v>
      </c>
      <c r="L508" t="s">
        <v>26</v>
      </c>
      <c r="M508" t="s">
        <v>39</v>
      </c>
      <c r="N508">
        <v>1</v>
      </c>
      <c r="O508" s="3">
        <v>6763.12</v>
      </c>
      <c r="P508">
        <v>0</v>
      </c>
      <c r="Q508">
        <v>3.9</v>
      </c>
      <c r="R508">
        <v>0.81</v>
      </c>
      <c r="S508" t="str">
        <f t="shared" si="7"/>
        <v>December</v>
      </c>
    </row>
    <row r="509" spans="1:19" x14ac:dyDescent="0.2">
      <c r="A509" t="s">
        <v>1076</v>
      </c>
      <c r="B509" t="s">
        <v>1077</v>
      </c>
      <c r="C509" t="s">
        <v>30</v>
      </c>
      <c r="D509" t="s">
        <v>21</v>
      </c>
      <c r="E509" s="1">
        <v>45991</v>
      </c>
      <c r="F509" s="1">
        <v>45996</v>
      </c>
      <c r="G509" t="s">
        <v>71</v>
      </c>
      <c r="H509" t="s">
        <v>50</v>
      </c>
      <c r="I509" t="s">
        <v>100</v>
      </c>
      <c r="J509">
        <v>10</v>
      </c>
      <c r="K509" t="s">
        <v>103</v>
      </c>
      <c r="L509" t="s">
        <v>32</v>
      </c>
      <c r="M509" t="s">
        <v>82</v>
      </c>
      <c r="N509">
        <v>4.0999999999999996</v>
      </c>
      <c r="O509" s="3">
        <v>6763.12</v>
      </c>
      <c r="P509">
        <v>0</v>
      </c>
      <c r="Q509">
        <v>3.3</v>
      </c>
      <c r="R509">
        <v>0.79</v>
      </c>
      <c r="S509" t="str">
        <f t="shared" si="7"/>
        <v>November</v>
      </c>
    </row>
    <row r="510" spans="1:19" x14ac:dyDescent="0.2">
      <c r="A510" t="s">
        <v>1078</v>
      </c>
      <c r="B510" t="s">
        <v>1079</v>
      </c>
      <c r="C510" t="s">
        <v>20</v>
      </c>
      <c r="D510" t="s">
        <v>21</v>
      </c>
      <c r="E510" s="1">
        <v>45746</v>
      </c>
      <c r="F510" s="1">
        <v>45748</v>
      </c>
      <c r="G510" t="s">
        <v>36</v>
      </c>
      <c r="H510" t="s">
        <v>44</v>
      </c>
      <c r="I510" t="s">
        <v>31</v>
      </c>
      <c r="J510">
        <v>19</v>
      </c>
      <c r="K510" t="s">
        <v>78</v>
      </c>
      <c r="L510" t="s">
        <v>26</v>
      </c>
      <c r="M510" t="s">
        <v>82</v>
      </c>
      <c r="N510">
        <v>1.4</v>
      </c>
      <c r="O510" s="3">
        <v>6763.12</v>
      </c>
      <c r="P510">
        <v>0</v>
      </c>
      <c r="Q510">
        <v>3.7</v>
      </c>
      <c r="R510">
        <v>0.78</v>
      </c>
      <c r="S510" t="str">
        <f t="shared" si="7"/>
        <v>March</v>
      </c>
    </row>
    <row r="511" spans="1:19" x14ac:dyDescent="0.2">
      <c r="A511" t="s">
        <v>1080</v>
      </c>
      <c r="B511" t="s">
        <v>1081</v>
      </c>
      <c r="C511" t="s">
        <v>20</v>
      </c>
      <c r="D511" t="s">
        <v>49</v>
      </c>
      <c r="E511" s="1">
        <v>45735</v>
      </c>
      <c r="F511" s="1">
        <v>45743</v>
      </c>
      <c r="G511" t="s">
        <v>68</v>
      </c>
      <c r="H511" t="s">
        <v>23</v>
      </c>
      <c r="I511" t="s">
        <v>100</v>
      </c>
      <c r="J511">
        <v>31</v>
      </c>
      <c r="K511" t="s">
        <v>78</v>
      </c>
      <c r="L511" t="s">
        <v>32</v>
      </c>
      <c r="M511" t="s">
        <v>39</v>
      </c>
      <c r="N511">
        <v>7.9</v>
      </c>
      <c r="O511" s="3">
        <v>6763.12</v>
      </c>
      <c r="P511">
        <v>0</v>
      </c>
      <c r="Q511">
        <v>3.1</v>
      </c>
      <c r="R511">
        <v>0.82</v>
      </c>
      <c r="S511" t="str">
        <f t="shared" si="7"/>
        <v>March</v>
      </c>
    </row>
    <row r="512" spans="1:19" x14ac:dyDescent="0.2">
      <c r="A512" t="s">
        <v>1082</v>
      </c>
      <c r="B512" t="s">
        <v>1083</v>
      </c>
      <c r="C512" t="s">
        <v>62</v>
      </c>
      <c r="D512" t="s">
        <v>21</v>
      </c>
      <c r="E512" s="1">
        <v>45783</v>
      </c>
      <c r="F512" s="1">
        <v>45786</v>
      </c>
      <c r="G512" t="s">
        <v>43</v>
      </c>
      <c r="H512" t="s">
        <v>23</v>
      </c>
      <c r="I512" t="s">
        <v>24</v>
      </c>
      <c r="J512">
        <v>27</v>
      </c>
      <c r="K512" t="s">
        <v>78</v>
      </c>
      <c r="L512" t="s">
        <v>26</v>
      </c>
      <c r="M512" t="s">
        <v>27</v>
      </c>
      <c r="N512">
        <v>2.7</v>
      </c>
      <c r="O512" s="3">
        <v>6763.12</v>
      </c>
      <c r="P512">
        <v>1</v>
      </c>
      <c r="Q512">
        <v>3.1</v>
      </c>
      <c r="R512">
        <v>0.87</v>
      </c>
      <c r="S512" t="str">
        <f t="shared" si="7"/>
        <v>May</v>
      </c>
    </row>
    <row r="513" spans="1:19" x14ac:dyDescent="0.2">
      <c r="A513" t="s">
        <v>1084</v>
      </c>
      <c r="B513" t="s">
        <v>1085</v>
      </c>
      <c r="C513" t="s">
        <v>30</v>
      </c>
      <c r="D513" t="s">
        <v>49</v>
      </c>
      <c r="E513" s="1">
        <v>45829</v>
      </c>
      <c r="F513" s="1">
        <v>45831</v>
      </c>
      <c r="G513" t="s">
        <v>71</v>
      </c>
      <c r="H513" t="s">
        <v>50</v>
      </c>
      <c r="I513" t="s">
        <v>100</v>
      </c>
      <c r="J513">
        <v>18</v>
      </c>
      <c r="K513" t="s">
        <v>78</v>
      </c>
      <c r="L513" t="s">
        <v>32</v>
      </c>
      <c r="M513" t="s">
        <v>82</v>
      </c>
      <c r="N513">
        <v>1.9</v>
      </c>
      <c r="O513" s="3">
        <v>6763.12</v>
      </c>
      <c r="P513">
        <v>0</v>
      </c>
      <c r="Q513">
        <v>2.6</v>
      </c>
      <c r="R513">
        <v>0.85</v>
      </c>
      <c r="S513" t="str">
        <f t="shared" si="7"/>
        <v>June</v>
      </c>
    </row>
    <row r="514" spans="1:19" x14ac:dyDescent="0.2">
      <c r="A514" t="s">
        <v>1086</v>
      </c>
      <c r="B514" t="s">
        <v>1087</v>
      </c>
      <c r="C514" t="s">
        <v>30</v>
      </c>
      <c r="D514" t="s">
        <v>21</v>
      </c>
      <c r="E514" s="1">
        <v>45979</v>
      </c>
      <c r="F514" s="1">
        <v>45986</v>
      </c>
      <c r="G514" t="s">
        <v>116</v>
      </c>
      <c r="H514" t="s">
        <v>50</v>
      </c>
      <c r="I514" t="s">
        <v>100</v>
      </c>
      <c r="J514">
        <v>13</v>
      </c>
      <c r="K514" t="s">
        <v>46</v>
      </c>
      <c r="L514" t="s">
        <v>32</v>
      </c>
      <c r="M514" t="s">
        <v>82</v>
      </c>
      <c r="N514">
        <v>7</v>
      </c>
      <c r="O514" s="3">
        <v>6763.12</v>
      </c>
      <c r="P514">
        <v>0</v>
      </c>
      <c r="Q514">
        <v>2.9</v>
      </c>
      <c r="R514">
        <v>0.82</v>
      </c>
      <c r="S514" t="str">
        <f t="shared" si="7"/>
        <v>November</v>
      </c>
    </row>
    <row r="515" spans="1:19" x14ac:dyDescent="0.2">
      <c r="A515" t="s">
        <v>1088</v>
      </c>
      <c r="B515" t="s">
        <v>1089</v>
      </c>
      <c r="C515" t="s">
        <v>58</v>
      </c>
      <c r="D515" t="s">
        <v>35</v>
      </c>
      <c r="E515" s="1">
        <v>45925</v>
      </c>
      <c r="F515" s="1">
        <v>45930</v>
      </c>
      <c r="G515" t="s">
        <v>36</v>
      </c>
      <c r="H515" t="s">
        <v>23</v>
      </c>
      <c r="I515" t="s">
        <v>55</v>
      </c>
      <c r="J515">
        <v>16</v>
      </c>
      <c r="K515" t="s">
        <v>46</v>
      </c>
      <c r="L515" t="s">
        <v>26</v>
      </c>
      <c r="M515" t="s">
        <v>39</v>
      </c>
      <c r="N515">
        <v>4.4000000000000004</v>
      </c>
      <c r="O515" s="3">
        <v>6763.12</v>
      </c>
      <c r="P515">
        <v>1</v>
      </c>
      <c r="Q515">
        <v>4.5</v>
      </c>
      <c r="R515">
        <v>0.77</v>
      </c>
      <c r="S515" t="str">
        <f t="shared" ref="S515:S578" si="8">TEXT(E515, "mmmm")</f>
        <v>September</v>
      </c>
    </row>
    <row r="516" spans="1:19" x14ac:dyDescent="0.2">
      <c r="A516" t="s">
        <v>1090</v>
      </c>
      <c r="B516" t="s">
        <v>1091</v>
      </c>
      <c r="C516" t="s">
        <v>30</v>
      </c>
      <c r="D516" t="s">
        <v>35</v>
      </c>
      <c r="E516" s="1">
        <v>45893</v>
      </c>
      <c r="F516" s="1">
        <v>45897</v>
      </c>
      <c r="G516" t="s">
        <v>68</v>
      </c>
      <c r="H516" t="s">
        <v>50</v>
      </c>
      <c r="I516" t="s">
        <v>100</v>
      </c>
      <c r="J516">
        <v>59</v>
      </c>
      <c r="K516" t="s">
        <v>38</v>
      </c>
      <c r="L516" t="s">
        <v>32</v>
      </c>
      <c r="M516" t="s">
        <v>82</v>
      </c>
      <c r="N516">
        <v>4</v>
      </c>
      <c r="O516" s="3">
        <v>6763.12</v>
      </c>
      <c r="P516">
        <v>0</v>
      </c>
      <c r="Q516">
        <v>3.3</v>
      </c>
      <c r="R516">
        <v>0.81</v>
      </c>
      <c r="S516" t="str">
        <f t="shared" si="8"/>
        <v>August</v>
      </c>
    </row>
    <row r="517" spans="1:19" x14ac:dyDescent="0.2">
      <c r="A517" t="s">
        <v>1092</v>
      </c>
      <c r="B517" t="s">
        <v>1093</v>
      </c>
      <c r="C517" t="s">
        <v>20</v>
      </c>
      <c r="D517" t="s">
        <v>35</v>
      </c>
      <c r="E517" s="1">
        <v>45978</v>
      </c>
      <c r="F517" s="1">
        <v>45989</v>
      </c>
      <c r="G517" t="s">
        <v>43</v>
      </c>
      <c r="H517" t="s">
        <v>50</v>
      </c>
      <c r="I517" t="s">
        <v>24</v>
      </c>
      <c r="J517">
        <v>44</v>
      </c>
      <c r="K517" t="s">
        <v>25</v>
      </c>
      <c r="L517" t="s">
        <v>26</v>
      </c>
      <c r="M517" t="s">
        <v>27</v>
      </c>
      <c r="N517">
        <v>10.6</v>
      </c>
      <c r="O517" s="3">
        <v>6763.12</v>
      </c>
      <c r="P517">
        <v>0</v>
      </c>
      <c r="Q517">
        <v>4</v>
      </c>
      <c r="R517">
        <v>0.73</v>
      </c>
      <c r="S517" t="str">
        <f t="shared" si="8"/>
        <v>November</v>
      </c>
    </row>
    <row r="518" spans="1:19" x14ac:dyDescent="0.2">
      <c r="A518" t="s">
        <v>1094</v>
      </c>
      <c r="B518" t="s">
        <v>1095</v>
      </c>
      <c r="C518" t="s">
        <v>58</v>
      </c>
      <c r="D518" t="s">
        <v>49</v>
      </c>
      <c r="E518" s="1">
        <v>45893</v>
      </c>
      <c r="F518" s="1">
        <v>45898</v>
      </c>
      <c r="G518" t="s">
        <v>68</v>
      </c>
      <c r="H518" t="s">
        <v>50</v>
      </c>
      <c r="I518" t="s">
        <v>37</v>
      </c>
      <c r="J518">
        <v>3</v>
      </c>
      <c r="K518" t="s">
        <v>103</v>
      </c>
      <c r="L518" t="s">
        <v>26</v>
      </c>
      <c r="M518" t="s">
        <v>39</v>
      </c>
      <c r="N518">
        <v>4.4000000000000004</v>
      </c>
      <c r="O518" s="3">
        <v>6763.12</v>
      </c>
      <c r="P518">
        <v>0</v>
      </c>
      <c r="Q518">
        <v>4.5</v>
      </c>
      <c r="R518">
        <v>0.74</v>
      </c>
      <c r="S518" t="str">
        <f t="shared" si="8"/>
        <v>August</v>
      </c>
    </row>
    <row r="519" spans="1:19" x14ac:dyDescent="0.2">
      <c r="A519" t="s">
        <v>1096</v>
      </c>
      <c r="B519" t="s">
        <v>1097</v>
      </c>
      <c r="C519" t="s">
        <v>58</v>
      </c>
      <c r="D519" t="s">
        <v>42</v>
      </c>
      <c r="E519" s="1">
        <v>45796</v>
      </c>
      <c r="F519" s="1">
        <v>45800</v>
      </c>
      <c r="G519" t="s">
        <v>59</v>
      </c>
      <c r="H519" t="s">
        <v>44</v>
      </c>
      <c r="I519" t="s">
        <v>81</v>
      </c>
      <c r="J519">
        <v>51</v>
      </c>
      <c r="K519" t="s">
        <v>38</v>
      </c>
      <c r="L519" t="s">
        <v>32</v>
      </c>
      <c r="M519" t="s">
        <v>82</v>
      </c>
      <c r="N519">
        <v>3.3</v>
      </c>
      <c r="O519" s="3">
        <v>6763.12</v>
      </c>
      <c r="P519">
        <v>0</v>
      </c>
      <c r="Q519">
        <v>3.8</v>
      </c>
      <c r="R519">
        <v>0.73</v>
      </c>
      <c r="S519" t="str">
        <f t="shared" si="8"/>
        <v>May</v>
      </c>
    </row>
    <row r="520" spans="1:19" x14ac:dyDescent="0.2">
      <c r="A520" t="s">
        <v>1098</v>
      </c>
      <c r="B520" t="s">
        <v>1099</v>
      </c>
      <c r="C520" t="s">
        <v>30</v>
      </c>
      <c r="D520" t="s">
        <v>49</v>
      </c>
      <c r="E520" s="1">
        <v>45808</v>
      </c>
      <c r="F520" s="1">
        <v>45818</v>
      </c>
      <c r="G520" t="s">
        <v>59</v>
      </c>
      <c r="H520" t="s">
        <v>50</v>
      </c>
      <c r="I520" t="s">
        <v>24</v>
      </c>
      <c r="J520">
        <v>76</v>
      </c>
      <c r="K520" t="s">
        <v>65</v>
      </c>
      <c r="L520" t="s">
        <v>32</v>
      </c>
      <c r="M520" t="s">
        <v>27</v>
      </c>
      <c r="N520">
        <v>9.6</v>
      </c>
      <c r="O520" s="3">
        <v>6763.12</v>
      </c>
      <c r="P520">
        <v>0</v>
      </c>
      <c r="Q520">
        <v>3.4</v>
      </c>
      <c r="R520">
        <v>0.78</v>
      </c>
      <c r="S520" t="str">
        <f t="shared" si="8"/>
        <v>May</v>
      </c>
    </row>
    <row r="521" spans="1:19" x14ac:dyDescent="0.2">
      <c r="A521" t="s">
        <v>1100</v>
      </c>
      <c r="B521" t="s">
        <v>1101</v>
      </c>
      <c r="C521" t="s">
        <v>122</v>
      </c>
      <c r="D521" t="s">
        <v>21</v>
      </c>
      <c r="E521" s="1">
        <v>45846</v>
      </c>
      <c r="F521" s="1">
        <v>45848</v>
      </c>
      <c r="G521" t="s">
        <v>36</v>
      </c>
      <c r="H521" t="s">
        <v>23</v>
      </c>
      <c r="I521" t="s">
        <v>100</v>
      </c>
      <c r="J521">
        <v>38</v>
      </c>
      <c r="K521" t="s">
        <v>25</v>
      </c>
      <c r="L521" t="s">
        <v>32</v>
      </c>
      <c r="M521" t="s">
        <v>39</v>
      </c>
      <c r="N521">
        <v>1.5</v>
      </c>
      <c r="O521" s="3">
        <v>6763.12</v>
      </c>
      <c r="P521">
        <v>0</v>
      </c>
      <c r="Q521">
        <v>4</v>
      </c>
      <c r="R521">
        <v>0.76</v>
      </c>
      <c r="S521" t="str">
        <f t="shared" si="8"/>
        <v>July</v>
      </c>
    </row>
    <row r="522" spans="1:19" x14ac:dyDescent="0.2">
      <c r="A522" t="s">
        <v>1102</v>
      </c>
      <c r="B522" t="s">
        <v>1103</v>
      </c>
      <c r="C522" t="s">
        <v>62</v>
      </c>
      <c r="D522" t="s">
        <v>35</v>
      </c>
      <c r="E522" s="1">
        <v>45690</v>
      </c>
      <c r="F522" s="1">
        <v>45691</v>
      </c>
      <c r="G522" t="s">
        <v>50</v>
      </c>
      <c r="H522" t="s">
        <v>44</v>
      </c>
      <c r="I522" t="s">
        <v>37</v>
      </c>
      <c r="J522">
        <v>28</v>
      </c>
      <c r="K522" t="s">
        <v>78</v>
      </c>
      <c r="L522" t="s">
        <v>26</v>
      </c>
      <c r="M522" t="s">
        <v>52</v>
      </c>
      <c r="N522">
        <v>0.7</v>
      </c>
      <c r="O522" s="3">
        <v>6763.12</v>
      </c>
      <c r="P522">
        <v>0</v>
      </c>
      <c r="Q522">
        <v>3.5</v>
      </c>
      <c r="R522">
        <v>0.85</v>
      </c>
      <c r="S522" t="str">
        <f t="shared" si="8"/>
        <v>February</v>
      </c>
    </row>
    <row r="523" spans="1:19" x14ac:dyDescent="0.2">
      <c r="A523" t="s">
        <v>1104</v>
      </c>
      <c r="B523" t="s">
        <v>1105</v>
      </c>
      <c r="C523" t="s">
        <v>20</v>
      </c>
      <c r="D523" t="s">
        <v>42</v>
      </c>
      <c r="E523" s="1">
        <v>45928</v>
      </c>
      <c r="F523" s="1">
        <v>45933</v>
      </c>
      <c r="G523" t="s">
        <v>99</v>
      </c>
      <c r="H523" t="s">
        <v>50</v>
      </c>
      <c r="I523" t="s">
        <v>55</v>
      </c>
      <c r="J523">
        <v>24</v>
      </c>
      <c r="K523" t="s">
        <v>78</v>
      </c>
      <c r="L523" t="s">
        <v>26</v>
      </c>
      <c r="M523" t="s">
        <v>82</v>
      </c>
      <c r="N523">
        <v>4.2</v>
      </c>
      <c r="O523" s="3">
        <v>6763.12</v>
      </c>
      <c r="P523">
        <v>0</v>
      </c>
      <c r="Q523">
        <v>4.5999999999999996</v>
      </c>
      <c r="R523">
        <v>0.75</v>
      </c>
      <c r="S523" t="str">
        <f t="shared" si="8"/>
        <v>September</v>
      </c>
    </row>
    <row r="524" spans="1:19" x14ac:dyDescent="0.2">
      <c r="A524" t="s">
        <v>1106</v>
      </c>
      <c r="B524" t="s">
        <v>1107</v>
      </c>
      <c r="C524" t="s">
        <v>30</v>
      </c>
      <c r="D524" t="s">
        <v>35</v>
      </c>
      <c r="E524" s="1">
        <v>45896</v>
      </c>
      <c r="F524" s="1">
        <v>45902</v>
      </c>
      <c r="G524" t="s">
        <v>43</v>
      </c>
      <c r="H524" t="s">
        <v>50</v>
      </c>
      <c r="I524" t="s">
        <v>51</v>
      </c>
      <c r="J524">
        <v>34</v>
      </c>
      <c r="K524" t="s">
        <v>78</v>
      </c>
      <c r="L524" t="s">
        <v>32</v>
      </c>
      <c r="M524" t="s">
        <v>82</v>
      </c>
      <c r="N524">
        <v>5.9</v>
      </c>
      <c r="O524" s="3">
        <v>6763.12</v>
      </c>
      <c r="P524">
        <v>0</v>
      </c>
      <c r="Q524">
        <v>5</v>
      </c>
      <c r="R524">
        <v>0.79</v>
      </c>
      <c r="S524" t="str">
        <f t="shared" si="8"/>
        <v>August</v>
      </c>
    </row>
    <row r="525" spans="1:19" x14ac:dyDescent="0.2">
      <c r="A525" t="s">
        <v>1108</v>
      </c>
      <c r="B525" t="s">
        <v>1109</v>
      </c>
      <c r="C525" t="s">
        <v>30</v>
      </c>
      <c r="D525" t="s">
        <v>21</v>
      </c>
      <c r="E525" s="1">
        <v>45924</v>
      </c>
      <c r="F525" s="1">
        <v>45926</v>
      </c>
      <c r="G525" t="s">
        <v>22</v>
      </c>
      <c r="H525" t="s">
        <v>23</v>
      </c>
      <c r="I525" t="s">
        <v>37</v>
      </c>
      <c r="J525">
        <v>25</v>
      </c>
      <c r="K525" t="s">
        <v>78</v>
      </c>
      <c r="L525" t="s">
        <v>32</v>
      </c>
      <c r="M525" t="s">
        <v>27</v>
      </c>
      <c r="N525">
        <v>1.2</v>
      </c>
      <c r="O525" s="3">
        <v>6763.12</v>
      </c>
      <c r="P525">
        <v>0</v>
      </c>
      <c r="Q525">
        <v>4.8</v>
      </c>
      <c r="R525">
        <v>0.88</v>
      </c>
      <c r="S525" t="str">
        <f t="shared" si="8"/>
        <v>September</v>
      </c>
    </row>
    <row r="526" spans="1:19" x14ac:dyDescent="0.2">
      <c r="A526" t="s">
        <v>1110</v>
      </c>
      <c r="B526" t="s">
        <v>1111</v>
      </c>
      <c r="C526" t="s">
        <v>122</v>
      </c>
      <c r="D526" t="s">
        <v>42</v>
      </c>
      <c r="E526" s="1">
        <v>45852</v>
      </c>
      <c r="F526" s="1">
        <v>45856</v>
      </c>
      <c r="G526" t="s">
        <v>63</v>
      </c>
      <c r="H526" t="s">
        <v>50</v>
      </c>
      <c r="I526" t="s">
        <v>31</v>
      </c>
      <c r="J526">
        <v>84</v>
      </c>
      <c r="K526" t="s">
        <v>65</v>
      </c>
      <c r="L526" t="s">
        <v>32</v>
      </c>
      <c r="M526" t="s">
        <v>52</v>
      </c>
      <c r="N526">
        <v>3.3</v>
      </c>
      <c r="O526" s="3">
        <v>6763.12</v>
      </c>
      <c r="P526">
        <v>1</v>
      </c>
      <c r="Q526">
        <v>2.6</v>
      </c>
      <c r="R526">
        <v>0.72</v>
      </c>
      <c r="S526" t="str">
        <f t="shared" si="8"/>
        <v>July</v>
      </c>
    </row>
    <row r="527" spans="1:19" x14ac:dyDescent="0.2">
      <c r="A527" t="s">
        <v>1112</v>
      </c>
      <c r="B527" t="s">
        <v>1113</v>
      </c>
      <c r="C527" t="s">
        <v>62</v>
      </c>
      <c r="D527" t="s">
        <v>21</v>
      </c>
      <c r="E527" s="1">
        <v>45943</v>
      </c>
      <c r="F527" s="1">
        <v>45944</v>
      </c>
      <c r="G527" t="s">
        <v>50</v>
      </c>
      <c r="H527" t="s">
        <v>23</v>
      </c>
      <c r="I527" t="s">
        <v>31</v>
      </c>
      <c r="J527">
        <v>90</v>
      </c>
      <c r="K527" t="s">
        <v>65</v>
      </c>
      <c r="L527" t="s">
        <v>26</v>
      </c>
      <c r="M527" t="s">
        <v>27</v>
      </c>
      <c r="N527">
        <v>0.8</v>
      </c>
      <c r="O527" s="3">
        <v>6763.12</v>
      </c>
      <c r="P527">
        <v>0</v>
      </c>
      <c r="Q527">
        <v>3.4</v>
      </c>
      <c r="R527">
        <v>0.83</v>
      </c>
      <c r="S527" t="str">
        <f t="shared" si="8"/>
        <v>October</v>
      </c>
    </row>
    <row r="528" spans="1:19" x14ac:dyDescent="0.2">
      <c r="A528" t="s">
        <v>1114</v>
      </c>
      <c r="B528" t="s">
        <v>1115</v>
      </c>
      <c r="C528" t="s">
        <v>122</v>
      </c>
      <c r="D528" t="s">
        <v>35</v>
      </c>
      <c r="E528" s="1">
        <v>46004</v>
      </c>
      <c r="F528" s="1">
        <v>46010</v>
      </c>
      <c r="G528" t="s">
        <v>68</v>
      </c>
      <c r="H528" t="s">
        <v>23</v>
      </c>
      <c r="I528" t="s">
        <v>64</v>
      </c>
      <c r="J528">
        <v>31</v>
      </c>
      <c r="K528" t="s">
        <v>78</v>
      </c>
      <c r="L528" t="s">
        <v>32</v>
      </c>
      <c r="M528" t="s">
        <v>39</v>
      </c>
      <c r="N528">
        <v>5.4</v>
      </c>
      <c r="O528" s="3">
        <v>6763.12</v>
      </c>
      <c r="P528">
        <v>0</v>
      </c>
      <c r="Q528">
        <v>3.9</v>
      </c>
      <c r="R528">
        <v>0.73</v>
      </c>
      <c r="S528" t="str">
        <f t="shared" si="8"/>
        <v>December</v>
      </c>
    </row>
    <row r="529" spans="1:19" x14ac:dyDescent="0.2">
      <c r="A529" t="s">
        <v>1116</v>
      </c>
      <c r="B529" t="s">
        <v>1117</v>
      </c>
      <c r="C529" t="s">
        <v>30</v>
      </c>
      <c r="D529" t="s">
        <v>35</v>
      </c>
      <c r="E529" s="1">
        <v>45866</v>
      </c>
      <c r="F529" s="1">
        <v>45870</v>
      </c>
      <c r="G529" t="s">
        <v>36</v>
      </c>
      <c r="H529" t="s">
        <v>23</v>
      </c>
      <c r="I529" t="s">
        <v>81</v>
      </c>
      <c r="J529">
        <v>84</v>
      </c>
      <c r="K529" t="s">
        <v>65</v>
      </c>
      <c r="L529" t="s">
        <v>32</v>
      </c>
      <c r="M529" t="s">
        <v>39</v>
      </c>
      <c r="N529">
        <v>3.2</v>
      </c>
      <c r="O529" s="3">
        <v>6763.12</v>
      </c>
      <c r="P529">
        <v>0</v>
      </c>
      <c r="Q529">
        <v>4.2</v>
      </c>
      <c r="R529">
        <v>0.79</v>
      </c>
      <c r="S529" t="str">
        <f t="shared" si="8"/>
        <v>July</v>
      </c>
    </row>
    <row r="530" spans="1:19" x14ac:dyDescent="0.2">
      <c r="A530" t="s">
        <v>1118</v>
      </c>
      <c r="B530" t="s">
        <v>1119</v>
      </c>
      <c r="C530" t="s">
        <v>20</v>
      </c>
      <c r="D530" t="s">
        <v>49</v>
      </c>
      <c r="E530" s="1">
        <v>45820</v>
      </c>
      <c r="F530" s="1">
        <v>45824</v>
      </c>
      <c r="G530" t="s">
        <v>50</v>
      </c>
      <c r="H530" t="s">
        <v>50</v>
      </c>
      <c r="I530" t="s">
        <v>24</v>
      </c>
      <c r="J530">
        <v>77</v>
      </c>
      <c r="K530" t="s">
        <v>65</v>
      </c>
      <c r="L530" t="s">
        <v>26</v>
      </c>
      <c r="M530" t="s">
        <v>82</v>
      </c>
      <c r="N530">
        <v>3.5</v>
      </c>
      <c r="O530" s="3">
        <v>6763.12</v>
      </c>
      <c r="P530">
        <v>0</v>
      </c>
      <c r="Q530">
        <v>2.7</v>
      </c>
      <c r="R530">
        <v>0.79</v>
      </c>
      <c r="S530" t="str">
        <f t="shared" si="8"/>
        <v>June</v>
      </c>
    </row>
    <row r="531" spans="1:19" x14ac:dyDescent="0.2">
      <c r="A531" t="s">
        <v>1120</v>
      </c>
      <c r="B531" t="s">
        <v>1121</v>
      </c>
      <c r="C531" t="s">
        <v>30</v>
      </c>
      <c r="D531" t="s">
        <v>35</v>
      </c>
      <c r="E531" s="1">
        <v>45696</v>
      </c>
      <c r="F531" s="1">
        <v>45699</v>
      </c>
      <c r="G531" t="s">
        <v>71</v>
      </c>
      <c r="H531" t="s">
        <v>23</v>
      </c>
      <c r="I531" t="s">
        <v>100</v>
      </c>
      <c r="J531">
        <v>6</v>
      </c>
      <c r="K531" t="s">
        <v>103</v>
      </c>
      <c r="L531" t="s">
        <v>32</v>
      </c>
      <c r="M531" t="s">
        <v>82</v>
      </c>
      <c r="N531">
        <v>2.8</v>
      </c>
      <c r="O531" s="3">
        <v>6763.12</v>
      </c>
      <c r="P531">
        <v>0</v>
      </c>
      <c r="Q531">
        <v>2.9</v>
      </c>
      <c r="R531">
        <v>0.78</v>
      </c>
      <c r="S531" t="str">
        <f t="shared" si="8"/>
        <v>February</v>
      </c>
    </row>
    <row r="532" spans="1:19" x14ac:dyDescent="0.2">
      <c r="A532" t="s">
        <v>1122</v>
      </c>
      <c r="B532" t="s">
        <v>1123</v>
      </c>
      <c r="C532" t="s">
        <v>122</v>
      </c>
      <c r="D532" t="s">
        <v>49</v>
      </c>
      <c r="E532" s="1">
        <v>45942</v>
      </c>
      <c r="F532" s="1">
        <v>45944</v>
      </c>
      <c r="G532" t="s">
        <v>116</v>
      </c>
      <c r="H532" t="s">
        <v>23</v>
      </c>
      <c r="I532" t="s">
        <v>117</v>
      </c>
      <c r="J532">
        <v>44</v>
      </c>
      <c r="K532" t="s">
        <v>25</v>
      </c>
      <c r="L532" t="s">
        <v>26</v>
      </c>
      <c r="M532" t="s">
        <v>82</v>
      </c>
      <c r="N532">
        <v>1.3</v>
      </c>
      <c r="O532" s="3">
        <v>6763.12</v>
      </c>
      <c r="P532">
        <v>0</v>
      </c>
      <c r="Q532">
        <v>4.7</v>
      </c>
      <c r="R532">
        <v>0.8</v>
      </c>
      <c r="S532" t="str">
        <f t="shared" si="8"/>
        <v>October</v>
      </c>
    </row>
    <row r="533" spans="1:19" x14ac:dyDescent="0.2">
      <c r="A533" t="s">
        <v>1124</v>
      </c>
      <c r="B533" t="s">
        <v>1125</v>
      </c>
      <c r="C533" t="s">
        <v>62</v>
      </c>
      <c r="D533" t="s">
        <v>21</v>
      </c>
      <c r="E533" s="1">
        <v>45987</v>
      </c>
      <c r="F533" s="1">
        <v>45990</v>
      </c>
      <c r="G533" t="s">
        <v>50</v>
      </c>
      <c r="H533" t="s">
        <v>50</v>
      </c>
      <c r="I533" t="s">
        <v>117</v>
      </c>
      <c r="J533">
        <v>59</v>
      </c>
      <c r="K533" t="s">
        <v>38</v>
      </c>
      <c r="L533" t="s">
        <v>26</v>
      </c>
      <c r="M533" t="s">
        <v>39</v>
      </c>
      <c r="N533">
        <v>2.8</v>
      </c>
      <c r="O533" s="3">
        <v>6763.12</v>
      </c>
      <c r="P533">
        <v>0</v>
      </c>
      <c r="Q533">
        <v>3.4</v>
      </c>
      <c r="R533">
        <v>0.89</v>
      </c>
      <c r="S533" t="str">
        <f t="shared" si="8"/>
        <v>November</v>
      </c>
    </row>
    <row r="534" spans="1:19" x14ac:dyDescent="0.2">
      <c r="A534" t="s">
        <v>1126</v>
      </c>
      <c r="B534" t="s">
        <v>1127</v>
      </c>
      <c r="C534" t="s">
        <v>58</v>
      </c>
      <c r="D534" t="s">
        <v>21</v>
      </c>
      <c r="E534" s="1">
        <v>45913</v>
      </c>
      <c r="F534" s="1">
        <v>45918</v>
      </c>
      <c r="G534" t="s">
        <v>43</v>
      </c>
      <c r="H534" t="s">
        <v>23</v>
      </c>
      <c r="I534" t="s">
        <v>31</v>
      </c>
      <c r="J534">
        <v>38</v>
      </c>
      <c r="K534" t="s">
        <v>25</v>
      </c>
      <c r="L534" t="s">
        <v>26</v>
      </c>
      <c r="M534" t="s">
        <v>39</v>
      </c>
      <c r="N534">
        <v>4.0999999999999996</v>
      </c>
      <c r="O534" s="3">
        <v>6763.12</v>
      </c>
      <c r="P534">
        <v>0</v>
      </c>
      <c r="Q534">
        <v>3</v>
      </c>
      <c r="R534">
        <v>0.78</v>
      </c>
      <c r="S534" t="str">
        <f t="shared" si="8"/>
        <v>September</v>
      </c>
    </row>
    <row r="535" spans="1:19" x14ac:dyDescent="0.2">
      <c r="A535" t="s">
        <v>1128</v>
      </c>
      <c r="B535" t="s">
        <v>1129</v>
      </c>
      <c r="C535" t="s">
        <v>30</v>
      </c>
      <c r="D535" t="s">
        <v>35</v>
      </c>
      <c r="E535" s="1">
        <v>45973</v>
      </c>
      <c r="F535" s="1">
        <v>45982</v>
      </c>
      <c r="G535" t="s">
        <v>99</v>
      </c>
      <c r="H535" t="s">
        <v>44</v>
      </c>
      <c r="I535" t="s">
        <v>31</v>
      </c>
      <c r="J535">
        <v>41</v>
      </c>
      <c r="K535" t="s">
        <v>25</v>
      </c>
      <c r="L535" t="s">
        <v>32</v>
      </c>
      <c r="M535" t="s">
        <v>39</v>
      </c>
      <c r="N535">
        <v>8.1</v>
      </c>
      <c r="O535" s="3">
        <v>6763.12</v>
      </c>
      <c r="P535">
        <v>0</v>
      </c>
      <c r="Q535">
        <v>3</v>
      </c>
      <c r="R535">
        <v>0.86</v>
      </c>
      <c r="S535" t="str">
        <f t="shared" si="8"/>
        <v>November</v>
      </c>
    </row>
    <row r="536" spans="1:19" x14ac:dyDescent="0.2">
      <c r="A536" t="s">
        <v>1130</v>
      </c>
      <c r="B536" t="s">
        <v>1131</v>
      </c>
      <c r="C536" t="s">
        <v>20</v>
      </c>
      <c r="D536" t="s">
        <v>42</v>
      </c>
      <c r="E536" s="1">
        <v>45972</v>
      </c>
      <c r="F536" s="1">
        <v>45973</v>
      </c>
      <c r="G536" t="s">
        <v>36</v>
      </c>
      <c r="H536" t="s">
        <v>23</v>
      </c>
      <c r="I536" t="s">
        <v>100</v>
      </c>
      <c r="J536">
        <v>44</v>
      </c>
      <c r="K536" t="s">
        <v>25</v>
      </c>
      <c r="L536" t="s">
        <v>26</v>
      </c>
      <c r="M536" t="s">
        <v>39</v>
      </c>
      <c r="N536">
        <v>1</v>
      </c>
      <c r="O536" s="3">
        <v>6763.12</v>
      </c>
      <c r="P536">
        <v>0</v>
      </c>
      <c r="Q536">
        <v>4.0999999999999996</v>
      </c>
      <c r="R536">
        <v>0.74</v>
      </c>
      <c r="S536" t="str">
        <f t="shared" si="8"/>
        <v>November</v>
      </c>
    </row>
    <row r="537" spans="1:19" x14ac:dyDescent="0.2">
      <c r="A537" t="s">
        <v>1132</v>
      </c>
      <c r="B537" t="s">
        <v>1133</v>
      </c>
      <c r="C537" t="s">
        <v>30</v>
      </c>
      <c r="D537" t="s">
        <v>21</v>
      </c>
      <c r="E537" s="1">
        <v>45949</v>
      </c>
      <c r="F537" s="1">
        <v>45952</v>
      </c>
      <c r="G537" t="s">
        <v>43</v>
      </c>
      <c r="H537" t="s">
        <v>50</v>
      </c>
      <c r="I537" t="s">
        <v>117</v>
      </c>
      <c r="J537">
        <v>62</v>
      </c>
      <c r="K537" t="s">
        <v>38</v>
      </c>
      <c r="L537" t="s">
        <v>32</v>
      </c>
      <c r="M537" t="s">
        <v>27</v>
      </c>
      <c r="N537">
        <v>3</v>
      </c>
      <c r="O537" s="3">
        <v>6763.12</v>
      </c>
      <c r="P537">
        <v>0</v>
      </c>
      <c r="Q537">
        <v>3.4</v>
      </c>
      <c r="R537">
        <v>0.81</v>
      </c>
      <c r="S537" t="str">
        <f t="shared" si="8"/>
        <v>October</v>
      </c>
    </row>
    <row r="538" spans="1:19" x14ac:dyDescent="0.2">
      <c r="A538" t="s">
        <v>1134</v>
      </c>
      <c r="B538" t="s">
        <v>1135</v>
      </c>
      <c r="C538" t="s">
        <v>30</v>
      </c>
      <c r="D538" t="s">
        <v>49</v>
      </c>
      <c r="E538" s="1">
        <v>45841</v>
      </c>
      <c r="F538" s="1">
        <v>45846</v>
      </c>
      <c r="G538" t="s">
        <v>36</v>
      </c>
      <c r="H538" t="s">
        <v>50</v>
      </c>
      <c r="I538" t="s">
        <v>55</v>
      </c>
      <c r="J538">
        <v>26</v>
      </c>
      <c r="K538" t="s">
        <v>78</v>
      </c>
      <c r="L538" t="s">
        <v>26</v>
      </c>
      <c r="M538" t="s">
        <v>39</v>
      </c>
      <c r="N538">
        <v>4.4000000000000004</v>
      </c>
      <c r="O538" s="3">
        <v>6763.12</v>
      </c>
      <c r="P538">
        <v>0</v>
      </c>
      <c r="Q538">
        <v>4</v>
      </c>
      <c r="R538">
        <v>0.84</v>
      </c>
      <c r="S538" t="str">
        <f t="shared" si="8"/>
        <v>July</v>
      </c>
    </row>
    <row r="539" spans="1:19" x14ac:dyDescent="0.2">
      <c r="A539" t="s">
        <v>1136</v>
      </c>
      <c r="B539" t="s">
        <v>1137</v>
      </c>
      <c r="C539" t="s">
        <v>20</v>
      </c>
      <c r="D539" t="s">
        <v>21</v>
      </c>
      <c r="E539" s="1">
        <v>45694</v>
      </c>
      <c r="F539" s="1">
        <v>45698</v>
      </c>
      <c r="G539" t="s">
        <v>99</v>
      </c>
      <c r="H539" t="s">
        <v>50</v>
      </c>
      <c r="I539" t="s">
        <v>55</v>
      </c>
      <c r="J539">
        <v>54</v>
      </c>
      <c r="K539" t="s">
        <v>38</v>
      </c>
      <c r="L539" t="s">
        <v>32</v>
      </c>
      <c r="M539" t="s">
        <v>82</v>
      </c>
      <c r="N539">
        <v>4</v>
      </c>
      <c r="O539" s="3">
        <v>6763.12</v>
      </c>
      <c r="P539">
        <v>0</v>
      </c>
      <c r="Q539">
        <v>3.3</v>
      </c>
      <c r="R539">
        <v>0.83</v>
      </c>
      <c r="S539" t="str">
        <f t="shared" si="8"/>
        <v>February</v>
      </c>
    </row>
    <row r="540" spans="1:19" x14ac:dyDescent="0.2">
      <c r="A540" t="s">
        <v>1138</v>
      </c>
      <c r="B540" t="s">
        <v>1139</v>
      </c>
      <c r="C540" t="s">
        <v>20</v>
      </c>
      <c r="D540" t="s">
        <v>35</v>
      </c>
      <c r="E540" s="1">
        <v>45659</v>
      </c>
      <c r="F540" s="1">
        <v>45661</v>
      </c>
      <c r="G540" t="s">
        <v>22</v>
      </c>
      <c r="H540" t="s">
        <v>50</v>
      </c>
      <c r="I540" t="s">
        <v>51</v>
      </c>
      <c r="J540">
        <v>22</v>
      </c>
      <c r="K540" t="s">
        <v>78</v>
      </c>
      <c r="L540" t="s">
        <v>26</v>
      </c>
      <c r="M540" t="s">
        <v>39</v>
      </c>
      <c r="N540">
        <v>1.9</v>
      </c>
      <c r="O540" s="3">
        <v>6763.12</v>
      </c>
      <c r="P540">
        <v>0</v>
      </c>
      <c r="Q540">
        <v>2.9</v>
      </c>
      <c r="R540">
        <v>0.87</v>
      </c>
      <c r="S540" t="str">
        <f t="shared" si="8"/>
        <v>January</v>
      </c>
    </row>
    <row r="541" spans="1:19" x14ac:dyDescent="0.2">
      <c r="A541" t="s">
        <v>1140</v>
      </c>
      <c r="B541" t="s">
        <v>1141</v>
      </c>
      <c r="C541" t="s">
        <v>58</v>
      </c>
      <c r="D541" t="s">
        <v>21</v>
      </c>
      <c r="E541" s="1">
        <v>45732</v>
      </c>
      <c r="F541" s="1">
        <v>45736</v>
      </c>
      <c r="G541" t="s">
        <v>43</v>
      </c>
      <c r="H541" t="s">
        <v>50</v>
      </c>
      <c r="I541" t="s">
        <v>100</v>
      </c>
      <c r="J541">
        <v>80</v>
      </c>
      <c r="K541" t="s">
        <v>65</v>
      </c>
      <c r="L541" t="s">
        <v>32</v>
      </c>
      <c r="M541" t="s">
        <v>82</v>
      </c>
      <c r="N541">
        <v>3.5</v>
      </c>
      <c r="O541" s="3">
        <v>6763.12</v>
      </c>
      <c r="P541">
        <v>0</v>
      </c>
      <c r="Q541">
        <v>4.8</v>
      </c>
      <c r="R541">
        <v>0.79</v>
      </c>
      <c r="S541" t="str">
        <f t="shared" si="8"/>
        <v>March</v>
      </c>
    </row>
    <row r="542" spans="1:19" x14ac:dyDescent="0.2">
      <c r="A542" t="s">
        <v>1142</v>
      </c>
      <c r="B542" t="s">
        <v>1143</v>
      </c>
      <c r="C542" t="s">
        <v>62</v>
      </c>
      <c r="D542" t="s">
        <v>21</v>
      </c>
      <c r="E542" s="1">
        <v>45815</v>
      </c>
      <c r="F542" s="1">
        <v>45819</v>
      </c>
      <c r="G542" t="s">
        <v>99</v>
      </c>
      <c r="H542" t="s">
        <v>44</v>
      </c>
      <c r="I542" t="s">
        <v>100</v>
      </c>
      <c r="J542">
        <v>7</v>
      </c>
      <c r="K542" t="s">
        <v>103</v>
      </c>
      <c r="L542" t="s">
        <v>26</v>
      </c>
      <c r="M542" t="s">
        <v>27</v>
      </c>
      <c r="N542">
        <v>3.9</v>
      </c>
      <c r="O542" s="3">
        <v>6763.12</v>
      </c>
      <c r="P542">
        <v>0</v>
      </c>
      <c r="Q542">
        <v>4.0999999999999996</v>
      </c>
      <c r="R542">
        <v>0.88</v>
      </c>
      <c r="S542" t="str">
        <f t="shared" si="8"/>
        <v>June</v>
      </c>
    </row>
    <row r="543" spans="1:19" x14ac:dyDescent="0.2">
      <c r="A543" t="s">
        <v>1144</v>
      </c>
      <c r="B543" t="s">
        <v>1145</v>
      </c>
      <c r="C543" t="s">
        <v>122</v>
      </c>
      <c r="D543" t="s">
        <v>21</v>
      </c>
      <c r="E543" s="1">
        <v>45929</v>
      </c>
      <c r="F543" s="1">
        <v>45932</v>
      </c>
      <c r="G543" t="s">
        <v>99</v>
      </c>
      <c r="H543" t="s">
        <v>50</v>
      </c>
      <c r="I543" t="s">
        <v>37</v>
      </c>
      <c r="J543">
        <v>6</v>
      </c>
      <c r="K543" t="s">
        <v>103</v>
      </c>
      <c r="L543" t="s">
        <v>26</v>
      </c>
      <c r="M543" t="s">
        <v>39</v>
      </c>
      <c r="N543">
        <v>2.1</v>
      </c>
      <c r="O543" s="3">
        <v>6763.12</v>
      </c>
      <c r="P543">
        <v>1</v>
      </c>
      <c r="Q543">
        <v>3.7</v>
      </c>
      <c r="R543">
        <v>0.89</v>
      </c>
      <c r="S543" t="str">
        <f t="shared" si="8"/>
        <v>September</v>
      </c>
    </row>
    <row r="544" spans="1:19" x14ac:dyDescent="0.2">
      <c r="A544" t="s">
        <v>1146</v>
      </c>
      <c r="B544" t="s">
        <v>1147</v>
      </c>
      <c r="C544" t="s">
        <v>62</v>
      </c>
      <c r="D544" t="s">
        <v>42</v>
      </c>
      <c r="E544" s="1">
        <v>45824</v>
      </c>
      <c r="F544" s="1">
        <v>45826</v>
      </c>
      <c r="G544" t="s">
        <v>50</v>
      </c>
      <c r="H544" t="s">
        <v>23</v>
      </c>
      <c r="I544" t="s">
        <v>51</v>
      </c>
      <c r="J544">
        <v>3</v>
      </c>
      <c r="K544" t="s">
        <v>103</v>
      </c>
      <c r="L544" t="s">
        <v>32</v>
      </c>
      <c r="M544" t="s">
        <v>27</v>
      </c>
      <c r="N544">
        <v>2</v>
      </c>
      <c r="O544" s="3">
        <v>6763.12</v>
      </c>
      <c r="P544">
        <v>0</v>
      </c>
      <c r="Q544">
        <v>3.4</v>
      </c>
      <c r="R544">
        <v>0.84</v>
      </c>
      <c r="S544" t="str">
        <f t="shared" si="8"/>
        <v>June</v>
      </c>
    </row>
    <row r="545" spans="1:19" x14ac:dyDescent="0.2">
      <c r="A545" t="s">
        <v>1148</v>
      </c>
      <c r="B545" t="s">
        <v>1149</v>
      </c>
      <c r="C545" t="s">
        <v>20</v>
      </c>
      <c r="D545" t="s">
        <v>42</v>
      </c>
      <c r="E545" s="1">
        <v>45666</v>
      </c>
      <c r="F545" s="1">
        <v>45674</v>
      </c>
      <c r="G545" t="s">
        <v>116</v>
      </c>
      <c r="H545" t="s">
        <v>50</v>
      </c>
      <c r="I545" t="s">
        <v>64</v>
      </c>
      <c r="J545">
        <v>31</v>
      </c>
      <c r="K545" t="s">
        <v>78</v>
      </c>
      <c r="L545" t="s">
        <v>32</v>
      </c>
      <c r="M545" t="s">
        <v>27</v>
      </c>
      <c r="N545">
        <v>7.1</v>
      </c>
      <c r="O545" s="3">
        <v>6763.12</v>
      </c>
      <c r="P545">
        <v>0</v>
      </c>
      <c r="Q545">
        <v>4.5999999999999996</v>
      </c>
      <c r="R545">
        <v>0.79</v>
      </c>
      <c r="S545" t="str">
        <f t="shared" si="8"/>
        <v>January</v>
      </c>
    </row>
    <row r="546" spans="1:19" x14ac:dyDescent="0.2">
      <c r="A546" t="s">
        <v>1150</v>
      </c>
      <c r="B546" t="s">
        <v>1151</v>
      </c>
      <c r="C546" t="s">
        <v>122</v>
      </c>
      <c r="D546" t="s">
        <v>42</v>
      </c>
      <c r="E546" s="1">
        <v>45734</v>
      </c>
      <c r="F546" s="1">
        <v>45740</v>
      </c>
      <c r="G546" t="s">
        <v>43</v>
      </c>
      <c r="H546" t="s">
        <v>50</v>
      </c>
      <c r="I546" t="s">
        <v>100</v>
      </c>
      <c r="J546">
        <v>55</v>
      </c>
      <c r="K546" t="s">
        <v>38</v>
      </c>
      <c r="L546" t="s">
        <v>26</v>
      </c>
      <c r="M546" t="s">
        <v>39</v>
      </c>
      <c r="N546">
        <v>5.0999999999999996</v>
      </c>
      <c r="O546" s="3">
        <v>6763.12</v>
      </c>
      <c r="P546">
        <v>0</v>
      </c>
      <c r="Q546">
        <v>4.3</v>
      </c>
      <c r="R546">
        <v>0.79</v>
      </c>
      <c r="S546" t="str">
        <f t="shared" si="8"/>
        <v>March</v>
      </c>
    </row>
    <row r="547" spans="1:19" x14ac:dyDescent="0.2">
      <c r="A547" t="s">
        <v>1152</v>
      </c>
      <c r="B547" t="s">
        <v>1153</v>
      </c>
      <c r="C547" t="s">
        <v>62</v>
      </c>
      <c r="D547" t="s">
        <v>49</v>
      </c>
      <c r="E547" s="1">
        <v>46015</v>
      </c>
      <c r="F547" s="1">
        <v>46024</v>
      </c>
      <c r="G547" t="s">
        <v>59</v>
      </c>
      <c r="H547" t="s">
        <v>50</v>
      </c>
      <c r="I547" t="s">
        <v>37</v>
      </c>
      <c r="J547">
        <v>89</v>
      </c>
      <c r="K547" t="s">
        <v>65</v>
      </c>
      <c r="L547" t="s">
        <v>32</v>
      </c>
      <c r="M547" t="s">
        <v>27</v>
      </c>
      <c r="N547">
        <v>8.1999999999999993</v>
      </c>
      <c r="O547" s="3">
        <v>6763.12</v>
      </c>
      <c r="P547">
        <v>1</v>
      </c>
      <c r="Q547">
        <v>4.3</v>
      </c>
      <c r="R547">
        <v>0.8</v>
      </c>
      <c r="S547" t="str">
        <f t="shared" si="8"/>
        <v>December</v>
      </c>
    </row>
    <row r="548" spans="1:19" x14ac:dyDescent="0.2">
      <c r="A548" t="s">
        <v>1154</v>
      </c>
      <c r="B548" t="s">
        <v>1155</v>
      </c>
      <c r="C548" t="s">
        <v>30</v>
      </c>
      <c r="D548" t="s">
        <v>49</v>
      </c>
      <c r="E548" s="1">
        <v>46018</v>
      </c>
      <c r="F548" s="1">
        <v>46021</v>
      </c>
      <c r="G548" t="s">
        <v>43</v>
      </c>
      <c r="H548" t="s">
        <v>50</v>
      </c>
      <c r="I548" t="s">
        <v>55</v>
      </c>
      <c r="J548">
        <v>41</v>
      </c>
      <c r="K548" t="s">
        <v>25</v>
      </c>
      <c r="L548" t="s">
        <v>26</v>
      </c>
      <c r="M548" t="s">
        <v>27</v>
      </c>
      <c r="N548">
        <v>2.8</v>
      </c>
      <c r="O548" s="3">
        <v>6763.12</v>
      </c>
      <c r="P548">
        <v>0</v>
      </c>
      <c r="Q548">
        <v>3.5</v>
      </c>
      <c r="R548">
        <v>0.82</v>
      </c>
      <c r="S548" t="str">
        <f t="shared" si="8"/>
        <v>December</v>
      </c>
    </row>
    <row r="549" spans="1:19" x14ac:dyDescent="0.2">
      <c r="A549" t="s">
        <v>1156</v>
      </c>
      <c r="B549" t="s">
        <v>1157</v>
      </c>
      <c r="C549" t="s">
        <v>20</v>
      </c>
      <c r="D549" t="s">
        <v>49</v>
      </c>
      <c r="E549" s="1">
        <v>45795</v>
      </c>
      <c r="F549" s="1">
        <v>45798</v>
      </c>
      <c r="G549" t="s">
        <v>22</v>
      </c>
      <c r="H549" t="s">
        <v>23</v>
      </c>
      <c r="I549" t="s">
        <v>117</v>
      </c>
      <c r="J549">
        <v>16</v>
      </c>
      <c r="K549" t="s">
        <v>46</v>
      </c>
      <c r="L549" t="s">
        <v>26</v>
      </c>
      <c r="M549" t="s">
        <v>39</v>
      </c>
      <c r="N549">
        <v>2.4</v>
      </c>
      <c r="O549" s="3">
        <v>6763.12</v>
      </c>
      <c r="P549">
        <v>1</v>
      </c>
      <c r="Q549">
        <v>3.9</v>
      </c>
      <c r="R549">
        <v>0.73</v>
      </c>
      <c r="S549" t="str">
        <f t="shared" si="8"/>
        <v>May</v>
      </c>
    </row>
    <row r="550" spans="1:19" x14ac:dyDescent="0.2">
      <c r="A550" t="s">
        <v>1158</v>
      </c>
      <c r="B550" t="s">
        <v>1159</v>
      </c>
      <c r="C550" t="s">
        <v>58</v>
      </c>
      <c r="D550" t="s">
        <v>35</v>
      </c>
      <c r="E550" s="1">
        <v>45951</v>
      </c>
      <c r="F550" s="1">
        <v>45956</v>
      </c>
      <c r="G550" t="s">
        <v>63</v>
      </c>
      <c r="H550" t="s">
        <v>44</v>
      </c>
      <c r="I550" t="s">
        <v>55</v>
      </c>
      <c r="J550">
        <v>33</v>
      </c>
      <c r="K550" t="s">
        <v>78</v>
      </c>
      <c r="L550" t="s">
        <v>32</v>
      </c>
      <c r="M550" t="s">
        <v>39</v>
      </c>
      <c r="N550">
        <v>4.8</v>
      </c>
      <c r="O550" s="3">
        <v>6763.12</v>
      </c>
      <c r="P550">
        <v>0</v>
      </c>
      <c r="Q550">
        <v>4.0999999999999996</v>
      </c>
      <c r="R550">
        <v>0.73</v>
      </c>
      <c r="S550" t="str">
        <f t="shared" si="8"/>
        <v>October</v>
      </c>
    </row>
    <row r="551" spans="1:19" x14ac:dyDescent="0.2">
      <c r="A551" t="s">
        <v>1160</v>
      </c>
      <c r="B551" t="s">
        <v>1161</v>
      </c>
      <c r="C551" t="s">
        <v>122</v>
      </c>
      <c r="D551" t="s">
        <v>42</v>
      </c>
      <c r="E551" s="1">
        <v>45920</v>
      </c>
      <c r="F551" s="1">
        <v>45922</v>
      </c>
      <c r="G551" t="s">
        <v>63</v>
      </c>
      <c r="H551" t="s">
        <v>44</v>
      </c>
      <c r="I551" t="s">
        <v>31</v>
      </c>
      <c r="J551">
        <v>11</v>
      </c>
      <c r="K551" t="s">
        <v>103</v>
      </c>
      <c r="L551" t="s">
        <v>32</v>
      </c>
      <c r="M551" t="s">
        <v>27</v>
      </c>
      <c r="N551">
        <v>1.5</v>
      </c>
      <c r="O551" s="3">
        <v>6763.12</v>
      </c>
      <c r="P551">
        <v>0</v>
      </c>
      <c r="Q551">
        <v>3.6</v>
      </c>
      <c r="R551">
        <v>0.78</v>
      </c>
      <c r="S551" t="str">
        <f t="shared" si="8"/>
        <v>September</v>
      </c>
    </row>
    <row r="552" spans="1:19" x14ac:dyDescent="0.2">
      <c r="A552" t="s">
        <v>1162</v>
      </c>
      <c r="B552" t="s">
        <v>1163</v>
      </c>
      <c r="C552" t="s">
        <v>62</v>
      </c>
      <c r="D552" t="s">
        <v>42</v>
      </c>
      <c r="E552" s="1">
        <v>45997</v>
      </c>
      <c r="F552" s="1">
        <v>46010</v>
      </c>
      <c r="G552" t="s">
        <v>59</v>
      </c>
      <c r="H552" t="s">
        <v>50</v>
      </c>
      <c r="I552" t="s">
        <v>81</v>
      </c>
      <c r="J552">
        <v>42</v>
      </c>
      <c r="K552" t="s">
        <v>25</v>
      </c>
      <c r="L552" t="s">
        <v>26</v>
      </c>
      <c r="M552" t="s">
        <v>27</v>
      </c>
      <c r="N552">
        <v>12.3</v>
      </c>
      <c r="O552" s="3">
        <v>6763.12</v>
      </c>
      <c r="P552">
        <v>0</v>
      </c>
      <c r="Q552">
        <v>3.5</v>
      </c>
      <c r="R552">
        <v>0.88</v>
      </c>
      <c r="S552" t="str">
        <f t="shared" si="8"/>
        <v>December</v>
      </c>
    </row>
    <row r="553" spans="1:19" x14ac:dyDescent="0.2">
      <c r="A553" t="s">
        <v>1164</v>
      </c>
      <c r="B553" t="s">
        <v>1165</v>
      </c>
      <c r="C553" t="s">
        <v>122</v>
      </c>
      <c r="D553" t="s">
        <v>35</v>
      </c>
      <c r="E553" s="1">
        <v>45981</v>
      </c>
      <c r="F553" s="1">
        <v>45984</v>
      </c>
      <c r="G553" t="s">
        <v>99</v>
      </c>
      <c r="H553" t="s">
        <v>23</v>
      </c>
      <c r="I553" t="s">
        <v>117</v>
      </c>
      <c r="J553">
        <v>66</v>
      </c>
      <c r="K553" t="s">
        <v>169</v>
      </c>
      <c r="L553" t="s">
        <v>32</v>
      </c>
      <c r="M553" t="s">
        <v>39</v>
      </c>
      <c r="N553">
        <v>2.2000000000000002</v>
      </c>
      <c r="O553" s="3">
        <v>6763.12</v>
      </c>
      <c r="P553">
        <v>0</v>
      </c>
      <c r="Q553">
        <v>3.5</v>
      </c>
      <c r="R553">
        <v>0.82</v>
      </c>
      <c r="S553" t="str">
        <f t="shared" si="8"/>
        <v>November</v>
      </c>
    </row>
    <row r="554" spans="1:19" x14ac:dyDescent="0.2">
      <c r="A554" t="s">
        <v>1166</v>
      </c>
      <c r="B554" t="s">
        <v>1167</v>
      </c>
      <c r="C554" t="s">
        <v>62</v>
      </c>
      <c r="D554" t="s">
        <v>42</v>
      </c>
      <c r="E554" s="1">
        <v>45887</v>
      </c>
      <c r="F554" s="1">
        <v>45897</v>
      </c>
      <c r="G554" t="s">
        <v>36</v>
      </c>
      <c r="H554" t="s">
        <v>50</v>
      </c>
      <c r="I554" t="s">
        <v>55</v>
      </c>
      <c r="J554">
        <v>3</v>
      </c>
      <c r="K554" t="s">
        <v>103</v>
      </c>
      <c r="L554" t="s">
        <v>26</v>
      </c>
      <c r="M554" t="s">
        <v>39</v>
      </c>
      <c r="N554">
        <v>9.6</v>
      </c>
      <c r="O554" s="3">
        <v>6763.12</v>
      </c>
      <c r="P554">
        <v>1</v>
      </c>
      <c r="Q554">
        <v>3.9</v>
      </c>
      <c r="R554">
        <v>0.8</v>
      </c>
      <c r="S554" t="str">
        <f t="shared" si="8"/>
        <v>August</v>
      </c>
    </row>
    <row r="555" spans="1:19" x14ac:dyDescent="0.2">
      <c r="A555" t="s">
        <v>1168</v>
      </c>
      <c r="B555" t="s">
        <v>1169</v>
      </c>
      <c r="C555" t="s">
        <v>30</v>
      </c>
      <c r="D555" t="s">
        <v>42</v>
      </c>
      <c r="E555" s="1">
        <v>45802</v>
      </c>
      <c r="F555" s="1">
        <v>45806</v>
      </c>
      <c r="G555" t="s">
        <v>36</v>
      </c>
      <c r="H555" t="s">
        <v>44</v>
      </c>
      <c r="I555" t="s">
        <v>55</v>
      </c>
      <c r="J555">
        <v>70</v>
      </c>
      <c r="K555" t="s">
        <v>169</v>
      </c>
      <c r="L555" t="s">
        <v>32</v>
      </c>
      <c r="M555" t="s">
        <v>39</v>
      </c>
      <c r="N555">
        <v>3.8</v>
      </c>
      <c r="O555" s="3">
        <v>6763.12</v>
      </c>
      <c r="P555">
        <v>0</v>
      </c>
      <c r="Q555">
        <v>3.1</v>
      </c>
      <c r="R555">
        <v>0.9</v>
      </c>
      <c r="S555" t="str">
        <f t="shared" si="8"/>
        <v>May</v>
      </c>
    </row>
    <row r="556" spans="1:19" x14ac:dyDescent="0.2">
      <c r="A556" t="s">
        <v>1170</v>
      </c>
      <c r="B556" t="s">
        <v>1171</v>
      </c>
      <c r="C556" t="s">
        <v>30</v>
      </c>
      <c r="D556" t="s">
        <v>21</v>
      </c>
      <c r="E556" s="1">
        <v>45886</v>
      </c>
      <c r="F556" s="1">
        <v>45892</v>
      </c>
      <c r="G556" t="s">
        <v>68</v>
      </c>
      <c r="H556" t="s">
        <v>50</v>
      </c>
      <c r="I556" t="s">
        <v>81</v>
      </c>
      <c r="J556">
        <v>20</v>
      </c>
      <c r="K556" t="s">
        <v>78</v>
      </c>
      <c r="L556" t="s">
        <v>32</v>
      </c>
      <c r="M556" t="s">
        <v>39</v>
      </c>
      <c r="N556">
        <v>5.7</v>
      </c>
      <c r="O556" s="3">
        <v>6763.12</v>
      </c>
      <c r="P556">
        <v>0</v>
      </c>
      <c r="Q556">
        <v>4.2</v>
      </c>
      <c r="R556">
        <v>0.83</v>
      </c>
      <c r="S556" t="str">
        <f t="shared" si="8"/>
        <v>August</v>
      </c>
    </row>
    <row r="557" spans="1:19" x14ac:dyDescent="0.2">
      <c r="A557" t="s">
        <v>1172</v>
      </c>
      <c r="B557" t="s">
        <v>1173</v>
      </c>
      <c r="C557" t="s">
        <v>122</v>
      </c>
      <c r="D557" t="s">
        <v>42</v>
      </c>
      <c r="E557" s="1">
        <v>45774</v>
      </c>
      <c r="F557" s="1">
        <v>45778</v>
      </c>
      <c r="G557" t="s">
        <v>22</v>
      </c>
      <c r="H557" t="s">
        <v>50</v>
      </c>
      <c r="I557" t="s">
        <v>81</v>
      </c>
      <c r="J557">
        <v>61</v>
      </c>
      <c r="K557" t="s">
        <v>38</v>
      </c>
      <c r="L557" t="s">
        <v>32</v>
      </c>
      <c r="M557" t="s">
        <v>27</v>
      </c>
      <c r="N557">
        <v>3.6</v>
      </c>
      <c r="O557" s="3">
        <v>6763.12</v>
      </c>
      <c r="P557">
        <v>0</v>
      </c>
      <c r="Q557">
        <v>4.0999999999999996</v>
      </c>
      <c r="R557">
        <v>0.79</v>
      </c>
      <c r="S557" t="str">
        <f t="shared" si="8"/>
        <v>April</v>
      </c>
    </row>
    <row r="558" spans="1:19" x14ac:dyDescent="0.2">
      <c r="A558" t="s">
        <v>1174</v>
      </c>
      <c r="B558" t="s">
        <v>1175</v>
      </c>
      <c r="C558" t="s">
        <v>62</v>
      </c>
      <c r="D558" t="s">
        <v>35</v>
      </c>
      <c r="E558" s="1">
        <v>45785</v>
      </c>
      <c r="F558" s="1">
        <v>45786</v>
      </c>
      <c r="G558" t="s">
        <v>50</v>
      </c>
      <c r="H558" t="s">
        <v>50</v>
      </c>
      <c r="I558" t="s">
        <v>64</v>
      </c>
      <c r="J558">
        <v>74</v>
      </c>
      <c r="K558" t="s">
        <v>169</v>
      </c>
      <c r="L558" t="s">
        <v>32</v>
      </c>
      <c r="M558" t="s">
        <v>82</v>
      </c>
      <c r="N558">
        <v>0.3</v>
      </c>
      <c r="O558" s="3">
        <v>6763.12</v>
      </c>
      <c r="P558">
        <v>0</v>
      </c>
      <c r="Q558">
        <v>3.6</v>
      </c>
      <c r="R558">
        <v>0.78</v>
      </c>
      <c r="S558" t="str">
        <f t="shared" si="8"/>
        <v>May</v>
      </c>
    </row>
    <row r="559" spans="1:19" x14ac:dyDescent="0.2">
      <c r="A559" t="s">
        <v>1176</v>
      </c>
      <c r="B559" t="s">
        <v>1177</v>
      </c>
      <c r="C559" t="s">
        <v>30</v>
      </c>
      <c r="D559" t="s">
        <v>35</v>
      </c>
      <c r="E559" s="1">
        <v>45880</v>
      </c>
      <c r="F559" s="1">
        <v>45886</v>
      </c>
      <c r="G559" t="s">
        <v>116</v>
      </c>
      <c r="H559" t="s">
        <v>50</v>
      </c>
      <c r="I559" t="s">
        <v>24</v>
      </c>
      <c r="J559">
        <v>70</v>
      </c>
      <c r="K559" t="s">
        <v>169</v>
      </c>
      <c r="L559" t="s">
        <v>26</v>
      </c>
      <c r="M559" t="s">
        <v>27</v>
      </c>
      <c r="N559">
        <v>5.8</v>
      </c>
      <c r="O559" s="3">
        <v>6763.12</v>
      </c>
      <c r="P559">
        <v>0</v>
      </c>
      <c r="Q559">
        <v>4.2</v>
      </c>
      <c r="R559">
        <v>0.8</v>
      </c>
      <c r="S559" t="str">
        <f t="shared" si="8"/>
        <v>August</v>
      </c>
    </row>
    <row r="560" spans="1:19" x14ac:dyDescent="0.2">
      <c r="A560" t="s">
        <v>1178</v>
      </c>
      <c r="B560" t="s">
        <v>1179</v>
      </c>
      <c r="C560" t="s">
        <v>62</v>
      </c>
      <c r="D560" t="s">
        <v>21</v>
      </c>
      <c r="E560" s="1">
        <v>45866</v>
      </c>
      <c r="F560" s="1">
        <v>45868</v>
      </c>
      <c r="G560" t="s">
        <v>36</v>
      </c>
      <c r="H560" t="s">
        <v>50</v>
      </c>
      <c r="I560" t="s">
        <v>100</v>
      </c>
      <c r="J560">
        <v>60</v>
      </c>
      <c r="K560" t="s">
        <v>38</v>
      </c>
      <c r="L560" t="s">
        <v>32</v>
      </c>
      <c r="M560" t="s">
        <v>39</v>
      </c>
      <c r="N560">
        <v>1.9</v>
      </c>
      <c r="O560" s="3">
        <v>6763.12</v>
      </c>
      <c r="P560">
        <v>0</v>
      </c>
      <c r="Q560">
        <v>3.7</v>
      </c>
      <c r="R560">
        <v>0.88</v>
      </c>
      <c r="S560" t="str">
        <f t="shared" si="8"/>
        <v>July</v>
      </c>
    </row>
    <row r="561" spans="1:19" x14ac:dyDescent="0.2">
      <c r="A561" t="s">
        <v>1180</v>
      </c>
      <c r="B561" t="s">
        <v>1181</v>
      </c>
      <c r="C561" t="s">
        <v>122</v>
      </c>
      <c r="D561" t="s">
        <v>49</v>
      </c>
      <c r="E561" s="1">
        <v>45870</v>
      </c>
      <c r="F561" s="1">
        <v>45872</v>
      </c>
      <c r="G561" t="s">
        <v>116</v>
      </c>
      <c r="H561" t="s">
        <v>44</v>
      </c>
      <c r="I561" t="s">
        <v>51</v>
      </c>
      <c r="J561">
        <v>63</v>
      </c>
      <c r="K561" t="s">
        <v>38</v>
      </c>
      <c r="L561" t="s">
        <v>26</v>
      </c>
      <c r="M561" t="s">
        <v>27</v>
      </c>
      <c r="N561">
        <v>1.5</v>
      </c>
      <c r="O561" s="3">
        <v>6763.12</v>
      </c>
      <c r="P561">
        <v>0</v>
      </c>
      <c r="Q561">
        <v>3.5</v>
      </c>
      <c r="R561">
        <v>0.79</v>
      </c>
      <c r="S561" t="str">
        <f t="shared" si="8"/>
        <v>August</v>
      </c>
    </row>
    <row r="562" spans="1:19" x14ac:dyDescent="0.2">
      <c r="A562" t="s">
        <v>1182</v>
      </c>
      <c r="B562" t="s">
        <v>1183</v>
      </c>
      <c r="C562" t="s">
        <v>20</v>
      </c>
      <c r="D562" t="s">
        <v>21</v>
      </c>
      <c r="E562" s="1">
        <v>45798</v>
      </c>
      <c r="F562" s="1">
        <v>45800</v>
      </c>
      <c r="G562" t="s">
        <v>68</v>
      </c>
      <c r="H562" t="s">
        <v>23</v>
      </c>
      <c r="I562" t="s">
        <v>55</v>
      </c>
      <c r="J562">
        <v>17</v>
      </c>
      <c r="K562" t="s">
        <v>46</v>
      </c>
      <c r="L562" t="s">
        <v>26</v>
      </c>
      <c r="M562" t="s">
        <v>39</v>
      </c>
      <c r="N562">
        <v>1.8</v>
      </c>
      <c r="O562" s="3">
        <v>6763.12</v>
      </c>
      <c r="P562">
        <v>1</v>
      </c>
      <c r="Q562">
        <v>4.2</v>
      </c>
      <c r="R562">
        <v>0.8</v>
      </c>
      <c r="S562" t="str">
        <f t="shared" si="8"/>
        <v>May</v>
      </c>
    </row>
    <row r="563" spans="1:19" x14ac:dyDescent="0.2">
      <c r="A563" t="s">
        <v>1184</v>
      </c>
      <c r="B563" t="s">
        <v>1185</v>
      </c>
      <c r="C563" t="s">
        <v>122</v>
      </c>
      <c r="D563" t="s">
        <v>42</v>
      </c>
      <c r="E563" s="1">
        <v>45807</v>
      </c>
      <c r="F563" s="1">
        <v>45808</v>
      </c>
      <c r="G563" t="s">
        <v>99</v>
      </c>
      <c r="H563" t="s">
        <v>44</v>
      </c>
      <c r="I563" t="s">
        <v>37</v>
      </c>
      <c r="J563">
        <v>12</v>
      </c>
      <c r="K563" t="s">
        <v>103</v>
      </c>
      <c r="L563" t="s">
        <v>32</v>
      </c>
      <c r="M563" t="s">
        <v>27</v>
      </c>
      <c r="N563">
        <v>0.7</v>
      </c>
      <c r="O563" s="3">
        <v>6763.12</v>
      </c>
      <c r="P563">
        <v>0</v>
      </c>
      <c r="Q563">
        <v>4.3</v>
      </c>
      <c r="R563">
        <v>0.79</v>
      </c>
      <c r="S563" t="str">
        <f t="shared" si="8"/>
        <v>May</v>
      </c>
    </row>
    <row r="564" spans="1:19" x14ac:dyDescent="0.2">
      <c r="A564" t="s">
        <v>1186</v>
      </c>
      <c r="B564" t="s">
        <v>1187</v>
      </c>
      <c r="C564" t="s">
        <v>30</v>
      </c>
      <c r="D564" t="s">
        <v>35</v>
      </c>
      <c r="E564" s="1">
        <v>45661</v>
      </c>
      <c r="F564" s="1">
        <v>45665</v>
      </c>
      <c r="G564" t="s">
        <v>99</v>
      </c>
      <c r="H564" t="s">
        <v>50</v>
      </c>
      <c r="I564" t="s">
        <v>31</v>
      </c>
      <c r="J564">
        <v>34</v>
      </c>
      <c r="K564" t="s">
        <v>78</v>
      </c>
      <c r="L564" t="s">
        <v>32</v>
      </c>
      <c r="M564" t="s">
        <v>82</v>
      </c>
      <c r="N564">
        <v>4</v>
      </c>
      <c r="O564" s="3">
        <v>6763.12</v>
      </c>
      <c r="P564">
        <v>0</v>
      </c>
      <c r="Q564">
        <v>3.6</v>
      </c>
      <c r="R564">
        <v>0.76</v>
      </c>
      <c r="S564" t="str">
        <f t="shared" si="8"/>
        <v>January</v>
      </c>
    </row>
    <row r="565" spans="1:19" x14ac:dyDescent="0.2">
      <c r="A565" t="s">
        <v>1188</v>
      </c>
      <c r="B565" t="s">
        <v>1189</v>
      </c>
      <c r="C565" t="s">
        <v>62</v>
      </c>
      <c r="D565" t="s">
        <v>35</v>
      </c>
      <c r="E565" s="1">
        <v>45877</v>
      </c>
      <c r="F565" s="1">
        <v>45880</v>
      </c>
      <c r="G565" t="s">
        <v>50</v>
      </c>
      <c r="H565" t="s">
        <v>23</v>
      </c>
      <c r="I565" t="s">
        <v>81</v>
      </c>
      <c r="J565">
        <v>55</v>
      </c>
      <c r="K565" t="s">
        <v>38</v>
      </c>
      <c r="L565" t="s">
        <v>26</v>
      </c>
      <c r="M565" t="s">
        <v>27</v>
      </c>
      <c r="N565">
        <v>2.1</v>
      </c>
      <c r="O565" s="3">
        <v>6763.12</v>
      </c>
      <c r="P565">
        <v>0</v>
      </c>
      <c r="Q565">
        <v>3.3</v>
      </c>
      <c r="R565">
        <v>0.84</v>
      </c>
      <c r="S565" t="str">
        <f t="shared" si="8"/>
        <v>August</v>
      </c>
    </row>
    <row r="566" spans="1:19" x14ac:dyDescent="0.2">
      <c r="A566" t="s">
        <v>1190</v>
      </c>
      <c r="B566" t="s">
        <v>1191</v>
      </c>
      <c r="C566" t="s">
        <v>20</v>
      </c>
      <c r="D566" t="s">
        <v>49</v>
      </c>
      <c r="E566" s="1">
        <v>45868</v>
      </c>
      <c r="F566" s="1">
        <v>45871</v>
      </c>
      <c r="G566" t="s">
        <v>50</v>
      </c>
      <c r="H566" t="s">
        <v>50</v>
      </c>
      <c r="I566" t="s">
        <v>81</v>
      </c>
      <c r="J566">
        <v>56</v>
      </c>
      <c r="K566" t="s">
        <v>38</v>
      </c>
      <c r="L566" t="s">
        <v>26</v>
      </c>
      <c r="M566" t="s">
        <v>39</v>
      </c>
      <c r="N566">
        <v>2.8</v>
      </c>
      <c r="O566" s="3">
        <v>6763.12</v>
      </c>
      <c r="P566">
        <v>0</v>
      </c>
      <c r="Q566">
        <v>3.6</v>
      </c>
      <c r="R566">
        <v>0.86</v>
      </c>
      <c r="S566" t="str">
        <f t="shared" si="8"/>
        <v>July</v>
      </c>
    </row>
    <row r="567" spans="1:19" x14ac:dyDescent="0.2">
      <c r="A567" t="s">
        <v>1192</v>
      </c>
      <c r="B567" t="s">
        <v>1193</v>
      </c>
      <c r="C567" t="s">
        <v>58</v>
      </c>
      <c r="D567" t="s">
        <v>35</v>
      </c>
      <c r="E567" s="1">
        <v>45999</v>
      </c>
      <c r="F567" s="1">
        <v>46000</v>
      </c>
      <c r="G567" t="s">
        <v>50</v>
      </c>
      <c r="H567" t="s">
        <v>50</v>
      </c>
      <c r="I567" t="s">
        <v>81</v>
      </c>
      <c r="J567">
        <v>70</v>
      </c>
      <c r="K567" t="s">
        <v>169</v>
      </c>
      <c r="L567" t="s">
        <v>26</v>
      </c>
      <c r="M567" t="s">
        <v>27</v>
      </c>
      <c r="N567">
        <v>0.9</v>
      </c>
      <c r="O567" s="3">
        <v>6763.12</v>
      </c>
      <c r="P567">
        <v>0</v>
      </c>
      <c r="Q567">
        <v>3.4</v>
      </c>
      <c r="R567">
        <v>0.79</v>
      </c>
      <c r="S567" t="str">
        <f t="shared" si="8"/>
        <v>December</v>
      </c>
    </row>
    <row r="568" spans="1:19" x14ac:dyDescent="0.2">
      <c r="A568" t="s">
        <v>1194</v>
      </c>
      <c r="B568" t="s">
        <v>1195</v>
      </c>
      <c r="C568" t="s">
        <v>20</v>
      </c>
      <c r="D568" t="s">
        <v>49</v>
      </c>
      <c r="E568" s="1">
        <v>45842</v>
      </c>
      <c r="F568" s="1">
        <v>45845</v>
      </c>
      <c r="G568" t="s">
        <v>116</v>
      </c>
      <c r="H568" t="s">
        <v>50</v>
      </c>
      <c r="I568" t="s">
        <v>24</v>
      </c>
      <c r="J568">
        <v>28</v>
      </c>
      <c r="K568" t="s">
        <v>78</v>
      </c>
      <c r="L568" t="s">
        <v>32</v>
      </c>
      <c r="M568" t="s">
        <v>27</v>
      </c>
      <c r="N568">
        <v>2.2999999999999998</v>
      </c>
      <c r="O568" s="3">
        <v>6763.12</v>
      </c>
      <c r="P568">
        <v>0</v>
      </c>
      <c r="Q568">
        <v>4.8</v>
      </c>
      <c r="R568">
        <v>0.79</v>
      </c>
      <c r="S568" t="str">
        <f t="shared" si="8"/>
        <v>July</v>
      </c>
    </row>
    <row r="569" spans="1:19" x14ac:dyDescent="0.2">
      <c r="A569" t="s">
        <v>1196</v>
      </c>
      <c r="B569" t="s">
        <v>1197</v>
      </c>
      <c r="C569" t="s">
        <v>20</v>
      </c>
      <c r="D569" t="s">
        <v>21</v>
      </c>
      <c r="E569" s="1">
        <v>45828</v>
      </c>
      <c r="F569" s="1">
        <v>45830</v>
      </c>
      <c r="G569" t="s">
        <v>50</v>
      </c>
      <c r="H569" t="s">
        <v>50</v>
      </c>
      <c r="I569" t="s">
        <v>117</v>
      </c>
      <c r="J569">
        <v>78</v>
      </c>
      <c r="K569" t="s">
        <v>65</v>
      </c>
      <c r="L569" t="s">
        <v>26</v>
      </c>
      <c r="M569" t="s">
        <v>27</v>
      </c>
      <c r="N569">
        <v>1.9</v>
      </c>
      <c r="O569" s="3">
        <v>6763.12</v>
      </c>
      <c r="P569">
        <v>1</v>
      </c>
      <c r="Q569">
        <v>3.9</v>
      </c>
      <c r="R569">
        <v>0.86</v>
      </c>
      <c r="S569" t="str">
        <f t="shared" si="8"/>
        <v>June</v>
      </c>
    </row>
    <row r="570" spans="1:19" x14ac:dyDescent="0.2">
      <c r="A570" t="s">
        <v>1198</v>
      </c>
      <c r="B570" t="s">
        <v>1199</v>
      </c>
      <c r="C570" t="s">
        <v>58</v>
      </c>
      <c r="D570" t="s">
        <v>42</v>
      </c>
      <c r="E570" s="1">
        <v>45682</v>
      </c>
      <c r="F570" s="1">
        <v>45683</v>
      </c>
      <c r="G570" t="s">
        <v>50</v>
      </c>
      <c r="H570" t="s">
        <v>23</v>
      </c>
      <c r="I570" t="s">
        <v>51</v>
      </c>
      <c r="J570">
        <v>40</v>
      </c>
      <c r="K570" t="s">
        <v>25</v>
      </c>
      <c r="L570" t="s">
        <v>32</v>
      </c>
      <c r="M570" t="s">
        <v>39</v>
      </c>
      <c r="N570">
        <v>0.9</v>
      </c>
      <c r="O570" s="3">
        <v>6763.12</v>
      </c>
      <c r="P570">
        <v>0</v>
      </c>
      <c r="Q570">
        <v>3.7</v>
      </c>
      <c r="R570">
        <v>0.7</v>
      </c>
      <c r="S570" t="str">
        <f t="shared" si="8"/>
        <v>January</v>
      </c>
    </row>
    <row r="571" spans="1:19" x14ac:dyDescent="0.2">
      <c r="A571" t="s">
        <v>1200</v>
      </c>
      <c r="B571" t="s">
        <v>1201</v>
      </c>
      <c r="C571" t="s">
        <v>62</v>
      </c>
      <c r="D571" t="s">
        <v>49</v>
      </c>
      <c r="E571" s="1">
        <v>45729</v>
      </c>
      <c r="F571" s="1">
        <v>45738</v>
      </c>
      <c r="G571" t="s">
        <v>36</v>
      </c>
      <c r="H571" t="s">
        <v>50</v>
      </c>
      <c r="I571" t="s">
        <v>100</v>
      </c>
      <c r="J571">
        <v>22</v>
      </c>
      <c r="K571" t="s">
        <v>78</v>
      </c>
      <c r="L571" t="s">
        <v>26</v>
      </c>
      <c r="M571" t="s">
        <v>39</v>
      </c>
      <c r="N571">
        <v>8.1999999999999993</v>
      </c>
      <c r="O571" s="3">
        <v>6763.12</v>
      </c>
      <c r="P571">
        <v>0</v>
      </c>
      <c r="Q571">
        <v>3.1</v>
      </c>
      <c r="R571">
        <v>0.8</v>
      </c>
      <c r="S571" t="str">
        <f t="shared" si="8"/>
        <v>March</v>
      </c>
    </row>
    <row r="572" spans="1:19" x14ac:dyDescent="0.2">
      <c r="A572" t="s">
        <v>1202</v>
      </c>
      <c r="B572" t="s">
        <v>1203</v>
      </c>
      <c r="C572" t="s">
        <v>58</v>
      </c>
      <c r="D572" t="s">
        <v>35</v>
      </c>
      <c r="E572" s="1">
        <v>45781</v>
      </c>
      <c r="F572" s="1">
        <v>45783</v>
      </c>
      <c r="G572" t="s">
        <v>22</v>
      </c>
      <c r="H572" t="s">
        <v>50</v>
      </c>
      <c r="I572" t="s">
        <v>31</v>
      </c>
      <c r="J572">
        <v>66</v>
      </c>
      <c r="K572" t="s">
        <v>169</v>
      </c>
      <c r="L572" t="s">
        <v>32</v>
      </c>
      <c r="M572" t="s">
        <v>52</v>
      </c>
      <c r="N572">
        <v>2</v>
      </c>
      <c r="O572" s="3">
        <v>6763.12</v>
      </c>
      <c r="P572">
        <v>0</v>
      </c>
      <c r="Q572">
        <v>4.3</v>
      </c>
      <c r="R572">
        <v>0.82</v>
      </c>
      <c r="S572" t="str">
        <f t="shared" si="8"/>
        <v>May</v>
      </c>
    </row>
    <row r="573" spans="1:19" x14ac:dyDescent="0.2">
      <c r="A573" t="s">
        <v>1204</v>
      </c>
      <c r="B573" t="s">
        <v>1205</v>
      </c>
      <c r="C573" t="s">
        <v>20</v>
      </c>
      <c r="D573" t="s">
        <v>35</v>
      </c>
      <c r="E573" s="1">
        <v>45795</v>
      </c>
      <c r="F573" s="1">
        <v>45797</v>
      </c>
      <c r="G573" t="s">
        <v>43</v>
      </c>
      <c r="H573" t="s">
        <v>23</v>
      </c>
      <c r="I573" t="s">
        <v>81</v>
      </c>
      <c r="J573">
        <v>11</v>
      </c>
      <c r="K573" t="s">
        <v>103</v>
      </c>
      <c r="L573" t="s">
        <v>26</v>
      </c>
      <c r="M573" t="s">
        <v>39</v>
      </c>
      <c r="N573">
        <v>1.3</v>
      </c>
      <c r="O573" s="3">
        <v>6763.12</v>
      </c>
      <c r="P573">
        <v>0</v>
      </c>
      <c r="Q573">
        <v>3.5</v>
      </c>
      <c r="R573">
        <v>0.82</v>
      </c>
      <c r="S573" t="str">
        <f t="shared" si="8"/>
        <v>May</v>
      </c>
    </row>
    <row r="574" spans="1:19" x14ac:dyDescent="0.2">
      <c r="A574" t="s">
        <v>1206</v>
      </c>
      <c r="B574" t="s">
        <v>1207</v>
      </c>
      <c r="C574" t="s">
        <v>58</v>
      </c>
      <c r="D574" t="s">
        <v>35</v>
      </c>
      <c r="E574" s="1">
        <v>45790</v>
      </c>
      <c r="F574" s="1">
        <v>45798</v>
      </c>
      <c r="G574" t="s">
        <v>59</v>
      </c>
      <c r="H574" t="s">
        <v>50</v>
      </c>
      <c r="I574" t="s">
        <v>37</v>
      </c>
      <c r="J574">
        <v>36</v>
      </c>
      <c r="K574" t="s">
        <v>25</v>
      </c>
      <c r="L574" t="s">
        <v>32</v>
      </c>
      <c r="M574" t="s">
        <v>52</v>
      </c>
      <c r="N574">
        <v>7.2</v>
      </c>
      <c r="O574" s="3">
        <v>6763.12</v>
      </c>
      <c r="P574">
        <v>0</v>
      </c>
      <c r="Q574">
        <v>3.2</v>
      </c>
      <c r="R574">
        <v>0.74</v>
      </c>
      <c r="S574" t="str">
        <f t="shared" si="8"/>
        <v>May</v>
      </c>
    </row>
    <row r="575" spans="1:19" x14ac:dyDescent="0.2">
      <c r="A575" t="s">
        <v>1208</v>
      </c>
      <c r="B575" t="s">
        <v>1209</v>
      </c>
      <c r="C575" t="s">
        <v>58</v>
      </c>
      <c r="D575" t="s">
        <v>42</v>
      </c>
      <c r="E575" s="1">
        <v>45801</v>
      </c>
      <c r="F575" s="1">
        <v>45802</v>
      </c>
      <c r="G575" t="s">
        <v>36</v>
      </c>
      <c r="H575" t="s">
        <v>44</v>
      </c>
      <c r="I575" t="s">
        <v>64</v>
      </c>
      <c r="J575">
        <v>71</v>
      </c>
      <c r="K575" t="s">
        <v>169</v>
      </c>
      <c r="L575" t="s">
        <v>26</v>
      </c>
      <c r="M575" t="s">
        <v>27</v>
      </c>
      <c r="N575">
        <v>0.9</v>
      </c>
      <c r="O575" s="3">
        <v>6763.12</v>
      </c>
      <c r="P575">
        <v>0</v>
      </c>
      <c r="Q575">
        <v>4.4000000000000004</v>
      </c>
      <c r="R575">
        <v>0.75</v>
      </c>
      <c r="S575" t="str">
        <f t="shared" si="8"/>
        <v>May</v>
      </c>
    </row>
    <row r="576" spans="1:19" x14ac:dyDescent="0.2">
      <c r="A576" t="s">
        <v>1210</v>
      </c>
      <c r="B576" t="s">
        <v>1211</v>
      </c>
      <c r="C576" t="s">
        <v>20</v>
      </c>
      <c r="D576" t="s">
        <v>49</v>
      </c>
      <c r="E576" s="1">
        <v>45938</v>
      </c>
      <c r="F576" s="1">
        <v>45946</v>
      </c>
      <c r="G576" t="s">
        <v>59</v>
      </c>
      <c r="H576" t="s">
        <v>50</v>
      </c>
      <c r="I576" t="s">
        <v>55</v>
      </c>
      <c r="J576">
        <v>70</v>
      </c>
      <c r="K576" t="s">
        <v>169</v>
      </c>
      <c r="L576" t="s">
        <v>32</v>
      </c>
      <c r="M576" t="s">
        <v>82</v>
      </c>
      <c r="N576">
        <v>7.1</v>
      </c>
      <c r="O576" s="3">
        <v>6763.12</v>
      </c>
      <c r="P576">
        <v>0</v>
      </c>
      <c r="Q576">
        <v>3.8</v>
      </c>
      <c r="R576">
        <v>0.77</v>
      </c>
      <c r="S576" t="str">
        <f t="shared" si="8"/>
        <v>October</v>
      </c>
    </row>
    <row r="577" spans="1:19" x14ac:dyDescent="0.2">
      <c r="A577" t="s">
        <v>1212</v>
      </c>
      <c r="B577" t="s">
        <v>1213</v>
      </c>
      <c r="C577" t="s">
        <v>58</v>
      </c>
      <c r="D577" t="s">
        <v>21</v>
      </c>
      <c r="E577" s="1">
        <v>45705</v>
      </c>
      <c r="F577" s="1">
        <v>45708</v>
      </c>
      <c r="G577" t="s">
        <v>22</v>
      </c>
      <c r="H577" t="s">
        <v>23</v>
      </c>
      <c r="I577" t="s">
        <v>55</v>
      </c>
      <c r="J577">
        <v>23</v>
      </c>
      <c r="K577" t="s">
        <v>78</v>
      </c>
      <c r="L577" t="s">
        <v>26</v>
      </c>
      <c r="M577" t="s">
        <v>39</v>
      </c>
      <c r="N577">
        <v>2.6</v>
      </c>
      <c r="O577" s="3">
        <v>6763.12</v>
      </c>
      <c r="P577">
        <v>0</v>
      </c>
      <c r="Q577">
        <v>2.4</v>
      </c>
      <c r="R577">
        <v>0.76</v>
      </c>
      <c r="S577" t="str">
        <f t="shared" si="8"/>
        <v>February</v>
      </c>
    </row>
    <row r="578" spans="1:19" x14ac:dyDescent="0.2">
      <c r="A578" t="s">
        <v>1214</v>
      </c>
      <c r="B578" t="s">
        <v>1215</v>
      </c>
      <c r="C578" t="s">
        <v>20</v>
      </c>
      <c r="D578" t="s">
        <v>35</v>
      </c>
      <c r="E578" s="1">
        <v>45779</v>
      </c>
      <c r="F578" s="1">
        <v>45781</v>
      </c>
      <c r="G578" t="s">
        <v>43</v>
      </c>
      <c r="H578" t="s">
        <v>23</v>
      </c>
      <c r="I578" t="s">
        <v>100</v>
      </c>
      <c r="J578">
        <v>15</v>
      </c>
      <c r="K578" t="s">
        <v>46</v>
      </c>
      <c r="L578" t="s">
        <v>32</v>
      </c>
      <c r="M578" t="s">
        <v>39</v>
      </c>
      <c r="N578">
        <v>1.4</v>
      </c>
      <c r="O578" s="3">
        <v>6763.12</v>
      </c>
      <c r="P578">
        <v>0</v>
      </c>
      <c r="Q578">
        <v>3.8</v>
      </c>
      <c r="R578">
        <v>0.81</v>
      </c>
      <c r="S578" t="str">
        <f t="shared" si="8"/>
        <v>May</v>
      </c>
    </row>
    <row r="579" spans="1:19" x14ac:dyDescent="0.2">
      <c r="A579" t="s">
        <v>1216</v>
      </c>
      <c r="B579" t="s">
        <v>1217</v>
      </c>
      <c r="C579" t="s">
        <v>58</v>
      </c>
      <c r="D579" t="s">
        <v>42</v>
      </c>
      <c r="E579" s="1">
        <v>45717</v>
      </c>
      <c r="F579" s="1">
        <v>45722</v>
      </c>
      <c r="G579" t="s">
        <v>63</v>
      </c>
      <c r="H579" t="s">
        <v>23</v>
      </c>
      <c r="I579" t="s">
        <v>55</v>
      </c>
      <c r="J579">
        <v>2</v>
      </c>
      <c r="K579" t="s">
        <v>103</v>
      </c>
      <c r="L579" t="s">
        <v>26</v>
      </c>
      <c r="M579" t="s">
        <v>52</v>
      </c>
      <c r="N579">
        <v>4.5</v>
      </c>
      <c r="O579" s="3">
        <v>6763.12</v>
      </c>
      <c r="P579">
        <v>0</v>
      </c>
      <c r="Q579">
        <v>4</v>
      </c>
      <c r="R579">
        <v>0.75</v>
      </c>
      <c r="S579" t="str">
        <f t="shared" ref="S579:S642" si="9">TEXT(E579, "mmmm")</f>
        <v>March</v>
      </c>
    </row>
    <row r="580" spans="1:19" x14ac:dyDescent="0.2">
      <c r="A580" t="s">
        <v>1218</v>
      </c>
      <c r="B580" t="s">
        <v>1219</v>
      </c>
      <c r="C580" t="s">
        <v>62</v>
      </c>
      <c r="D580" t="s">
        <v>35</v>
      </c>
      <c r="E580" s="1">
        <v>45770</v>
      </c>
      <c r="F580" s="1">
        <v>45772</v>
      </c>
      <c r="G580" t="s">
        <v>68</v>
      </c>
      <c r="H580" t="s">
        <v>23</v>
      </c>
      <c r="I580" t="s">
        <v>31</v>
      </c>
      <c r="J580">
        <v>8</v>
      </c>
      <c r="K580" t="s">
        <v>103</v>
      </c>
      <c r="L580" t="s">
        <v>32</v>
      </c>
      <c r="M580" t="s">
        <v>39</v>
      </c>
      <c r="N580">
        <v>2</v>
      </c>
      <c r="O580" s="3">
        <v>6763.12</v>
      </c>
      <c r="P580">
        <v>0</v>
      </c>
      <c r="Q580">
        <v>3.7</v>
      </c>
      <c r="R580">
        <v>0.79</v>
      </c>
      <c r="S580" t="str">
        <f t="shared" si="9"/>
        <v>April</v>
      </c>
    </row>
    <row r="581" spans="1:19" x14ac:dyDescent="0.2">
      <c r="A581" t="s">
        <v>1220</v>
      </c>
      <c r="B581" t="s">
        <v>1221</v>
      </c>
      <c r="C581" t="s">
        <v>62</v>
      </c>
      <c r="D581" t="s">
        <v>49</v>
      </c>
      <c r="E581" s="1">
        <v>45907</v>
      </c>
      <c r="F581" s="1">
        <v>45909</v>
      </c>
      <c r="G581" t="s">
        <v>63</v>
      </c>
      <c r="H581" t="s">
        <v>44</v>
      </c>
      <c r="I581" t="s">
        <v>51</v>
      </c>
      <c r="J581">
        <v>75</v>
      </c>
      <c r="K581" t="s">
        <v>65</v>
      </c>
      <c r="L581" t="s">
        <v>32</v>
      </c>
      <c r="M581" t="s">
        <v>82</v>
      </c>
      <c r="N581">
        <v>1.9</v>
      </c>
      <c r="O581" s="3">
        <v>6763.12</v>
      </c>
      <c r="P581">
        <v>1</v>
      </c>
      <c r="Q581">
        <v>4</v>
      </c>
      <c r="R581">
        <v>0.85</v>
      </c>
      <c r="S581" t="str">
        <f t="shared" si="9"/>
        <v>September</v>
      </c>
    </row>
    <row r="582" spans="1:19" x14ac:dyDescent="0.2">
      <c r="A582" t="s">
        <v>1222</v>
      </c>
      <c r="B582" t="s">
        <v>1223</v>
      </c>
      <c r="C582" t="s">
        <v>62</v>
      </c>
      <c r="D582" t="s">
        <v>49</v>
      </c>
      <c r="E582" s="1">
        <v>45675</v>
      </c>
      <c r="F582" s="1">
        <v>45676</v>
      </c>
      <c r="G582" t="s">
        <v>99</v>
      </c>
      <c r="H582" t="s">
        <v>23</v>
      </c>
      <c r="I582" t="s">
        <v>31</v>
      </c>
      <c r="J582">
        <v>71</v>
      </c>
      <c r="K582" t="s">
        <v>169</v>
      </c>
      <c r="L582" t="s">
        <v>26</v>
      </c>
      <c r="M582" t="s">
        <v>82</v>
      </c>
      <c r="N582">
        <v>0.7</v>
      </c>
      <c r="O582" s="3">
        <v>6763.12</v>
      </c>
      <c r="P582">
        <v>0</v>
      </c>
      <c r="Q582">
        <v>2.8</v>
      </c>
      <c r="R582">
        <v>0.82</v>
      </c>
      <c r="S582" t="str">
        <f t="shared" si="9"/>
        <v>January</v>
      </c>
    </row>
    <row r="583" spans="1:19" x14ac:dyDescent="0.2">
      <c r="A583" t="s">
        <v>1224</v>
      </c>
      <c r="B583" t="s">
        <v>1225</v>
      </c>
      <c r="C583" t="s">
        <v>58</v>
      </c>
      <c r="D583" t="s">
        <v>35</v>
      </c>
      <c r="E583" s="1">
        <v>45781</v>
      </c>
      <c r="F583" s="1">
        <v>45782</v>
      </c>
      <c r="G583" t="s">
        <v>43</v>
      </c>
      <c r="H583" t="s">
        <v>50</v>
      </c>
      <c r="I583" t="s">
        <v>55</v>
      </c>
      <c r="J583">
        <v>46</v>
      </c>
      <c r="K583" t="s">
        <v>25</v>
      </c>
      <c r="L583" t="s">
        <v>32</v>
      </c>
      <c r="M583" t="s">
        <v>27</v>
      </c>
      <c r="N583">
        <v>0.9</v>
      </c>
      <c r="O583" s="3">
        <v>6763.12</v>
      </c>
      <c r="P583">
        <v>0</v>
      </c>
      <c r="Q583">
        <v>2.2000000000000002</v>
      </c>
      <c r="R583">
        <v>0.71</v>
      </c>
      <c r="S583" t="str">
        <f t="shared" si="9"/>
        <v>May</v>
      </c>
    </row>
    <row r="584" spans="1:19" x14ac:dyDescent="0.2">
      <c r="A584" t="s">
        <v>1226</v>
      </c>
      <c r="B584" t="s">
        <v>1227</v>
      </c>
      <c r="C584" t="s">
        <v>58</v>
      </c>
      <c r="D584" t="s">
        <v>21</v>
      </c>
      <c r="E584" s="1">
        <v>45666</v>
      </c>
      <c r="F584" s="1">
        <v>45674</v>
      </c>
      <c r="G584" t="s">
        <v>68</v>
      </c>
      <c r="H584" t="s">
        <v>50</v>
      </c>
      <c r="I584" t="s">
        <v>117</v>
      </c>
      <c r="J584">
        <v>51</v>
      </c>
      <c r="K584" t="s">
        <v>38</v>
      </c>
      <c r="L584" t="s">
        <v>32</v>
      </c>
      <c r="M584" t="s">
        <v>39</v>
      </c>
      <c r="N584">
        <v>7.9</v>
      </c>
      <c r="O584" s="3">
        <v>6763.12</v>
      </c>
      <c r="P584">
        <v>0</v>
      </c>
      <c r="Q584">
        <v>3.1</v>
      </c>
      <c r="R584">
        <v>0.8</v>
      </c>
      <c r="S584" t="str">
        <f t="shared" si="9"/>
        <v>January</v>
      </c>
    </row>
    <row r="585" spans="1:19" x14ac:dyDescent="0.2">
      <c r="A585" t="s">
        <v>1228</v>
      </c>
      <c r="B585" t="s">
        <v>1229</v>
      </c>
      <c r="C585" t="s">
        <v>30</v>
      </c>
      <c r="D585" t="s">
        <v>35</v>
      </c>
      <c r="E585" s="1">
        <v>46006</v>
      </c>
      <c r="F585" s="1">
        <v>46007</v>
      </c>
      <c r="G585" t="s">
        <v>50</v>
      </c>
      <c r="H585" t="s">
        <v>23</v>
      </c>
      <c r="I585" t="s">
        <v>31</v>
      </c>
      <c r="J585">
        <v>29</v>
      </c>
      <c r="K585" t="s">
        <v>78</v>
      </c>
      <c r="L585" t="s">
        <v>26</v>
      </c>
      <c r="M585" t="s">
        <v>39</v>
      </c>
      <c r="N585">
        <v>0.8</v>
      </c>
      <c r="O585" s="3">
        <v>6763.12</v>
      </c>
      <c r="P585">
        <v>0</v>
      </c>
      <c r="Q585">
        <v>3.9</v>
      </c>
      <c r="R585">
        <v>0.91</v>
      </c>
      <c r="S585" t="str">
        <f t="shared" si="9"/>
        <v>December</v>
      </c>
    </row>
    <row r="586" spans="1:19" x14ac:dyDescent="0.2">
      <c r="A586" t="s">
        <v>1230</v>
      </c>
      <c r="B586" t="s">
        <v>1231</v>
      </c>
      <c r="C586" t="s">
        <v>20</v>
      </c>
      <c r="D586" t="s">
        <v>21</v>
      </c>
      <c r="E586" s="1">
        <v>45923</v>
      </c>
      <c r="F586" s="1">
        <v>45928</v>
      </c>
      <c r="G586" t="s">
        <v>99</v>
      </c>
      <c r="H586" t="s">
        <v>50</v>
      </c>
      <c r="I586" t="s">
        <v>31</v>
      </c>
      <c r="J586">
        <v>17</v>
      </c>
      <c r="K586" t="s">
        <v>46</v>
      </c>
      <c r="L586" t="s">
        <v>26</v>
      </c>
      <c r="M586" t="s">
        <v>82</v>
      </c>
      <c r="N586">
        <v>4.5</v>
      </c>
      <c r="O586" s="3">
        <v>6763.12</v>
      </c>
      <c r="P586">
        <v>0</v>
      </c>
      <c r="Q586">
        <v>2</v>
      </c>
      <c r="R586">
        <v>0.88</v>
      </c>
      <c r="S586" t="str">
        <f t="shared" si="9"/>
        <v>September</v>
      </c>
    </row>
    <row r="587" spans="1:19" x14ac:dyDescent="0.2">
      <c r="A587" t="s">
        <v>1232</v>
      </c>
      <c r="B587" t="s">
        <v>1233</v>
      </c>
      <c r="C587" t="s">
        <v>122</v>
      </c>
      <c r="D587" t="s">
        <v>42</v>
      </c>
      <c r="E587" s="1">
        <v>45746</v>
      </c>
      <c r="F587" s="1">
        <v>45750</v>
      </c>
      <c r="G587" t="s">
        <v>36</v>
      </c>
      <c r="H587" t="s">
        <v>50</v>
      </c>
      <c r="I587" t="s">
        <v>117</v>
      </c>
      <c r="J587">
        <v>1</v>
      </c>
      <c r="K587" t="s">
        <v>103</v>
      </c>
      <c r="L587" t="s">
        <v>26</v>
      </c>
      <c r="M587" t="s">
        <v>82</v>
      </c>
      <c r="N587">
        <v>3.1</v>
      </c>
      <c r="O587" s="3">
        <v>6763.12</v>
      </c>
      <c r="P587">
        <v>0</v>
      </c>
      <c r="Q587">
        <v>3.4</v>
      </c>
      <c r="R587">
        <v>0.81</v>
      </c>
      <c r="S587" t="str">
        <f t="shared" si="9"/>
        <v>March</v>
      </c>
    </row>
    <row r="588" spans="1:19" x14ac:dyDescent="0.2">
      <c r="A588" t="s">
        <v>1234</v>
      </c>
      <c r="B588" t="s">
        <v>1235</v>
      </c>
      <c r="C588" t="s">
        <v>30</v>
      </c>
      <c r="D588" t="s">
        <v>49</v>
      </c>
      <c r="E588" s="1">
        <v>45730</v>
      </c>
      <c r="F588" s="1">
        <v>45739</v>
      </c>
      <c r="G588" t="s">
        <v>68</v>
      </c>
      <c r="H588" t="s">
        <v>50</v>
      </c>
      <c r="I588" t="s">
        <v>37</v>
      </c>
      <c r="J588">
        <v>61</v>
      </c>
      <c r="K588" t="s">
        <v>38</v>
      </c>
      <c r="L588" t="s">
        <v>32</v>
      </c>
      <c r="M588" t="s">
        <v>27</v>
      </c>
      <c r="N588">
        <v>8.1</v>
      </c>
      <c r="O588" s="3">
        <v>6763.12</v>
      </c>
      <c r="P588">
        <v>1</v>
      </c>
      <c r="Q588">
        <v>2.5</v>
      </c>
      <c r="R588">
        <v>0.81</v>
      </c>
      <c r="S588" t="str">
        <f t="shared" si="9"/>
        <v>March</v>
      </c>
    </row>
    <row r="589" spans="1:19" x14ac:dyDescent="0.2">
      <c r="A589" t="s">
        <v>1236</v>
      </c>
      <c r="B589" t="s">
        <v>1237</v>
      </c>
      <c r="C589" t="s">
        <v>62</v>
      </c>
      <c r="D589" t="s">
        <v>42</v>
      </c>
      <c r="E589" s="1">
        <v>45694</v>
      </c>
      <c r="F589" s="1">
        <v>45696</v>
      </c>
      <c r="G589" t="s">
        <v>43</v>
      </c>
      <c r="H589" t="s">
        <v>50</v>
      </c>
      <c r="I589" t="s">
        <v>31</v>
      </c>
      <c r="J589">
        <v>3</v>
      </c>
      <c r="K589" t="s">
        <v>103</v>
      </c>
      <c r="L589" t="s">
        <v>32</v>
      </c>
      <c r="M589" t="s">
        <v>27</v>
      </c>
      <c r="N589">
        <v>1.5</v>
      </c>
      <c r="O589" s="3">
        <v>6763.12</v>
      </c>
      <c r="P589">
        <v>0</v>
      </c>
      <c r="Q589">
        <v>3.8</v>
      </c>
      <c r="R589">
        <v>0.84</v>
      </c>
      <c r="S589" t="str">
        <f t="shared" si="9"/>
        <v>February</v>
      </c>
    </row>
    <row r="590" spans="1:19" x14ac:dyDescent="0.2">
      <c r="A590" t="s">
        <v>1238</v>
      </c>
      <c r="B590" t="s">
        <v>1239</v>
      </c>
      <c r="C590" t="s">
        <v>62</v>
      </c>
      <c r="D590" t="s">
        <v>49</v>
      </c>
      <c r="E590" s="1">
        <v>45830</v>
      </c>
      <c r="F590" s="1">
        <v>45834</v>
      </c>
      <c r="G590" t="s">
        <v>36</v>
      </c>
      <c r="H590" t="s">
        <v>50</v>
      </c>
      <c r="I590" t="s">
        <v>45</v>
      </c>
      <c r="J590">
        <v>9</v>
      </c>
      <c r="K590" t="s">
        <v>103</v>
      </c>
      <c r="L590" t="s">
        <v>26</v>
      </c>
      <c r="M590" t="s">
        <v>27</v>
      </c>
      <c r="N590">
        <v>3.8</v>
      </c>
      <c r="O590" s="3">
        <v>6763.12</v>
      </c>
      <c r="P590">
        <v>0</v>
      </c>
      <c r="Q590">
        <v>5</v>
      </c>
      <c r="R590">
        <v>0.86</v>
      </c>
      <c r="S590" t="str">
        <f t="shared" si="9"/>
        <v>June</v>
      </c>
    </row>
    <row r="591" spans="1:19" x14ac:dyDescent="0.2">
      <c r="A591" t="s">
        <v>1240</v>
      </c>
      <c r="B591" t="s">
        <v>1241</v>
      </c>
      <c r="C591" t="s">
        <v>20</v>
      </c>
      <c r="D591" t="s">
        <v>35</v>
      </c>
      <c r="E591" s="1">
        <v>45933</v>
      </c>
      <c r="F591" s="1">
        <v>45934</v>
      </c>
      <c r="G591" t="s">
        <v>50</v>
      </c>
      <c r="H591" t="s">
        <v>23</v>
      </c>
      <c r="I591" t="s">
        <v>81</v>
      </c>
      <c r="J591">
        <v>72</v>
      </c>
      <c r="K591" t="s">
        <v>169</v>
      </c>
      <c r="L591" t="s">
        <v>32</v>
      </c>
      <c r="M591" t="s">
        <v>39</v>
      </c>
      <c r="N591">
        <v>0.6</v>
      </c>
      <c r="O591" s="3">
        <v>6763.12</v>
      </c>
      <c r="P591">
        <v>0</v>
      </c>
      <c r="Q591">
        <v>3.6</v>
      </c>
      <c r="R591">
        <v>0.78</v>
      </c>
      <c r="S591" t="str">
        <f t="shared" si="9"/>
        <v>October</v>
      </c>
    </row>
    <row r="592" spans="1:19" x14ac:dyDescent="0.2">
      <c r="A592" t="s">
        <v>1242</v>
      </c>
      <c r="B592" t="s">
        <v>1243</v>
      </c>
      <c r="C592" t="s">
        <v>122</v>
      </c>
      <c r="D592" t="s">
        <v>49</v>
      </c>
      <c r="E592" s="1">
        <v>45871</v>
      </c>
      <c r="F592" s="1">
        <v>45877</v>
      </c>
      <c r="G592" t="s">
        <v>43</v>
      </c>
      <c r="H592" t="s">
        <v>23</v>
      </c>
      <c r="I592" t="s">
        <v>64</v>
      </c>
      <c r="J592">
        <v>53</v>
      </c>
      <c r="K592" t="s">
        <v>38</v>
      </c>
      <c r="L592" t="s">
        <v>26</v>
      </c>
      <c r="M592" t="s">
        <v>27</v>
      </c>
      <c r="N592">
        <v>5.6</v>
      </c>
      <c r="O592" s="3">
        <v>6763.12</v>
      </c>
      <c r="P592">
        <v>0</v>
      </c>
      <c r="Q592">
        <v>3.8</v>
      </c>
      <c r="R592">
        <v>0.83</v>
      </c>
      <c r="S592" t="str">
        <f t="shared" si="9"/>
        <v>August</v>
      </c>
    </row>
    <row r="593" spans="1:19" x14ac:dyDescent="0.2">
      <c r="A593" t="s">
        <v>1244</v>
      </c>
      <c r="B593" t="s">
        <v>1245</v>
      </c>
      <c r="C593" t="s">
        <v>58</v>
      </c>
      <c r="D593" t="s">
        <v>21</v>
      </c>
      <c r="E593" s="1">
        <v>45979</v>
      </c>
      <c r="F593" s="1">
        <v>45983</v>
      </c>
      <c r="G593" t="s">
        <v>68</v>
      </c>
      <c r="H593" t="s">
        <v>23</v>
      </c>
      <c r="I593" t="s">
        <v>24</v>
      </c>
      <c r="J593">
        <v>44</v>
      </c>
      <c r="K593" t="s">
        <v>25</v>
      </c>
      <c r="L593" t="s">
        <v>32</v>
      </c>
      <c r="M593" t="s">
        <v>82</v>
      </c>
      <c r="N593">
        <v>3.3</v>
      </c>
      <c r="O593" s="3">
        <v>6763.12</v>
      </c>
      <c r="P593">
        <v>1</v>
      </c>
      <c r="Q593">
        <v>4.4000000000000004</v>
      </c>
      <c r="R593">
        <v>0.67</v>
      </c>
      <c r="S593" t="str">
        <f t="shared" si="9"/>
        <v>November</v>
      </c>
    </row>
    <row r="594" spans="1:19" x14ac:dyDescent="0.2">
      <c r="A594" t="s">
        <v>1246</v>
      </c>
      <c r="B594" t="s">
        <v>1247</v>
      </c>
      <c r="C594" t="s">
        <v>20</v>
      </c>
      <c r="D594" t="s">
        <v>35</v>
      </c>
      <c r="E594" s="1">
        <v>45783</v>
      </c>
      <c r="F594" s="1">
        <v>45787</v>
      </c>
      <c r="G594" t="s">
        <v>99</v>
      </c>
      <c r="H594" t="s">
        <v>50</v>
      </c>
      <c r="I594" t="s">
        <v>81</v>
      </c>
      <c r="J594">
        <v>19</v>
      </c>
      <c r="K594" t="s">
        <v>78</v>
      </c>
      <c r="L594" t="s">
        <v>26</v>
      </c>
      <c r="M594" t="s">
        <v>39</v>
      </c>
      <c r="N594">
        <v>3.5</v>
      </c>
      <c r="O594" s="3">
        <v>6763.12</v>
      </c>
      <c r="P594">
        <v>0</v>
      </c>
      <c r="Q594">
        <v>3.9</v>
      </c>
      <c r="R594">
        <v>0.79</v>
      </c>
      <c r="S594" t="str">
        <f t="shared" si="9"/>
        <v>May</v>
      </c>
    </row>
    <row r="595" spans="1:19" x14ac:dyDescent="0.2">
      <c r="A595" t="s">
        <v>1248</v>
      </c>
      <c r="B595" t="s">
        <v>1249</v>
      </c>
      <c r="C595" t="s">
        <v>62</v>
      </c>
      <c r="D595" t="s">
        <v>21</v>
      </c>
      <c r="E595" s="1">
        <v>45759</v>
      </c>
      <c r="F595" s="1">
        <v>45760</v>
      </c>
      <c r="G595" t="s">
        <v>43</v>
      </c>
      <c r="H595" t="s">
        <v>50</v>
      </c>
      <c r="I595" t="s">
        <v>45</v>
      </c>
      <c r="J595">
        <v>13</v>
      </c>
      <c r="K595" t="s">
        <v>46</v>
      </c>
      <c r="L595" t="s">
        <v>26</v>
      </c>
      <c r="M595" t="s">
        <v>82</v>
      </c>
      <c r="N595">
        <v>1</v>
      </c>
      <c r="O595" s="3">
        <v>6763.12</v>
      </c>
      <c r="P595">
        <v>0</v>
      </c>
      <c r="Q595">
        <v>3.8</v>
      </c>
      <c r="R595">
        <v>0.87</v>
      </c>
      <c r="S595" t="str">
        <f t="shared" si="9"/>
        <v>April</v>
      </c>
    </row>
    <row r="596" spans="1:19" x14ac:dyDescent="0.2">
      <c r="A596" t="s">
        <v>1250</v>
      </c>
      <c r="B596" t="s">
        <v>1251</v>
      </c>
      <c r="C596" t="s">
        <v>62</v>
      </c>
      <c r="D596" t="s">
        <v>49</v>
      </c>
      <c r="E596" s="1">
        <v>45832</v>
      </c>
      <c r="F596" s="1">
        <v>45845</v>
      </c>
      <c r="G596" t="s">
        <v>36</v>
      </c>
      <c r="H596" t="s">
        <v>23</v>
      </c>
      <c r="I596" t="s">
        <v>24</v>
      </c>
      <c r="J596">
        <v>42</v>
      </c>
      <c r="K596" t="s">
        <v>25</v>
      </c>
      <c r="L596" t="s">
        <v>32</v>
      </c>
      <c r="M596" t="s">
        <v>27</v>
      </c>
      <c r="N596">
        <v>12.3</v>
      </c>
      <c r="O596" s="3">
        <v>6763.12</v>
      </c>
      <c r="P596">
        <v>0</v>
      </c>
      <c r="Q596">
        <v>4.3</v>
      </c>
      <c r="R596">
        <v>0.81</v>
      </c>
      <c r="S596" t="str">
        <f t="shared" si="9"/>
        <v>June</v>
      </c>
    </row>
    <row r="597" spans="1:19" x14ac:dyDescent="0.2">
      <c r="A597" t="s">
        <v>1252</v>
      </c>
      <c r="B597" t="s">
        <v>1253</v>
      </c>
      <c r="C597" t="s">
        <v>122</v>
      </c>
      <c r="D597" t="s">
        <v>49</v>
      </c>
      <c r="E597" s="1">
        <v>45731</v>
      </c>
      <c r="F597" s="1">
        <v>45734</v>
      </c>
      <c r="G597" t="s">
        <v>68</v>
      </c>
      <c r="H597" t="s">
        <v>50</v>
      </c>
      <c r="I597" t="s">
        <v>24</v>
      </c>
      <c r="J597">
        <v>32</v>
      </c>
      <c r="K597" t="s">
        <v>78</v>
      </c>
      <c r="L597" t="s">
        <v>32</v>
      </c>
      <c r="M597" t="s">
        <v>39</v>
      </c>
      <c r="N597">
        <v>2.5</v>
      </c>
      <c r="O597" s="3">
        <v>6763.12</v>
      </c>
      <c r="P597">
        <v>0</v>
      </c>
      <c r="Q597">
        <v>4.2</v>
      </c>
      <c r="R597">
        <v>0.77</v>
      </c>
      <c r="S597" t="str">
        <f t="shared" si="9"/>
        <v>March</v>
      </c>
    </row>
    <row r="598" spans="1:19" x14ac:dyDescent="0.2">
      <c r="A598" t="s">
        <v>1254</v>
      </c>
      <c r="B598" t="s">
        <v>1255</v>
      </c>
      <c r="C598" t="s">
        <v>122</v>
      </c>
      <c r="D598" t="s">
        <v>35</v>
      </c>
      <c r="E598" s="1">
        <v>46014</v>
      </c>
      <c r="F598" s="1">
        <v>46015</v>
      </c>
      <c r="G598" t="s">
        <v>22</v>
      </c>
      <c r="H598" t="s">
        <v>23</v>
      </c>
      <c r="I598" t="s">
        <v>100</v>
      </c>
      <c r="J598">
        <v>48</v>
      </c>
      <c r="K598" t="s">
        <v>25</v>
      </c>
      <c r="L598" t="s">
        <v>32</v>
      </c>
      <c r="M598" t="s">
        <v>27</v>
      </c>
      <c r="N598">
        <v>0.8</v>
      </c>
      <c r="O598" s="3">
        <v>6763.12</v>
      </c>
      <c r="P598">
        <v>0</v>
      </c>
      <c r="Q598">
        <v>4.0999999999999996</v>
      </c>
      <c r="R598">
        <v>0.8</v>
      </c>
      <c r="S598" t="str">
        <f t="shared" si="9"/>
        <v>December</v>
      </c>
    </row>
    <row r="599" spans="1:19" x14ac:dyDescent="0.2">
      <c r="A599" t="s">
        <v>1256</v>
      </c>
      <c r="B599" t="s">
        <v>1257</v>
      </c>
      <c r="C599" t="s">
        <v>122</v>
      </c>
      <c r="D599" t="s">
        <v>42</v>
      </c>
      <c r="E599" s="1">
        <v>45725</v>
      </c>
      <c r="F599" s="1">
        <v>45726</v>
      </c>
      <c r="G599" t="s">
        <v>68</v>
      </c>
      <c r="H599" t="s">
        <v>50</v>
      </c>
      <c r="I599" t="s">
        <v>100</v>
      </c>
      <c r="J599">
        <v>15</v>
      </c>
      <c r="K599" t="s">
        <v>46</v>
      </c>
      <c r="L599" t="s">
        <v>32</v>
      </c>
      <c r="M599" t="s">
        <v>82</v>
      </c>
      <c r="N599">
        <v>0.6</v>
      </c>
      <c r="O599" s="3">
        <v>6763.12</v>
      </c>
      <c r="P599">
        <v>0</v>
      </c>
      <c r="Q599">
        <v>3.8</v>
      </c>
      <c r="R599">
        <v>0.84</v>
      </c>
      <c r="S599" t="str">
        <f t="shared" si="9"/>
        <v>March</v>
      </c>
    </row>
    <row r="600" spans="1:19" x14ac:dyDescent="0.2">
      <c r="A600" t="s">
        <v>1258</v>
      </c>
      <c r="B600" t="s">
        <v>1259</v>
      </c>
      <c r="C600" t="s">
        <v>30</v>
      </c>
      <c r="D600" t="s">
        <v>21</v>
      </c>
      <c r="E600" s="1">
        <v>45832</v>
      </c>
      <c r="F600" s="1">
        <v>45833</v>
      </c>
      <c r="G600" t="s">
        <v>22</v>
      </c>
      <c r="H600" t="s">
        <v>44</v>
      </c>
      <c r="I600" t="s">
        <v>55</v>
      </c>
      <c r="J600">
        <v>21</v>
      </c>
      <c r="K600" t="s">
        <v>78</v>
      </c>
      <c r="L600" t="s">
        <v>26</v>
      </c>
      <c r="M600" t="s">
        <v>27</v>
      </c>
      <c r="N600">
        <v>0.6</v>
      </c>
      <c r="O600" s="3">
        <v>6763.12</v>
      </c>
      <c r="P600">
        <v>0</v>
      </c>
      <c r="Q600">
        <v>3.7</v>
      </c>
      <c r="R600">
        <v>0.77</v>
      </c>
      <c r="S600" t="str">
        <f t="shared" si="9"/>
        <v>June</v>
      </c>
    </row>
    <row r="601" spans="1:19" x14ac:dyDescent="0.2">
      <c r="A601" t="s">
        <v>1260</v>
      </c>
      <c r="B601" t="s">
        <v>1261</v>
      </c>
      <c r="C601" t="s">
        <v>122</v>
      </c>
      <c r="D601" t="s">
        <v>35</v>
      </c>
      <c r="E601" s="1">
        <v>45848</v>
      </c>
      <c r="F601" s="1">
        <v>45855</v>
      </c>
      <c r="G601" t="s">
        <v>59</v>
      </c>
      <c r="H601" t="s">
        <v>50</v>
      </c>
      <c r="I601" t="s">
        <v>37</v>
      </c>
      <c r="J601">
        <v>10</v>
      </c>
      <c r="K601" t="s">
        <v>103</v>
      </c>
      <c r="L601" t="s">
        <v>26</v>
      </c>
      <c r="M601" t="s">
        <v>27</v>
      </c>
      <c r="N601">
        <v>6.2</v>
      </c>
      <c r="O601" s="3">
        <v>6763.12</v>
      </c>
      <c r="P601">
        <v>0</v>
      </c>
      <c r="Q601">
        <v>4.4000000000000004</v>
      </c>
      <c r="R601">
        <v>0.73</v>
      </c>
      <c r="S601" t="str">
        <f t="shared" si="9"/>
        <v>July</v>
      </c>
    </row>
    <row r="602" spans="1:19" x14ac:dyDescent="0.2">
      <c r="A602" t="s">
        <v>1262</v>
      </c>
      <c r="B602" t="s">
        <v>1263</v>
      </c>
      <c r="C602" t="s">
        <v>30</v>
      </c>
      <c r="D602" t="s">
        <v>35</v>
      </c>
      <c r="E602" s="1">
        <v>45678</v>
      </c>
      <c r="F602" s="1">
        <v>45690</v>
      </c>
      <c r="G602" t="s">
        <v>59</v>
      </c>
      <c r="H602" t="s">
        <v>23</v>
      </c>
      <c r="I602" t="s">
        <v>55</v>
      </c>
      <c r="J602">
        <v>38</v>
      </c>
      <c r="K602" t="s">
        <v>25</v>
      </c>
      <c r="L602" t="s">
        <v>32</v>
      </c>
      <c r="M602" t="s">
        <v>27</v>
      </c>
      <c r="N602">
        <v>11.3</v>
      </c>
      <c r="O602" s="3">
        <v>6763.12</v>
      </c>
      <c r="P602">
        <v>0</v>
      </c>
      <c r="Q602">
        <v>3.4</v>
      </c>
      <c r="R602">
        <v>0.78</v>
      </c>
      <c r="S602" t="str">
        <f t="shared" si="9"/>
        <v>January</v>
      </c>
    </row>
    <row r="603" spans="1:19" x14ac:dyDescent="0.2">
      <c r="A603" t="s">
        <v>1264</v>
      </c>
      <c r="B603" t="s">
        <v>1265</v>
      </c>
      <c r="C603" t="s">
        <v>30</v>
      </c>
      <c r="D603" t="s">
        <v>42</v>
      </c>
      <c r="E603" s="1">
        <v>45828</v>
      </c>
      <c r="F603" s="1">
        <v>45835</v>
      </c>
      <c r="G603" t="s">
        <v>59</v>
      </c>
      <c r="H603" t="s">
        <v>23</v>
      </c>
      <c r="I603" t="s">
        <v>31</v>
      </c>
      <c r="J603">
        <v>25</v>
      </c>
      <c r="K603" t="s">
        <v>78</v>
      </c>
      <c r="L603" t="s">
        <v>32</v>
      </c>
      <c r="M603" t="s">
        <v>82</v>
      </c>
      <c r="N603">
        <v>6.9</v>
      </c>
      <c r="O603" s="3">
        <v>6763.12</v>
      </c>
      <c r="P603">
        <v>0</v>
      </c>
      <c r="Q603">
        <v>4.5</v>
      </c>
      <c r="R603">
        <v>0.76</v>
      </c>
      <c r="S603" t="str">
        <f t="shared" si="9"/>
        <v>June</v>
      </c>
    </row>
    <row r="604" spans="1:19" x14ac:dyDescent="0.2">
      <c r="A604" t="s">
        <v>1266</v>
      </c>
      <c r="B604" t="s">
        <v>1267</v>
      </c>
      <c r="C604" t="s">
        <v>122</v>
      </c>
      <c r="D604" t="s">
        <v>21</v>
      </c>
      <c r="E604" s="1">
        <v>45823</v>
      </c>
      <c r="F604" s="1">
        <v>45824</v>
      </c>
      <c r="G604" t="s">
        <v>50</v>
      </c>
      <c r="H604" t="s">
        <v>50</v>
      </c>
      <c r="I604" t="s">
        <v>24</v>
      </c>
      <c r="J604">
        <v>20</v>
      </c>
      <c r="K604" t="s">
        <v>78</v>
      </c>
      <c r="L604" t="s">
        <v>26</v>
      </c>
      <c r="M604" t="s">
        <v>27</v>
      </c>
      <c r="N604">
        <v>0.2</v>
      </c>
      <c r="O604" s="3">
        <v>6763.12</v>
      </c>
      <c r="P604">
        <v>0</v>
      </c>
      <c r="Q604">
        <v>3.1</v>
      </c>
      <c r="R604">
        <v>0.72</v>
      </c>
      <c r="S604" t="str">
        <f t="shared" si="9"/>
        <v>June</v>
      </c>
    </row>
    <row r="605" spans="1:19" x14ac:dyDescent="0.2">
      <c r="A605" t="s">
        <v>1268</v>
      </c>
      <c r="B605" t="s">
        <v>1269</v>
      </c>
      <c r="C605" t="s">
        <v>30</v>
      </c>
      <c r="D605" t="s">
        <v>21</v>
      </c>
      <c r="E605" s="1">
        <v>45752</v>
      </c>
      <c r="F605" s="1">
        <v>45755</v>
      </c>
      <c r="G605" t="s">
        <v>43</v>
      </c>
      <c r="H605" t="s">
        <v>23</v>
      </c>
      <c r="I605" t="s">
        <v>31</v>
      </c>
      <c r="J605">
        <v>50</v>
      </c>
      <c r="K605" t="s">
        <v>38</v>
      </c>
      <c r="L605" t="s">
        <v>32</v>
      </c>
      <c r="M605" t="s">
        <v>39</v>
      </c>
      <c r="N605">
        <v>2.8</v>
      </c>
      <c r="O605" s="3">
        <v>6763.12</v>
      </c>
      <c r="P605">
        <v>0</v>
      </c>
      <c r="Q605">
        <v>4.8</v>
      </c>
      <c r="R605">
        <v>0.78</v>
      </c>
      <c r="S605" t="str">
        <f t="shared" si="9"/>
        <v>April</v>
      </c>
    </row>
    <row r="606" spans="1:19" x14ac:dyDescent="0.2">
      <c r="A606" t="s">
        <v>1270</v>
      </c>
      <c r="B606" t="s">
        <v>1271</v>
      </c>
      <c r="C606" t="s">
        <v>58</v>
      </c>
      <c r="D606" t="s">
        <v>35</v>
      </c>
      <c r="E606" s="1">
        <v>45704</v>
      </c>
      <c r="F606" s="1">
        <v>45712</v>
      </c>
      <c r="G606" t="s">
        <v>43</v>
      </c>
      <c r="H606" t="s">
        <v>50</v>
      </c>
      <c r="I606" t="s">
        <v>64</v>
      </c>
      <c r="J606">
        <v>45</v>
      </c>
      <c r="K606" t="s">
        <v>25</v>
      </c>
      <c r="L606" t="s">
        <v>32</v>
      </c>
      <c r="M606" t="s">
        <v>82</v>
      </c>
      <c r="N606">
        <v>7.6</v>
      </c>
      <c r="O606" s="3">
        <v>6763.12</v>
      </c>
      <c r="P606">
        <v>0</v>
      </c>
      <c r="Q606">
        <v>4</v>
      </c>
      <c r="R606">
        <v>0.8</v>
      </c>
      <c r="S606" t="str">
        <f t="shared" si="9"/>
        <v>February</v>
      </c>
    </row>
    <row r="607" spans="1:19" x14ac:dyDescent="0.2">
      <c r="A607" t="s">
        <v>1272</v>
      </c>
      <c r="B607" t="s">
        <v>1273</v>
      </c>
      <c r="C607" t="s">
        <v>30</v>
      </c>
      <c r="D607" t="s">
        <v>49</v>
      </c>
      <c r="E607" s="1">
        <v>45674</v>
      </c>
      <c r="F607" s="1">
        <v>45677</v>
      </c>
      <c r="G607" t="s">
        <v>43</v>
      </c>
      <c r="H607" t="s">
        <v>23</v>
      </c>
      <c r="I607" t="s">
        <v>55</v>
      </c>
      <c r="J607">
        <v>19</v>
      </c>
      <c r="K607" t="s">
        <v>78</v>
      </c>
      <c r="L607" t="s">
        <v>26</v>
      </c>
      <c r="M607" t="s">
        <v>82</v>
      </c>
      <c r="N607">
        <v>2.1</v>
      </c>
      <c r="O607" s="3">
        <v>6763.12</v>
      </c>
      <c r="P607">
        <v>0</v>
      </c>
      <c r="Q607">
        <v>3.3</v>
      </c>
      <c r="R607">
        <v>0.81</v>
      </c>
      <c r="S607" t="str">
        <f t="shared" si="9"/>
        <v>January</v>
      </c>
    </row>
    <row r="608" spans="1:19" x14ac:dyDescent="0.2">
      <c r="A608" t="s">
        <v>1274</v>
      </c>
      <c r="B608" t="s">
        <v>1275</v>
      </c>
      <c r="C608" t="s">
        <v>62</v>
      </c>
      <c r="D608" t="s">
        <v>42</v>
      </c>
      <c r="E608" s="1">
        <v>45661</v>
      </c>
      <c r="F608" s="1">
        <v>45663</v>
      </c>
      <c r="G608" t="s">
        <v>50</v>
      </c>
      <c r="H608" t="s">
        <v>23</v>
      </c>
      <c r="I608" t="s">
        <v>100</v>
      </c>
      <c r="J608">
        <v>63</v>
      </c>
      <c r="K608" t="s">
        <v>38</v>
      </c>
      <c r="L608" t="s">
        <v>32</v>
      </c>
      <c r="M608" t="s">
        <v>27</v>
      </c>
      <c r="N608">
        <v>1.2</v>
      </c>
      <c r="O608" s="3">
        <v>6763.12</v>
      </c>
      <c r="P608">
        <v>0</v>
      </c>
      <c r="Q608">
        <v>4</v>
      </c>
      <c r="R608">
        <v>0.84</v>
      </c>
      <c r="S608" t="str">
        <f t="shared" si="9"/>
        <v>January</v>
      </c>
    </row>
    <row r="609" spans="1:19" x14ac:dyDescent="0.2">
      <c r="A609" t="s">
        <v>1276</v>
      </c>
      <c r="B609" t="s">
        <v>1277</v>
      </c>
      <c r="C609" t="s">
        <v>122</v>
      </c>
      <c r="D609" t="s">
        <v>21</v>
      </c>
      <c r="E609" s="1">
        <v>45833</v>
      </c>
      <c r="F609" s="1">
        <v>45836</v>
      </c>
      <c r="G609" t="s">
        <v>63</v>
      </c>
      <c r="H609" t="s">
        <v>50</v>
      </c>
      <c r="I609" t="s">
        <v>31</v>
      </c>
      <c r="J609">
        <v>31</v>
      </c>
      <c r="K609" t="s">
        <v>78</v>
      </c>
      <c r="L609" t="s">
        <v>32</v>
      </c>
      <c r="M609" t="s">
        <v>27</v>
      </c>
      <c r="N609">
        <v>3</v>
      </c>
      <c r="O609" s="3">
        <v>6763.12</v>
      </c>
      <c r="P609">
        <v>0</v>
      </c>
      <c r="Q609">
        <v>3.5</v>
      </c>
      <c r="R609">
        <v>0.74</v>
      </c>
      <c r="S609" t="str">
        <f t="shared" si="9"/>
        <v>June</v>
      </c>
    </row>
    <row r="610" spans="1:19" x14ac:dyDescent="0.2">
      <c r="A610" t="s">
        <v>1278</v>
      </c>
      <c r="B610" t="s">
        <v>1279</v>
      </c>
      <c r="C610" t="s">
        <v>30</v>
      </c>
      <c r="D610" t="s">
        <v>42</v>
      </c>
      <c r="E610" s="1">
        <v>45690</v>
      </c>
      <c r="F610" s="1">
        <v>45697</v>
      </c>
      <c r="G610" t="s">
        <v>71</v>
      </c>
      <c r="H610" t="s">
        <v>50</v>
      </c>
      <c r="I610" t="s">
        <v>31</v>
      </c>
      <c r="J610">
        <v>31</v>
      </c>
      <c r="K610" t="s">
        <v>78</v>
      </c>
      <c r="L610" t="s">
        <v>26</v>
      </c>
      <c r="M610" t="s">
        <v>39</v>
      </c>
      <c r="N610">
        <v>6.8</v>
      </c>
      <c r="O610" s="3">
        <v>6763.12</v>
      </c>
      <c r="P610">
        <v>1</v>
      </c>
      <c r="Q610">
        <v>3.9</v>
      </c>
      <c r="R610">
        <v>0.85</v>
      </c>
      <c r="S610" t="str">
        <f t="shared" si="9"/>
        <v>February</v>
      </c>
    </row>
    <row r="611" spans="1:19" x14ac:dyDescent="0.2">
      <c r="A611" t="s">
        <v>1280</v>
      </c>
      <c r="B611" t="s">
        <v>1281</v>
      </c>
      <c r="C611" t="s">
        <v>30</v>
      </c>
      <c r="D611" t="s">
        <v>35</v>
      </c>
      <c r="E611" s="1">
        <v>46008</v>
      </c>
      <c r="F611" s="1">
        <v>46009</v>
      </c>
      <c r="G611" t="s">
        <v>50</v>
      </c>
      <c r="H611" t="s">
        <v>23</v>
      </c>
      <c r="I611" t="s">
        <v>51</v>
      </c>
      <c r="J611">
        <v>43</v>
      </c>
      <c r="K611" t="s">
        <v>25</v>
      </c>
      <c r="L611" t="s">
        <v>32</v>
      </c>
      <c r="M611" t="s">
        <v>27</v>
      </c>
      <c r="N611">
        <v>0.5</v>
      </c>
      <c r="O611" s="3">
        <v>6763.12</v>
      </c>
      <c r="P611">
        <v>0</v>
      </c>
      <c r="Q611">
        <v>3.4</v>
      </c>
      <c r="R611">
        <v>0.9</v>
      </c>
      <c r="S611" t="str">
        <f t="shared" si="9"/>
        <v>December</v>
      </c>
    </row>
    <row r="612" spans="1:19" x14ac:dyDescent="0.2">
      <c r="A612" t="s">
        <v>1282</v>
      </c>
      <c r="B612" t="s">
        <v>1283</v>
      </c>
      <c r="C612" t="s">
        <v>58</v>
      </c>
      <c r="D612" t="s">
        <v>35</v>
      </c>
      <c r="E612" s="1">
        <v>45747</v>
      </c>
      <c r="F612" s="1">
        <v>45748</v>
      </c>
      <c r="G612" t="s">
        <v>99</v>
      </c>
      <c r="H612" t="s">
        <v>50</v>
      </c>
      <c r="I612" t="s">
        <v>100</v>
      </c>
      <c r="J612">
        <v>12</v>
      </c>
      <c r="K612" t="s">
        <v>103</v>
      </c>
      <c r="L612" t="s">
        <v>26</v>
      </c>
      <c r="M612" t="s">
        <v>39</v>
      </c>
      <c r="N612">
        <v>0.2</v>
      </c>
      <c r="O612" s="3">
        <v>6763.12</v>
      </c>
      <c r="P612">
        <v>0</v>
      </c>
      <c r="Q612">
        <v>3.8</v>
      </c>
      <c r="R612">
        <v>0.71</v>
      </c>
      <c r="S612" t="str">
        <f t="shared" si="9"/>
        <v>March</v>
      </c>
    </row>
    <row r="613" spans="1:19" x14ac:dyDescent="0.2">
      <c r="A613" t="s">
        <v>1284</v>
      </c>
      <c r="B613" t="s">
        <v>1285</v>
      </c>
      <c r="C613" t="s">
        <v>122</v>
      </c>
      <c r="D613" t="s">
        <v>49</v>
      </c>
      <c r="E613" s="1">
        <v>45896</v>
      </c>
      <c r="F613" s="1">
        <v>45898</v>
      </c>
      <c r="G613" t="s">
        <v>63</v>
      </c>
      <c r="H613" t="s">
        <v>44</v>
      </c>
      <c r="I613" t="s">
        <v>117</v>
      </c>
      <c r="J613">
        <v>38</v>
      </c>
      <c r="K613" t="s">
        <v>25</v>
      </c>
      <c r="L613" t="s">
        <v>26</v>
      </c>
      <c r="M613" t="s">
        <v>27</v>
      </c>
      <c r="N613">
        <v>1.2</v>
      </c>
      <c r="O613" s="3">
        <v>6763.12</v>
      </c>
      <c r="P613">
        <v>0</v>
      </c>
      <c r="Q613">
        <v>4.5</v>
      </c>
      <c r="R613">
        <v>0.85</v>
      </c>
      <c r="S613" t="str">
        <f t="shared" si="9"/>
        <v>August</v>
      </c>
    </row>
    <row r="614" spans="1:19" x14ac:dyDescent="0.2">
      <c r="A614" t="s">
        <v>1286</v>
      </c>
      <c r="B614" t="s">
        <v>1287</v>
      </c>
      <c r="C614" t="s">
        <v>20</v>
      </c>
      <c r="D614" t="s">
        <v>49</v>
      </c>
      <c r="E614" s="1">
        <v>45903</v>
      </c>
      <c r="F614" s="1">
        <v>45905</v>
      </c>
      <c r="G614" t="s">
        <v>43</v>
      </c>
      <c r="H614" t="s">
        <v>23</v>
      </c>
      <c r="I614" t="s">
        <v>100</v>
      </c>
      <c r="J614">
        <v>52</v>
      </c>
      <c r="K614" t="s">
        <v>38</v>
      </c>
      <c r="L614" t="s">
        <v>26</v>
      </c>
      <c r="M614" t="s">
        <v>39</v>
      </c>
      <c r="N614">
        <v>1.9</v>
      </c>
      <c r="O614" s="3">
        <v>6763.12</v>
      </c>
      <c r="P614">
        <v>0</v>
      </c>
      <c r="Q614">
        <v>4.2</v>
      </c>
      <c r="R614">
        <v>0.81</v>
      </c>
      <c r="S614" t="str">
        <f t="shared" si="9"/>
        <v>September</v>
      </c>
    </row>
    <row r="615" spans="1:19" x14ac:dyDescent="0.2">
      <c r="A615" t="s">
        <v>1288</v>
      </c>
      <c r="B615" t="s">
        <v>1289</v>
      </c>
      <c r="C615" t="s">
        <v>30</v>
      </c>
      <c r="D615" t="s">
        <v>35</v>
      </c>
      <c r="E615" s="1">
        <v>45838</v>
      </c>
      <c r="F615" s="1">
        <v>45841</v>
      </c>
      <c r="G615" t="s">
        <v>99</v>
      </c>
      <c r="H615" t="s">
        <v>23</v>
      </c>
      <c r="I615" t="s">
        <v>31</v>
      </c>
      <c r="J615">
        <v>11</v>
      </c>
      <c r="K615" t="s">
        <v>103</v>
      </c>
      <c r="L615" t="s">
        <v>32</v>
      </c>
      <c r="M615" t="s">
        <v>27</v>
      </c>
      <c r="N615">
        <v>2.9</v>
      </c>
      <c r="O615" s="3">
        <v>6763.12</v>
      </c>
      <c r="P615">
        <v>0</v>
      </c>
      <c r="Q615">
        <v>3.2</v>
      </c>
      <c r="R615">
        <v>0.82</v>
      </c>
      <c r="S615" t="str">
        <f t="shared" si="9"/>
        <v>June</v>
      </c>
    </row>
    <row r="616" spans="1:19" x14ac:dyDescent="0.2">
      <c r="A616" t="s">
        <v>1290</v>
      </c>
      <c r="B616" t="s">
        <v>1291</v>
      </c>
      <c r="C616" t="s">
        <v>62</v>
      </c>
      <c r="D616" t="s">
        <v>49</v>
      </c>
      <c r="E616" s="1">
        <v>45980</v>
      </c>
      <c r="F616" s="1">
        <v>45983</v>
      </c>
      <c r="G616" t="s">
        <v>36</v>
      </c>
      <c r="H616" t="s">
        <v>50</v>
      </c>
      <c r="I616" t="s">
        <v>55</v>
      </c>
      <c r="J616">
        <v>51</v>
      </c>
      <c r="K616" t="s">
        <v>38</v>
      </c>
      <c r="L616" t="s">
        <v>32</v>
      </c>
      <c r="M616" t="s">
        <v>39</v>
      </c>
      <c r="N616">
        <v>2.5</v>
      </c>
      <c r="O616" s="3">
        <v>6763.12</v>
      </c>
      <c r="P616">
        <v>1</v>
      </c>
      <c r="Q616">
        <v>3.3</v>
      </c>
      <c r="R616">
        <v>0.86</v>
      </c>
      <c r="S616" t="str">
        <f t="shared" si="9"/>
        <v>November</v>
      </c>
    </row>
    <row r="617" spans="1:19" x14ac:dyDescent="0.2">
      <c r="A617" t="s">
        <v>1292</v>
      </c>
      <c r="B617" t="s">
        <v>1293</v>
      </c>
      <c r="C617" t="s">
        <v>30</v>
      </c>
      <c r="D617" t="s">
        <v>21</v>
      </c>
      <c r="E617" s="1">
        <v>45698</v>
      </c>
      <c r="F617" s="1">
        <v>45700</v>
      </c>
      <c r="G617" t="s">
        <v>22</v>
      </c>
      <c r="H617" t="s">
        <v>23</v>
      </c>
      <c r="I617" t="s">
        <v>45</v>
      </c>
      <c r="J617">
        <v>3</v>
      </c>
      <c r="K617" t="s">
        <v>103</v>
      </c>
      <c r="L617" t="s">
        <v>32</v>
      </c>
      <c r="M617" t="s">
        <v>27</v>
      </c>
      <c r="N617">
        <v>1.3</v>
      </c>
      <c r="O617" s="3">
        <v>6763.12</v>
      </c>
      <c r="P617">
        <v>0</v>
      </c>
      <c r="Q617">
        <v>4.0999999999999996</v>
      </c>
      <c r="R617">
        <v>0.84</v>
      </c>
      <c r="S617" t="str">
        <f t="shared" si="9"/>
        <v>February</v>
      </c>
    </row>
    <row r="618" spans="1:19" x14ac:dyDescent="0.2">
      <c r="A618" t="s">
        <v>1294</v>
      </c>
      <c r="B618" t="s">
        <v>1295</v>
      </c>
      <c r="C618" t="s">
        <v>122</v>
      </c>
      <c r="D618" t="s">
        <v>49</v>
      </c>
      <c r="E618" s="1">
        <v>45743</v>
      </c>
      <c r="F618" s="1">
        <v>45749</v>
      </c>
      <c r="G618" t="s">
        <v>43</v>
      </c>
      <c r="H618" t="s">
        <v>44</v>
      </c>
      <c r="I618" t="s">
        <v>37</v>
      </c>
      <c r="J618">
        <v>54</v>
      </c>
      <c r="K618" t="s">
        <v>38</v>
      </c>
      <c r="L618" t="s">
        <v>32</v>
      </c>
      <c r="M618" t="s">
        <v>39</v>
      </c>
      <c r="N618">
        <v>6</v>
      </c>
      <c r="O618" s="3">
        <v>6763.12</v>
      </c>
      <c r="P618">
        <v>0</v>
      </c>
      <c r="Q618">
        <v>4.0999999999999996</v>
      </c>
      <c r="R618">
        <v>0.85</v>
      </c>
      <c r="S618" t="str">
        <f t="shared" si="9"/>
        <v>March</v>
      </c>
    </row>
    <row r="619" spans="1:19" x14ac:dyDescent="0.2">
      <c r="A619" t="s">
        <v>1296</v>
      </c>
      <c r="B619" t="s">
        <v>1297</v>
      </c>
      <c r="C619" t="s">
        <v>62</v>
      </c>
      <c r="D619" t="s">
        <v>49</v>
      </c>
      <c r="E619" s="1">
        <v>45750</v>
      </c>
      <c r="F619" s="1">
        <v>45752</v>
      </c>
      <c r="G619" t="s">
        <v>63</v>
      </c>
      <c r="H619" t="s">
        <v>50</v>
      </c>
      <c r="I619" t="s">
        <v>81</v>
      </c>
      <c r="J619">
        <v>3</v>
      </c>
      <c r="K619" t="s">
        <v>103</v>
      </c>
      <c r="L619" t="s">
        <v>32</v>
      </c>
      <c r="M619" t="s">
        <v>27</v>
      </c>
      <c r="N619">
        <v>1.5</v>
      </c>
      <c r="O619" s="3">
        <v>6763.12</v>
      </c>
      <c r="P619">
        <v>0</v>
      </c>
      <c r="Q619">
        <v>3.5</v>
      </c>
      <c r="R619">
        <v>0.86</v>
      </c>
      <c r="S619" t="str">
        <f t="shared" si="9"/>
        <v>April</v>
      </c>
    </row>
    <row r="620" spans="1:19" x14ac:dyDescent="0.2">
      <c r="A620" t="s">
        <v>1298</v>
      </c>
      <c r="B620" t="s">
        <v>1299</v>
      </c>
      <c r="C620" t="s">
        <v>122</v>
      </c>
      <c r="D620" t="s">
        <v>42</v>
      </c>
      <c r="E620" s="1">
        <v>45707</v>
      </c>
      <c r="F620" s="1">
        <v>45711</v>
      </c>
      <c r="G620" t="s">
        <v>63</v>
      </c>
      <c r="H620" t="s">
        <v>50</v>
      </c>
      <c r="I620" t="s">
        <v>31</v>
      </c>
      <c r="J620">
        <v>15</v>
      </c>
      <c r="K620" t="s">
        <v>46</v>
      </c>
      <c r="L620" t="s">
        <v>26</v>
      </c>
      <c r="M620" t="s">
        <v>52</v>
      </c>
      <c r="N620">
        <v>3.9</v>
      </c>
      <c r="O620" s="3">
        <v>6763.12</v>
      </c>
      <c r="P620">
        <v>0</v>
      </c>
      <c r="Q620">
        <v>4.9000000000000004</v>
      </c>
      <c r="R620">
        <v>0.8</v>
      </c>
      <c r="S620" t="str">
        <f t="shared" si="9"/>
        <v>February</v>
      </c>
    </row>
    <row r="621" spans="1:19" x14ac:dyDescent="0.2">
      <c r="A621" t="s">
        <v>1300</v>
      </c>
      <c r="B621" t="s">
        <v>1301</v>
      </c>
      <c r="C621" t="s">
        <v>122</v>
      </c>
      <c r="D621" t="s">
        <v>21</v>
      </c>
      <c r="E621" s="1">
        <v>45765</v>
      </c>
      <c r="F621" s="1">
        <v>45767</v>
      </c>
      <c r="G621" t="s">
        <v>59</v>
      </c>
      <c r="H621" t="s">
        <v>50</v>
      </c>
      <c r="I621" t="s">
        <v>100</v>
      </c>
      <c r="J621">
        <v>31</v>
      </c>
      <c r="K621" t="s">
        <v>78</v>
      </c>
      <c r="L621" t="s">
        <v>26</v>
      </c>
      <c r="M621" t="s">
        <v>39</v>
      </c>
      <c r="N621">
        <v>1.5</v>
      </c>
      <c r="O621" s="3">
        <v>6763.12</v>
      </c>
      <c r="P621">
        <v>0</v>
      </c>
      <c r="Q621">
        <v>4.3</v>
      </c>
      <c r="R621">
        <v>0.76</v>
      </c>
      <c r="S621" t="str">
        <f t="shared" si="9"/>
        <v>April</v>
      </c>
    </row>
    <row r="622" spans="1:19" x14ac:dyDescent="0.2">
      <c r="A622" t="s">
        <v>1302</v>
      </c>
      <c r="B622" t="s">
        <v>1303</v>
      </c>
      <c r="C622" t="s">
        <v>62</v>
      </c>
      <c r="D622" t="s">
        <v>49</v>
      </c>
      <c r="E622" s="1">
        <v>45772</v>
      </c>
      <c r="F622" s="1">
        <v>45776</v>
      </c>
      <c r="G622" t="s">
        <v>116</v>
      </c>
      <c r="H622" t="s">
        <v>50</v>
      </c>
      <c r="I622" t="s">
        <v>24</v>
      </c>
      <c r="J622">
        <v>55</v>
      </c>
      <c r="K622" t="s">
        <v>38</v>
      </c>
      <c r="L622" t="s">
        <v>32</v>
      </c>
      <c r="M622" t="s">
        <v>27</v>
      </c>
      <c r="N622">
        <v>3.9</v>
      </c>
      <c r="O622" s="3">
        <v>6763.12</v>
      </c>
      <c r="P622">
        <v>1</v>
      </c>
      <c r="Q622">
        <v>3.5</v>
      </c>
      <c r="R622">
        <v>0.87</v>
      </c>
      <c r="S622" t="str">
        <f t="shared" si="9"/>
        <v>April</v>
      </c>
    </row>
    <row r="623" spans="1:19" x14ac:dyDescent="0.2">
      <c r="A623" t="s">
        <v>1304</v>
      </c>
      <c r="B623" t="s">
        <v>1305</v>
      </c>
      <c r="C623" t="s">
        <v>122</v>
      </c>
      <c r="D623" t="s">
        <v>49</v>
      </c>
      <c r="E623" s="1">
        <v>45937</v>
      </c>
      <c r="F623" s="1">
        <v>45942</v>
      </c>
      <c r="G623" t="s">
        <v>63</v>
      </c>
      <c r="H623" t="s">
        <v>23</v>
      </c>
      <c r="I623" t="s">
        <v>45</v>
      </c>
      <c r="J623">
        <v>65</v>
      </c>
      <c r="K623" t="s">
        <v>169</v>
      </c>
      <c r="L623" t="s">
        <v>26</v>
      </c>
      <c r="M623" t="s">
        <v>27</v>
      </c>
      <c r="N623">
        <v>4.3</v>
      </c>
      <c r="O623" s="3">
        <v>6763.12</v>
      </c>
      <c r="P623">
        <v>0</v>
      </c>
      <c r="Q623">
        <v>3.5</v>
      </c>
      <c r="R623">
        <v>0.74</v>
      </c>
      <c r="S623" t="str">
        <f t="shared" si="9"/>
        <v>October</v>
      </c>
    </row>
    <row r="624" spans="1:19" x14ac:dyDescent="0.2">
      <c r="A624" t="s">
        <v>1306</v>
      </c>
      <c r="B624" t="s">
        <v>1307</v>
      </c>
      <c r="C624" t="s">
        <v>30</v>
      </c>
      <c r="D624" t="s">
        <v>21</v>
      </c>
      <c r="E624" s="1">
        <v>45768</v>
      </c>
      <c r="F624" s="1">
        <v>45776</v>
      </c>
      <c r="G624" t="s">
        <v>22</v>
      </c>
      <c r="H624" t="s">
        <v>50</v>
      </c>
      <c r="I624" t="s">
        <v>117</v>
      </c>
      <c r="J624">
        <v>42</v>
      </c>
      <c r="K624" t="s">
        <v>25</v>
      </c>
      <c r="L624" t="s">
        <v>26</v>
      </c>
      <c r="M624" t="s">
        <v>27</v>
      </c>
      <c r="N624">
        <v>8</v>
      </c>
      <c r="O624" s="3">
        <v>6763.12</v>
      </c>
      <c r="P624">
        <v>0</v>
      </c>
      <c r="Q624">
        <v>3.6</v>
      </c>
      <c r="R624">
        <v>0.82</v>
      </c>
      <c r="S624" t="str">
        <f t="shared" si="9"/>
        <v>April</v>
      </c>
    </row>
    <row r="625" spans="1:19" x14ac:dyDescent="0.2">
      <c r="A625" t="s">
        <v>1308</v>
      </c>
      <c r="B625" t="s">
        <v>1309</v>
      </c>
      <c r="C625" t="s">
        <v>20</v>
      </c>
      <c r="D625" t="s">
        <v>35</v>
      </c>
      <c r="E625" s="1">
        <v>45977</v>
      </c>
      <c r="F625" s="1">
        <v>45980</v>
      </c>
      <c r="G625" t="s">
        <v>59</v>
      </c>
      <c r="H625" t="s">
        <v>23</v>
      </c>
      <c r="I625" t="s">
        <v>37</v>
      </c>
      <c r="J625">
        <v>11</v>
      </c>
      <c r="K625" t="s">
        <v>103</v>
      </c>
      <c r="L625" t="s">
        <v>26</v>
      </c>
      <c r="M625" t="s">
        <v>27</v>
      </c>
      <c r="N625">
        <v>2.1</v>
      </c>
      <c r="O625" s="3">
        <v>6763.12</v>
      </c>
      <c r="P625">
        <v>0</v>
      </c>
      <c r="Q625">
        <v>3.6</v>
      </c>
      <c r="R625">
        <v>0.92</v>
      </c>
      <c r="S625" t="str">
        <f t="shared" si="9"/>
        <v>November</v>
      </c>
    </row>
    <row r="626" spans="1:19" x14ac:dyDescent="0.2">
      <c r="A626" t="s">
        <v>1310</v>
      </c>
      <c r="B626" t="s">
        <v>1311</v>
      </c>
      <c r="C626" t="s">
        <v>30</v>
      </c>
      <c r="D626" t="s">
        <v>42</v>
      </c>
      <c r="E626" s="1">
        <v>45940</v>
      </c>
      <c r="F626" s="1">
        <v>45950</v>
      </c>
      <c r="G626" t="s">
        <v>43</v>
      </c>
      <c r="H626" t="s">
        <v>50</v>
      </c>
      <c r="I626" t="s">
        <v>81</v>
      </c>
      <c r="J626">
        <v>35</v>
      </c>
      <c r="K626" t="s">
        <v>25</v>
      </c>
      <c r="L626" t="s">
        <v>26</v>
      </c>
      <c r="M626" t="s">
        <v>27</v>
      </c>
      <c r="N626">
        <v>9.1</v>
      </c>
      <c r="O626" s="3">
        <v>6763.12</v>
      </c>
      <c r="P626">
        <v>0</v>
      </c>
      <c r="Q626">
        <v>4.5</v>
      </c>
      <c r="R626">
        <v>0.72</v>
      </c>
      <c r="S626" t="str">
        <f t="shared" si="9"/>
        <v>October</v>
      </c>
    </row>
    <row r="627" spans="1:19" x14ac:dyDescent="0.2">
      <c r="A627" t="s">
        <v>1312</v>
      </c>
      <c r="B627" t="s">
        <v>1313</v>
      </c>
      <c r="C627" t="s">
        <v>62</v>
      </c>
      <c r="D627" t="s">
        <v>35</v>
      </c>
      <c r="E627" s="1">
        <v>45987</v>
      </c>
      <c r="F627" s="1">
        <v>45988</v>
      </c>
      <c r="G627" t="s">
        <v>50</v>
      </c>
      <c r="H627" t="s">
        <v>50</v>
      </c>
      <c r="I627" t="s">
        <v>55</v>
      </c>
      <c r="J627">
        <v>71</v>
      </c>
      <c r="K627" t="s">
        <v>169</v>
      </c>
      <c r="L627" t="s">
        <v>26</v>
      </c>
      <c r="M627" t="s">
        <v>82</v>
      </c>
      <c r="N627">
        <v>0.5</v>
      </c>
      <c r="O627" s="3">
        <v>6763.12</v>
      </c>
      <c r="P627">
        <v>0</v>
      </c>
      <c r="Q627">
        <v>4.3</v>
      </c>
      <c r="R627">
        <v>0.85</v>
      </c>
      <c r="S627" t="str">
        <f t="shared" si="9"/>
        <v>November</v>
      </c>
    </row>
    <row r="628" spans="1:19" x14ac:dyDescent="0.2">
      <c r="A628" t="s">
        <v>1314</v>
      </c>
      <c r="B628" t="s">
        <v>1315</v>
      </c>
      <c r="C628" t="s">
        <v>58</v>
      </c>
      <c r="D628" t="s">
        <v>42</v>
      </c>
      <c r="E628" s="1">
        <v>45696</v>
      </c>
      <c r="F628" s="1">
        <v>45699</v>
      </c>
      <c r="G628" t="s">
        <v>63</v>
      </c>
      <c r="H628" t="s">
        <v>50</v>
      </c>
      <c r="I628" t="s">
        <v>81</v>
      </c>
      <c r="J628">
        <v>8</v>
      </c>
      <c r="K628" t="s">
        <v>103</v>
      </c>
      <c r="L628" t="s">
        <v>32</v>
      </c>
      <c r="M628" t="s">
        <v>39</v>
      </c>
      <c r="N628">
        <v>2.9</v>
      </c>
      <c r="O628" s="3">
        <v>6763.12</v>
      </c>
      <c r="P628">
        <v>0</v>
      </c>
      <c r="Q628">
        <v>3.9</v>
      </c>
      <c r="R628">
        <v>0.76</v>
      </c>
      <c r="S628" t="str">
        <f t="shared" si="9"/>
        <v>February</v>
      </c>
    </row>
    <row r="629" spans="1:19" x14ac:dyDescent="0.2">
      <c r="A629" t="s">
        <v>1316</v>
      </c>
      <c r="B629" t="s">
        <v>1317</v>
      </c>
      <c r="C629" t="s">
        <v>20</v>
      </c>
      <c r="D629" t="s">
        <v>35</v>
      </c>
      <c r="E629" s="1">
        <v>46017</v>
      </c>
      <c r="F629" s="1">
        <v>46019</v>
      </c>
      <c r="G629" t="s">
        <v>63</v>
      </c>
      <c r="H629" t="s">
        <v>44</v>
      </c>
      <c r="I629" t="s">
        <v>51</v>
      </c>
      <c r="J629">
        <v>65</v>
      </c>
      <c r="K629" t="s">
        <v>169</v>
      </c>
      <c r="L629" t="s">
        <v>32</v>
      </c>
      <c r="M629" t="s">
        <v>27</v>
      </c>
      <c r="N629">
        <v>1.1000000000000001</v>
      </c>
      <c r="O629" s="3">
        <v>6763.12</v>
      </c>
      <c r="P629">
        <v>1</v>
      </c>
      <c r="Q629">
        <v>4.3</v>
      </c>
      <c r="R629">
        <v>0.79</v>
      </c>
      <c r="S629" t="str">
        <f t="shared" si="9"/>
        <v>December</v>
      </c>
    </row>
    <row r="630" spans="1:19" x14ac:dyDescent="0.2">
      <c r="A630" t="s">
        <v>1318</v>
      </c>
      <c r="B630" t="s">
        <v>1319</v>
      </c>
      <c r="C630" t="s">
        <v>30</v>
      </c>
      <c r="D630" t="s">
        <v>42</v>
      </c>
      <c r="E630" s="1">
        <v>45882</v>
      </c>
      <c r="F630" s="1">
        <v>45890</v>
      </c>
      <c r="G630" t="s">
        <v>116</v>
      </c>
      <c r="H630" t="s">
        <v>23</v>
      </c>
      <c r="I630" t="s">
        <v>81</v>
      </c>
      <c r="J630">
        <v>35</v>
      </c>
      <c r="K630" t="s">
        <v>25</v>
      </c>
      <c r="L630" t="s">
        <v>26</v>
      </c>
      <c r="M630" t="s">
        <v>39</v>
      </c>
      <c r="N630">
        <v>7.8</v>
      </c>
      <c r="O630" s="3">
        <v>6763.12</v>
      </c>
      <c r="P630">
        <v>0</v>
      </c>
      <c r="Q630">
        <v>4.2</v>
      </c>
      <c r="R630">
        <v>0.81</v>
      </c>
      <c r="S630" t="str">
        <f t="shared" si="9"/>
        <v>August</v>
      </c>
    </row>
    <row r="631" spans="1:19" x14ac:dyDescent="0.2">
      <c r="A631" t="s">
        <v>1320</v>
      </c>
      <c r="B631" t="s">
        <v>1321</v>
      </c>
      <c r="C631" t="s">
        <v>58</v>
      </c>
      <c r="D631" t="s">
        <v>35</v>
      </c>
      <c r="E631" s="1">
        <v>46016</v>
      </c>
      <c r="F631" s="1">
        <v>46022</v>
      </c>
      <c r="G631" t="s">
        <v>63</v>
      </c>
      <c r="H631" t="s">
        <v>50</v>
      </c>
      <c r="I631" t="s">
        <v>64</v>
      </c>
      <c r="J631">
        <v>0</v>
      </c>
      <c r="K631" t="s">
        <v>103</v>
      </c>
      <c r="L631" t="s">
        <v>26</v>
      </c>
      <c r="M631" t="s">
        <v>27</v>
      </c>
      <c r="N631">
        <v>5.2</v>
      </c>
      <c r="O631" s="3">
        <v>6763.12</v>
      </c>
      <c r="P631">
        <v>0</v>
      </c>
      <c r="Q631">
        <v>3.9</v>
      </c>
      <c r="R631">
        <v>0.75</v>
      </c>
      <c r="S631" t="str">
        <f t="shared" si="9"/>
        <v>December</v>
      </c>
    </row>
    <row r="632" spans="1:19" x14ac:dyDescent="0.2">
      <c r="A632" t="s">
        <v>1322</v>
      </c>
      <c r="B632" t="s">
        <v>1323</v>
      </c>
      <c r="C632" t="s">
        <v>58</v>
      </c>
      <c r="D632" t="s">
        <v>42</v>
      </c>
      <c r="E632" s="1">
        <v>45787</v>
      </c>
      <c r="F632" s="1">
        <v>45792</v>
      </c>
      <c r="G632" t="s">
        <v>63</v>
      </c>
      <c r="H632" t="s">
        <v>23</v>
      </c>
      <c r="I632" t="s">
        <v>100</v>
      </c>
      <c r="J632">
        <v>63</v>
      </c>
      <c r="K632" t="s">
        <v>38</v>
      </c>
      <c r="L632" t="s">
        <v>26</v>
      </c>
      <c r="M632" t="s">
        <v>52</v>
      </c>
      <c r="N632">
        <v>4.8</v>
      </c>
      <c r="O632" s="3">
        <v>6763.12</v>
      </c>
      <c r="P632">
        <v>0</v>
      </c>
      <c r="Q632">
        <v>4.0999999999999996</v>
      </c>
      <c r="R632">
        <v>0.74</v>
      </c>
      <c r="S632" t="str">
        <f t="shared" si="9"/>
        <v>May</v>
      </c>
    </row>
    <row r="633" spans="1:19" x14ac:dyDescent="0.2">
      <c r="A633" t="s">
        <v>1324</v>
      </c>
      <c r="B633" t="s">
        <v>1325</v>
      </c>
      <c r="C633" t="s">
        <v>30</v>
      </c>
      <c r="D633" t="s">
        <v>49</v>
      </c>
      <c r="E633" s="1">
        <v>46005</v>
      </c>
      <c r="F633" s="1">
        <v>46007</v>
      </c>
      <c r="G633" t="s">
        <v>116</v>
      </c>
      <c r="H633" t="s">
        <v>50</v>
      </c>
      <c r="I633" t="s">
        <v>24</v>
      </c>
      <c r="J633">
        <v>2</v>
      </c>
      <c r="K633" t="s">
        <v>103</v>
      </c>
      <c r="L633" t="s">
        <v>26</v>
      </c>
      <c r="M633" t="s">
        <v>27</v>
      </c>
      <c r="N633">
        <v>1.1000000000000001</v>
      </c>
      <c r="O633" s="3">
        <v>6763.12</v>
      </c>
      <c r="P633">
        <v>0</v>
      </c>
      <c r="Q633">
        <v>4.3</v>
      </c>
      <c r="R633">
        <v>0.83</v>
      </c>
      <c r="S633" t="str">
        <f t="shared" si="9"/>
        <v>December</v>
      </c>
    </row>
    <row r="634" spans="1:19" x14ac:dyDescent="0.2">
      <c r="A634" t="s">
        <v>1326</v>
      </c>
      <c r="B634" t="s">
        <v>1327</v>
      </c>
      <c r="C634" t="s">
        <v>62</v>
      </c>
      <c r="D634" t="s">
        <v>35</v>
      </c>
      <c r="E634" s="1">
        <v>45872</v>
      </c>
      <c r="F634" s="1">
        <v>45873</v>
      </c>
      <c r="G634" t="s">
        <v>63</v>
      </c>
      <c r="H634" t="s">
        <v>50</v>
      </c>
      <c r="I634" t="s">
        <v>55</v>
      </c>
      <c r="J634">
        <v>33</v>
      </c>
      <c r="K634" t="s">
        <v>78</v>
      </c>
      <c r="L634" t="s">
        <v>32</v>
      </c>
      <c r="M634" t="s">
        <v>82</v>
      </c>
      <c r="N634">
        <v>0.3</v>
      </c>
      <c r="O634" s="3">
        <v>6763.12</v>
      </c>
      <c r="P634">
        <v>0</v>
      </c>
      <c r="Q634">
        <v>4.2</v>
      </c>
      <c r="R634">
        <v>0.82</v>
      </c>
      <c r="S634" t="str">
        <f t="shared" si="9"/>
        <v>August</v>
      </c>
    </row>
    <row r="635" spans="1:19" x14ac:dyDescent="0.2">
      <c r="A635" t="s">
        <v>1328</v>
      </c>
      <c r="B635" t="s">
        <v>1329</v>
      </c>
      <c r="C635" t="s">
        <v>20</v>
      </c>
      <c r="D635" t="s">
        <v>49</v>
      </c>
      <c r="E635" s="1">
        <v>45684</v>
      </c>
      <c r="F635" s="1">
        <v>45687</v>
      </c>
      <c r="G635" t="s">
        <v>99</v>
      </c>
      <c r="H635" t="s">
        <v>50</v>
      </c>
      <c r="I635" t="s">
        <v>24</v>
      </c>
      <c r="J635">
        <v>17</v>
      </c>
      <c r="K635" t="s">
        <v>46</v>
      </c>
      <c r="L635" t="s">
        <v>32</v>
      </c>
      <c r="M635" t="s">
        <v>82</v>
      </c>
      <c r="N635">
        <v>2.5</v>
      </c>
      <c r="O635" s="3">
        <v>6763.12</v>
      </c>
      <c r="P635">
        <v>0</v>
      </c>
      <c r="Q635">
        <v>3.4</v>
      </c>
      <c r="R635">
        <v>0.88</v>
      </c>
      <c r="S635" t="str">
        <f t="shared" si="9"/>
        <v>January</v>
      </c>
    </row>
    <row r="636" spans="1:19" x14ac:dyDescent="0.2">
      <c r="A636" t="s">
        <v>1330</v>
      </c>
      <c r="B636" t="s">
        <v>1331</v>
      </c>
      <c r="C636" t="s">
        <v>62</v>
      </c>
      <c r="D636" t="s">
        <v>49</v>
      </c>
      <c r="E636" s="1">
        <v>45807</v>
      </c>
      <c r="F636" s="1">
        <v>45809</v>
      </c>
      <c r="G636" t="s">
        <v>99</v>
      </c>
      <c r="H636" t="s">
        <v>44</v>
      </c>
      <c r="I636" t="s">
        <v>117</v>
      </c>
      <c r="J636">
        <v>53</v>
      </c>
      <c r="K636" t="s">
        <v>38</v>
      </c>
      <c r="L636" t="s">
        <v>26</v>
      </c>
      <c r="M636" t="s">
        <v>27</v>
      </c>
      <c r="N636">
        <v>2</v>
      </c>
      <c r="O636" s="3">
        <v>6763.12</v>
      </c>
      <c r="P636">
        <v>0</v>
      </c>
      <c r="Q636">
        <v>3.5</v>
      </c>
      <c r="R636">
        <v>0.83</v>
      </c>
      <c r="S636" t="str">
        <f t="shared" si="9"/>
        <v>May</v>
      </c>
    </row>
    <row r="637" spans="1:19" x14ac:dyDescent="0.2">
      <c r="A637" t="s">
        <v>1332</v>
      </c>
      <c r="B637" t="s">
        <v>1333</v>
      </c>
      <c r="C637" t="s">
        <v>122</v>
      </c>
      <c r="D637" t="s">
        <v>21</v>
      </c>
      <c r="E637" s="1">
        <v>45708</v>
      </c>
      <c r="F637" s="1">
        <v>45709</v>
      </c>
      <c r="G637" t="s">
        <v>50</v>
      </c>
      <c r="H637" t="s">
        <v>23</v>
      </c>
      <c r="I637" t="s">
        <v>37</v>
      </c>
      <c r="J637">
        <v>5</v>
      </c>
      <c r="K637" t="s">
        <v>103</v>
      </c>
      <c r="L637" t="s">
        <v>32</v>
      </c>
      <c r="M637" t="s">
        <v>27</v>
      </c>
      <c r="N637">
        <v>0.2</v>
      </c>
      <c r="O637" s="3">
        <v>6763.12</v>
      </c>
      <c r="P637">
        <v>0</v>
      </c>
      <c r="Q637">
        <v>3.5</v>
      </c>
      <c r="R637">
        <v>0.8</v>
      </c>
      <c r="S637" t="str">
        <f t="shared" si="9"/>
        <v>February</v>
      </c>
    </row>
    <row r="638" spans="1:19" x14ac:dyDescent="0.2">
      <c r="A638" t="s">
        <v>1334</v>
      </c>
      <c r="B638" t="s">
        <v>1335</v>
      </c>
      <c r="C638" t="s">
        <v>30</v>
      </c>
      <c r="D638" t="s">
        <v>35</v>
      </c>
      <c r="E638" s="1">
        <v>46001</v>
      </c>
      <c r="F638" s="1">
        <v>46002</v>
      </c>
      <c r="G638" t="s">
        <v>50</v>
      </c>
      <c r="H638" t="s">
        <v>23</v>
      </c>
      <c r="I638" t="s">
        <v>51</v>
      </c>
      <c r="J638">
        <v>8</v>
      </c>
      <c r="K638" t="s">
        <v>103</v>
      </c>
      <c r="L638" t="s">
        <v>26</v>
      </c>
      <c r="M638" t="s">
        <v>27</v>
      </c>
      <c r="N638">
        <v>0.7</v>
      </c>
      <c r="O638" s="3">
        <v>6763.12</v>
      </c>
      <c r="P638">
        <v>1</v>
      </c>
      <c r="Q638">
        <v>3.3</v>
      </c>
      <c r="R638">
        <v>0.79</v>
      </c>
      <c r="S638" t="str">
        <f t="shared" si="9"/>
        <v>December</v>
      </c>
    </row>
    <row r="639" spans="1:19" x14ac:dyDescent="0.2">
      <c r="A639" t="s">
        <v>1336</v>
      </c>
      <c r="B639" t="s">
        <v>1337</v>
      </c>
      <c r="C639" t="s">
        <v>58</v>
      </c>
      <c r="D639" t="s">
        <v>49</v>
      </c>
      <c r="E639" s="1">
        <v>45769</v>
      </c>
      <c r="F639" s="1">
        <v>45774</v>
      </c>
      <c r="G639" t="s">
        <v>71</v>
      </c>
      <c r="H639" t="s">
        <v>50</v>
      </c>
      <c r="I639" t="s">
        <v>31</v>
      </c>
      <c r="J639">
        <v>48</v>
      </c>
      <c r="K639" t="s">
        <v>25</v>
      </c>
      <c r="L639" t="s">
        <v>26</v>
      </c>
      <c r="M639" t="s">
        <v>82</v>
      </c>
      <c r="N639">
        <v>4.8</v>
      </c>
      <c r="O639" s="3">
        <v>6763.12</v>
      </c>
      <c r="P639">
        <v>0</v>
      </c>
      <c r="Q639">
        <v>3</v>
      </c>
      <c r="R639">
        <v>0.79</v>
      </c>
      <c r="S639" t="str">
        <f t="shared" si="9"/>
        <v>April</v>
      </c>
    </row>
    <row r="640" spans="1:19" x14ac:dyDescent="0.2">
      <c r="A640" t="s">
        <v>1338</v>
      </c>
      <c r="B640" t="s">
        <v>1339</v>
      </c>
      <c r="C640" t="s">
        <v>62</v>
      </c>
      <c r="D640" t="s">
        <v>49</v>
      </c>
      <c r="E640" s="1">
        <v>45739</v>
      </c>
      <c r="F640" s="1">
        <v>45744</v>
      </c>
      <c r="G640" t="s">
        <v>43</v>
      </c>
      <c r="H640" t="s">
        <v>50</v>
      </c>
      <c r="I640" t="s">
        <v>81</v>
      </c>
      <c r="J640">
        <v>90</v>
      </c>
      <c r="K640" t="s">
        <v>65</v>
      </c>
      <c r="L640" t="s">
        <v>26</v>
      </c>
      <c r="M640" t="s">
        <v>39</v>
      </c>
      <c r="N640">
        <v>4.4000000000000004</v>
      </c>
      <c r="O640" s="3">
        <v>6763.12</v>
      </c>
      <c r="P640">
        <v>0</v>
      </c>
      <c r="Q640">
        <v>4.3</v>
      </c>
      <c r="R640">
        <v>0.87</v>
      </c>
      <c r="S640" t="str">
        <f t="shared" si="9"/>
        <v>March</v>
      </c>
    </row>
    <row r="641" spans="1:19" x14ac:dyDescent="0.2">
      <c r="A641" t="s">
        <v>1340</v>
      </c>
      <c r="B641" t="s">
        <v>1341</v>
      </c>
      <c r="C641" t="s">
        <v>122</v>
      </c>
      <c r="D641" t="s">
        <v>21</v>
      </c>
      <c r="E641" s="1">
        <v>45859</v>
      </c>
      <c r="F641" s="1">
        <v>45860</v>
      </c>
      <c r="G641" t="s">
        <v>43</v>
      </c>
      <c r="H641" t="s">
        <v>23</v>
      </c>
      <c r="I641" t="s">
        <v>31</v>
      </c>
      <c r="J641">
        <v>3</v>
      </c>
      <c r="K641" t="s">
        <v>103</v>
      </c>
      <c r="L641" t="s">
        <v>32</v>
      </c>
      <c r="M641" t="s">
        <v>39</v>
      </c>
      <c r="N641">
        <v>0.2</v>
      </c>
      <c r="O641" s="3">
        <v>6763.12</v>
      </c>
      <c r="P641">
        <v>0</v>
      </c>
      <c r="Q641">
        <v>4.0999999999999996</v>
      </c>
      <c r="R641">
        <v>0.8</v>
      </c>
      <c r="S641" t="str">
        <f t="shared" si="9"/>
        <v>July</v>
      </c>
    </row>
    <row r="642" spans="1:19" x14ac:dyDescent="0.2">
      <c r="A642" t="s">
        <v>1342</v>
      </c>
      <c r="B642" t="s">
        <v>1343</v>
      </c>
      <c r="C642" t="s">
        <v>30</v>
      </c>
      <c r="D642" t="s">
        <v>42</v>
      </c>
      <c r="E642" s="1">
        <v>45813</v>
      </c>
      <c r="F642" s="1">
        <v>45814</v>
      </c>
      <c r="G642" t="s">
        <v>50</v>
      </c>
      <c r="H642" t="s">
        <v>50</v>
      </c>
      <c r="I642" t="s">
        <v>31</v>
      </c>
      <c r="J642">
        <v>41</v>
      </c>
      <c r="K642" t="s">
        <v>25</v>
      </c>
      <c r="L642" t="s">
        <v>26</v>
      </c>
      <c r="M642" t="s">
        <v>82</v>
      </c>
      <c r="N642">
        <v>0.3</v>
      </c>
      <c r="O642" s="3">
        <v>6763.12</v>
      </c>
      <c r="P642">
        <v>0</v>
      </c>
      <c r="Q642">
        <v>2.9</v>
      </c>
      <c r="R642">
        <v>0.78</v>
      </c>
      <c r="S642" t="str">
        <f t="shared" si="9"/>
        <v>June</v>
      </c>
    </row>
    <row r="643" spans="1:19" x14ac:dyDescent="0.2">
      <c r="A643" t="s">
        <v>1344</v>
      </c>
      <c r="B643" t="s">
        <v>1345</v>
      </c>
      <c r="C643" t="s">
        <v>62</v>
      </c>
      <c r="D643" t="s">
        <v>35</v>
      </c>
      <c r="E643" s="1">
        <v>45693</v>
      </c>
      <c r="F643" s="1">
        <v>45694</v>
      </c>
      <c r="G643" t="s">
        <v>22</v>
      </c>
      <c r="H643" t="s">
        <v>44</v>
      </c>
      <c r="I643" t="s">
        <v>51</v>
      </c>
      <c r="J643">
        <v>73</v>
      </c>
      <c r="K643" t="s">
        <v>169</v>
      </c>
      <c r="L643" t="s">
        <v>32</v>
      </c>
      <c r="M643" t="s">
        <v>82</v>
      </c>
      <c r="N643">
        <v>1</v>
      </c>
      <c r="O643" s="3">
        <v>6763.12</v>
      </c>
      <c r="P643">
        <v>1</v>
      </c>
      <c r="Q643">
        <v>3.8</v>
      </c>
      <c r="R643">
        <v>0.81</v>
      </c>
      <c r="S643" t="str">
        <f t="shared" ref="S643:S706" si="10">TEXT(E643, "mmmm")</f>
        <v>February</v>
      </c>
    </row>
    <row r="644" spans="1:19" x14ac:dyDescent="0.2">
      <c r="A644" t="s">
        <v>1346</v>
      </c>
      <c r="B644" t="s">
        <v>1347</v>
      </c>
      <c r="C644" t="s">
        <v>30</v>
      </c>
      <c r="D644" t="s">
        <v>35</v>
      </c>
      <c r="E644" s="1">
        <v>45956</v>
      </c>
      <c r="F644" s="1">
        <v>45959</v>
      </c>
      <c r="G644" t="s">
        <v>50</v>
      </c>
      <c r="H644" t="s">
        <v>23</v>
      </c>
      <c r="I644" t="s">
        <v>51</v>
      </c>
      <c r="J644">
        <v>26</v>
      </c>
      <c r="K644" t="s">
        <v>78</v>
      </c>
      <c r="L644" t="s">
        <v>26</v>
      </c>
      <c r="M644" t="s">
        <v>39</v>
      </c>
      <c r="N644">
        <v>2.1</v>
      </c>
      <c r="O644" s="3">
        <v>6763.12</v>
      </c>
      <c r="P644">
        <v>0</v>
      </c>
      <c r="Q644">
        <v>3.6</v>
      </c>
      <c r="R644">
        <v>0.89</v>
      </c>
      <c r="S644" t="str">
        <f t="shared" si="10"/>
        <v>October</v>
      </c>
    </row>
    <row r="645" spans="1:19" x14ac:dyDescent="0.2">
      <c r="A645" t="s">
        <v>1348</v>
      </c>
      <c r="B645" t="s">
        <v>1349</v>
      </c>
      <c r="C645" t="s">
        <v>122</v>
      </c>
      <c r="D645" t="s">
        <v>49</v>
      </c>
      <c r="E645" s="1">
        <v>45966</v>
      </c>
      <c r="F645" s="1">
        <v>45971</v>
      </c>
      <c r="G645" t="s">
        <v>116</v>
      </c>
      <c r="H645" t="s">
        <v>50</v>
      </c>
      <c r="I645" t="s">
        <v>117</v>
      </c>
      <c r="J645">
        <v>44</v>
      </c>
      <c r="K645" t="s">
        <v>25</v>
      </c>
      <c r="L645" t="s">
        <v>32</v>
      </c>
      <c r="M645" t="s">
        <v>39</v>
      </c>
      <c r="N645">
        <v>4.9000000000000004</v>
      </c>
      <c r="O645" s="3">
        <v>6763.12</v>
      </c>
      <c r="P645">
        <v>0</v>
      </c>
      <c r="Q645">
        <v>4</v>
      </c>
      <c r="R645">
        <v>0.75</v>
      </c>
      <c r="S645" t="str">
        <f t="shared" si="10"/>
        <v>November</v>
      </c>
    </row>
    <row r="646" spans="1:19" x14ac:dyDescent="0.2">
      <c r="A646" t="s">
        <v>1350</v>
      </c>
      <c r="B646" t="s">
        <v>1351</v>
      </c>
      <c r="C646" t="s">
        <v>58</v>
      </c>
      <c r="D646" t="s">
        <v>35</v>
      </c>
      <c r="E646" s="1">
        <v>45929</v>
      </c>
      <c r="F646" s="1">
        <v>45933</v>
      </c>
      <c r="G646" t="s">
        <v>99</v>
      </c>
      <c r="H646" t="s">
        <v>23</v>
      </c>
      <c r="I646" t="s">
        <v>81</v>
      </c>
      <c r="J646">
        <v>76</v>
      </c>
      <c r="K646" t="s">
        <v>65</v>
      </c>
      <c r="L646" t="s">
        <v>26</v>
      </c>
      <c r="M646" t="s">
        <v>39</v>
      </c>
      <c r="N646">
        <v>4</v>
      </c>
      <c r="O646" s="3">
        <v>6763.12</v>
      </c>
      <c r="P646">
        <v>0</v>
      </c>
      <c r="Q646">
        <v>3.3</v>
      </c>
      <c r="R646">
        <v>0.78</v>
      </c>
      <c r="S646" t="str">
        <f t="shared" si="10"/>
        <v>September</v>
      </c>
    </row>
    <row r="647" spans="1:19" x14ac:dyDescent="0.2">
      <c r="A647" t="s">
        <v>1352</v>
      </c>
      <c r="B647" t="s">
        <v>1353</v>
      </c>
      <c r="C647" t="s">
        <v>30</v>
      </c>
      <c r="D647" t="s">
        <v>35</v>
      </c>
      <c r="E647" s="1">
        <v>45883</v>
      </c>
      <c r="F647" s="1">
        <v>45888</v>
      </c>
      <c r="G647" t="s">
        <v>59</v>
      </c>
      <c r="H647" t="s">
        <v>44</v>
      </c>
      <c r="I647" t="s">
        <v>100</v>
      </c>
      <c r="J647">
        <v>66</v>
      </c>
      <c r="K647" t="s">
        <v>169</v>
      </c>
      <c r="L647" t="s">
        <v>32</v>
      </c>
      <c r="M647" t="s">
        <v>27</v>
      </c>
      <c r="N647">
        <v>4.4000000000000004</v>
      </c>
      <c r="O647" s="3">
        <v>6763.12</v>
      </c>
      <c r="P647">
        <v>0</v>
      </c>
      <c r="Q647">
        <v>3</v>
      </c>
      <c r="R647">
        <v>0.78</v>
      </c>
      <c r="S647" t="str">
        <f t="shared" si="10"/>
        <v>August</v>
      </c>
    </row>
    <row r="648" spans="1:19" x14ac:dyDescent="0.2">
      <c r="A648" t="s">
        <v>1354</v>
      </c>
      <c r="B648" t="s">
        <v>1355</v>
      </c>
      <c r="C648" t="s">
        <v>30</v>
      </c>
      <c r="D648" t="s">
        <v>21</v>
      </c>
      <c r="E648" s="1">
        <v>45804</v>
      </c>
      <c r="F648" s="1">
        <v>45811</v>
      </c>
      <c r="G648" t="s">
        <v>68</v>
      </c>
      <c r="H648" t="s">
        <v>50</v>
      </c>
      <c r="I648" t="s">
        <v>51</v>
      </c>
      <c r="J648">
        <v>26</v>
      </c>
      <c r="K648" t="s">
        <v>78</v>
      </c>
      <c r="L648" t="s">
        <v>32</v>
      </c>
      <c r="M648" t="s">
        <v>82</v>
      </c>
      <c r="N648">
        <v>6.2</v>
      </c>
      <c r="O648" s="3">
        <v>6763.12</v>
      </c>
      <c r="P648">
        <v>1</v>
      </c>
      <c r="Q648">
        <v>4.2</v>
      </c>
      <c r="R648">
        <v>0.86</v>
      </c>
      <c r="S648" t="str">
        <f t="shared" si="10"/>
        <v>May</v>
      </c>
    </row>
    <row r="649" spans="1:19" x14ac:dyDescent="0.2">
      <c r="A649" t="s">
        <v>1356</v>
      </c>
      <c r="B649" t="s">
        <v>1357</v>
      </c>
      <c r="C649" t="s">
        <v>30</v>
      </c>
      <c r="D649" t="s">
        <v>35</v>
      </c>
      <c r="E649" s="1">
        <v>45855</v>
      </c>
      <c r="F649" s="1">
        <v>45862</v>
      </c>
      <c r="G649" t="s">
        <v>59</v>
      </c>
      <c r="H649" t="s">
        <v>23</v>
      </c>
      <c r="I649" t="s">
        <v>100</v>
      </c>
      <c r="J649">
        <v>68</v>
      </c>
      <c r="K649" t="s">
        <v>169</v>
      </c>
      <c r="L649" t="s">
        <v>32</v>
      </c>
      <c r="M649" t="s">
        <v>27</v>
      </c>
      <c r="N649">
        <v>6.6</v>
      </c>
      <c r="O649" s="3">
        <v>6763.12</v>
      </c>
      <c r="P649">
        <v>0</v>
      </c>
      <c r="Q649">
        <v>2.9</v>
      </c>
      <c r="R649">
        <v>0.79</v>
      </c>
      <c r="S649" t="str">
        <f t="shared" si="10"/>
        <v>July</v>
      </c>
    </row>
    <row r="650" spans="1:19" x14ac:dyDescent="0.2">
      <c r="A650" t="s">
        <v>1358</v>
      </c>
      <c r="B650" t="s">
        <v>1359</v>
      </c>
      <c r="C650" t="s">
        <v>62</v>
      </c>
      <c r="D650" t="s">
        <v>35</v>
      </c>
      <c r="E650" s="1">
        <v>45848</v>
      </c>
      <c r="F650" s="1">
        <v>45858</v>
      </c>
      <c r="G650" t="s">
        <v>71</v>
      </c>
      <c r="H650" t="s">
        <v>44</v>
      </c>
      <c r="I650" t="s">
        <v>64</v>
      </c>
      <c r="J650">
        <v>61</v>
      </c>
      <c r="K650" t="s">
        <v>38</v>
      </c>
      <c r="L650" t="s">
        <v>32</v>
      </c>
      <c r="M650" t="s">
        <v>27</v>
      </c>
      <c r="N650">
        <v>9.5</v>
      </c>
      <c r="O650" s="3">
        <v>6763.12</v>
      </c>
      <c r="P650">
        <v>0</v>
      </c>
      <c r="Q650">
        <v>3.6</v>
      </c>
      <c r="R650">
        <v>0.8</v>
      </c>
      <c r="S650" t="str">
        <f t="shared" si="10"/>
        <v>July</v>
      </c>
    </row>
    <row r="651" spans="1:19" x14ac:dyDescent="0.2">
      <c r="A651" t="s">
        <v>1360</v>
      </c>
      <c r="B651" t="s">
        <v>1361</v>
      </c>
      <c r="C651" t="s">
        <v>122</v>
      </c>
      <c r="D651" t="s">
        <v>49</v>
      </c>
      <c r="E651" s="1">
        <v>45718</v>
      </c>
      <c r="F651" s="1">
        <v>45723</v>
      </c>
      <c r="G651" t="s">
        <v>43</v>
      </c>
      <c r="H651" t="s">
        <v>50</v>
      </c>
      <c r="I651" t="s">
        <v>24</v>
      </c>
      <c r="J651">
        <v>46</v>
      </c>
      <c r="K651" t="s">
        <v>25</v>
      </c>
      <c r="L651" t="s">
        <v>32</v>
      </c>
      <c r="M651" t="s">
        <v>82</v>
      </c>
      <c r="N651">
        <v>4.0999999999999996</v>
      </c>
      <c r="O651" s="3">
        <v>6763.12</v>
      </c>
      <c r="P651">
        <v>0</v>
      </c>
      <c r="Q651">
        <v>3.7</v>
      </c>
      <c r="R651">
        <v>0.75</v>
      </c>
      <c r="S651" t="str">
        <f t="shared" si="10"/>
        <v>March</v>
      </c>
    </row>
    <row r="652" spans="1:19" x14ac:dyDescent="0.2">
      <c r="A652" t="s">
        <v>1362</v>
      </c>
      <c r="B652" t="s">
        <v>1363</v>
      </c>
      <c r="C652" t="s">
        <v>58</v>
      </c>
      <c r="D652" t="s">
        <v>49</v>
      </c>
      <c r="E652" s="1">
        <v>45687</v>
      </c>
      <c r="F652" s="1">
        <v>45688</v>
      </c>
      <c r="G652" t="s">
        <v>99</v>
      </c>
      <c r="H652" t="s">
        <v>44</v>
      </c>
      <c r="I652" t="s">
        <v>37</v>
      </c>
      <c r="J652">
        <v>40</v>
      </c>
      <c r="K652" t="s">
        <v>25</v>
      </c>
      <c r="L652" t="s">
        <v>26</v>
      </c>
      <c r="M652" t="s">
        <v>27</v>
      </c>
      <c r="N652">
        <v>0.6</v>
      </c>
      <c r="O652" s="3">
        <v>6763.12</v>
      </c>
      <c r="P652">
        <v>1</v>
      </c>
      <c r="Q652">
        <v>3.8</v>
      </c>
      <c r="R652">
        <v>0.73</v>
      </c>
      <c r="S652" t="str">
        <f t="shared" si="10"/>
        <v>January</v>
      </c>
    </row>
    <row r="653" spans="1:19" x14ac:dyDescent="0.2">
      <c r="A653" t="s">
        <v>1364</v>
      </c>
      <c r="B653" t="s">
        <v>1365</v>
      </c>
      <c r="C653" t="s">
        <v>62</v>
      </c>
      <c r="D653" t="s">
        <v>42</v>
      </c>
      <c r="E653" s="1">
        <v>45750</v>
      </c>
      <c r="F653" s="1">
        <v>45751</v>
      </c>
      <c r="G653" t="s">
        <v>36</v>
      </c>
      <c r="H653" t="s">
        <v>50</v>
      </c>
      <c r="I653" t="s">
        <v>64</v>
      </c>
      <c r="J653">
        <v>84</v>
      </c>
      <c r="K653" t="s">
        <v>65</v>
      </c>
      <c r="L653" t="s">
        <v>26</v>
      </c>
      <c r="M653" t="s">
        <v>27</v>
      </c>
      <c r="N653">
        <v>0.2</v>
      </c>
      <c r="O653" s="3">
        <v>6763.12</v>
      </c>
      <c r="P653">
        <v>0</v>
      </c>
      <c r="Q653">
        <v>4.0999999999999996</v>
      </c>
      <c r="R653">
        <v>0.86</v>
      </c>
      <c r="S653" t="str">
        <f t="shared" si="10"/>
        <v>April</v>
      </c>
    </row>
    <row r="654" spans="1:19" x14ac:dyDescent="0.2">
      <c r="A654" t="s">
        <v>1366</v>
      </c>
      <c r="B654" t="s">
        <v>1367</v>
      </c>
      <c r="C654" t="s">
        <v>58</v>
      </c>
      <c r="D654" t="s">
        <v>49</v>
      </c>
      <c r="E654" s="1">
        <v>45823</v>
      </c>
      <c r="F654" s="1">
        <v>45826</v>
      </c>
      <c r="G654" t="s">
        <v>63</v>
      </c>
      <c r="H654" t="s">
        <v>23</v>
      </c>
      <c r="I654" t="s">
        <v>117</v>
      </c>
      <c r="J654">
        <v>79</v>
      </c>
      <c r="K654" t="s">
        <v>65</v>
      </c>
      <c r="L654" t="s">
        <v>32</v>
      </c>
      <c r="M654" t="s">
        <v>27</v>
      </c>
      <c r="N654">
        <v>2.4</v>
      </c>
      <c r="O654" s="3">
        <v>6763.12</v>
      </c>
      <c r="P654">
        <v>0</v>
      </c>
      <c r="Q654">
        <v>4.9000000000000004</v>
      </c>
      <c r="R654">
        <v>0.75</v>
      </c>
      <c r="S654" t="str">
        <f t="shared" si="10"/>
        <v>June</v>
      </c>
    </row>
    <row r="655" spans="1:19" x14ac:dyDescent="0.2">
      <c r="A655" t="s">
        <v>1368</v>
      </c>
      <c r="B655" t="s">
        <v>1369</v>
      </c>
      <c r="C655" t="s">
        <v>20</v>
      </c>
      <c r="D655" t="s">
        <v>21</v>
      </c>
      <c r="E655" s="1">
        <v>45716</v>
      </c>
      <c r="F655" s="1">
        <v>45721</v>
      </c>
      <c r="G655" t="s">
        <v>43</v>
      </c>
      <c r="H655" t="s">
        <v>23</v>
      </c>
      <c r="I655" t="s">
        <v>31</v>
      </c>
      <c r="J655">
        <v>90</v>
      </c>
      <c r="K655" t="s">
        <v>65</v>
      </c>
      <c r="L655" t="s">
        <v>26</v>
      </c>
      <c r="M655" t="s">
        <v>39</v>
      </c>
      <c r="N655">
        <v>5</v>
      </c>
      <c r="O655" s="3">
        <v>6763.12</v>
      </c>
      <c r="P655">
        <v>1</v>
      </c>
      <c r="Q655">
        <v>2.9</v>
      </c>
      <c r="R655">
        <v>0.76</v>
      </c>
      <c r="S655" t="str">
        <f t="shared" si="10"/>
        <v>February</v>
      </c>
    </row>
    <row r="656" spans="1:19" x14ac:dyDescent="0.2">
      <c r="A656" t="s">
        <v>1370</v>
      </c>
      <c r="B656" t="s">
        <v>1371</v>
      </c>
      <c r="C656" t="s">
        <v>20</v>
      </c>
      <c r="D656" t="s">
        <v>35</v>
      </c>
      <c r="E656" s="1">
        <v>45696</v>
      </c>
      <c r="F656" s="1">
        <v>45698</v>
      </c>
      <c r="G656" t="s">
        <v>36</v>
      </c>
      <c r="H656" t="s">
        <v>23</v>
      </c>
      <c r="I656" t="s">
        <v>81</v>
      </c>
      <c r="J656">
        <v>61</v>
      </c>
      <c r="K656" t="s">
        <v>38</v>
      </c>
      <c r="L656" t="s">
        <v>26</v>
      </c>
      <c r="M656" t="s">
        <v>82</v>
      </c>
      <c r="N656">
        <v>2</v>
      </c>
      <c r="O656" s="3">
        <v>6763.12</v>
      </c>
      <c r="P656">
        <v>0</v>
      </c>
      <c r="Q656">
        <v>4.4000000000000004</v>
      </c>
      <c r="R656">
        <v>0.8</v>
      </c>
      <c r="S656" t="str">
        <f t="shared" si="10"/>
        <v>February</v>
      </c>
    </row>
    <row r="657" spans="1:19" x14ac:dyDescent="0.2">
      <c r="A657" t="s">
        <v>1372</v>
      </c>
      <c r="B657" t="s">
        <v>1373</v>
      </c>
      <c r="C657" t="s">
        <v>122</v>
      </c>
      <c r="D657" t="s">
        <v>42</v>
      </c>
      <c r="E657" s="1">
        <v>45968</v>
      </c>
      <c r="F657" s="1">
        <v>45974</v>
      </c>
      <c r="G657" t="s">
        <v>116</v>
      </c>
      <c r="H657" t="s">
        <v>50</v>
      </c>
      <c r="I657" t="s">
        <v>64</v>
      </c>
      <c r="J657">
        <v>32</v>
      </c>
      <c r="K657" t="s">
        <v>78</v>
      </c>
      <c r="L657" t="s">
        <v>26</v>
      </c>
      <c r="M657" t="s">
        <v>27</v>
      </c>
      <c r="N657">
        <v>5.9</v>
      </c>
      <c r="O657" s="3">
        <v>6763.12</v>
      </c>
      <c r="P657">
        <v>1</v>
      </c>
      <c r="Q657">
        <v>2.4</v>
      </c>
      <c r="R657">
        <v>0.73</v>
      </c>
      <c r="S657" t="str">
        <f t="shared" si="10"/>
        <v>November</v>
      </c>
    </row>
    <row r="658" spans="1:19" x14ac:dyDescent="0.2">
      <c r="A658" t="s">
        <v>1374</v>
      </c>
      <c r="B658" t="s">
        <v>1375</v>
      </c>
      <c r="C658" t="s">
        <v>20</v>
      </c>
      <c r="D658" t="s">
        <v>35</v>
      </c>
      <c r="E658" s="1">
        <v>45794</v>
      </c>
      <c r="F658" s="1">
        <v>45800</v>
      </c>
      <c r="G658" t="s">
        <v>99</v>
      </c>
      <c r="H658" t="s">
        <v>23</v>
      </c>
      <c r="I658" t="s">
        <v>31</v>
      </c>
      <c r="J658">
        <v>9</v>
      </c>
      <c r="K658" t="s">
        <v>103</v>
      </c>
      <c r="L658" t="s">
        <v>32</v>
      </c>
      <c r="M658" t="s">
        <v>27</v>
      </c>
      <c r="N658">
        <v>5.3</v>
      </c>
      <c r="O658" s="3">
        <v>6763.12</v>
      </c>
      <c r="P658">
        <v>0</v>
      </c>
      <c r="Q658">
        <v>4.7</v>
      </c>
      <c r="R658">
        <v>0.83</v>
      </c>
      <c r="S658" t="str">
        <f t="shared" si="10"/>
        <v>May</v>
      </c>
    </row>
    <row r="659" spans="1:19" x14ac:dyDescent="0.2">
      <c r="A659" t="s">
        <v>1376</v>
      </c>
      <c r="B659" t="s">
        <v>1377</v>
      </c>
      <c r="C659" t="s">
        <v>62</v>
      </c>
      <c r="D659" t="s">
        <v>35</v>
      </c>
      <c r="E659" s="1">
        <v>45871</v>
      </c>
      <c r="F659" s="1">
        <v>45878</v>
      </c>
      <c r="G659" t="s">
        <v>68</v>
      </c>
      <c r="H659" t="s">
        <v>50</v>
      </c>
      <c r="I659" t="s">
        <v>55</v>
      </c>
      <c r="J659">
        <v>11</v>
      </c>
      <c r="K659" t="s">
        <v>103</v>
      </c>
      <c r="L659" t="s">
        <v>32</v>
      </c>
      <c r="M659" t="s">
        <v>39</v>
      </c>
      <c r="N659">
        <v>6.6</v>
      </c>
      <c r="O659" s="3">
        <v>6763.12</v>
      </c>
      <c r="P659">
        <v>0</v>
      </c>
      <c r="Q659">
        <v>2.7</v>
      </c>
      <c r="R659">
        <v>0.87</v>
      </c>
      <c r="S659" t="str">
        <f t="shared" si="10"/>
        <v>August</v>
      </c>
    </row>
    <row r="660" spans="1:19" x14ac:dyDescent="0.2">
      <c r="A660" t="s">
        <v>1378</v>
      </c>
      <c r="B660" t="s">
        <v>1379</v>
      </c>
      <c r="C660" t="s">
        <v>62</v>
      </c>
      <c r="D660" t="s">
        <v>42</v>
      </c>
      <c r="E660" s="1">
        <v>45849</v>
      </c>
      <c r="F660" s="1">
        <v>45852</v>
      </c>
      <c r="G660" t="s">
        <v>99</v>
      </c>
      <c r="H660" t="s">
        <v>50</v>
      </c>
      <c r="I660" t="s">
        <v>31</v>
      </c>
      <c r="J660">
        <v>86</v>
      </c>
      <c r="K660" t="s">
        <v>65</v>
      </c>
      <c r="L660" t="s">
        <v>26</v>
      </c>
      <c r="M660" t="s">
        <v>52</v>
      </c>
      <c r="N660">
        <v>2.4</v>
      </c>
      <c r="O660" s="3">
        <v>6763.12</v>
      </c>
      <c r="P660">
        <v>0</v>
      </c>
      <c r="Q660">
        <v>5</v>
      </c>
      <c r="R660">
        <v>0.84</v>
      </c>
      <c r="S660" t="str">
        <f t="shared" si="10"/>
        <v>July</v>
      </c>
    </row>
    <row r="661" spans="1:19" x14ac:dyDescent="0.2">
      <c r="A661" t="s">
        <v>1380</v>
      </c>
      <c r="B661" t="s">
        <v>1381</v>
      </c>
      <c r="C661" t="s">
        <v>20</v>
      </c>
      <c r="D661" t="s">
        <v>49</v>
      </c>
      <c r="E661" s="1">
        <v>45926</v>
      </c>
      <c r="F661" s="1">
        <v>45928</v>
      </c>
      <c r="G661" t="s">
        <v>68</v>
      </c>
      <c r="H661" t="s">
        <v>50</v>
      </c>
      <c r="I661" t="s">
        <v>37</v>
      </c>
      <c r="J661">
        <v>33</v>
      </c>
      <c r="K661" t="s">
        <v>78</v>
      </c>
      <c r="L661" t="s">
        <v>32</v>
      </c>
      <c r="M661" t="s">
        <v>27</v>
      </c>
      <c r="N661">
        <v>1.1000000000000001</v>
      </c>
      <c r="O661" s="3">
        <v>6763.12</v>
      </c>
      <c r="P661">
        <v>0</v>
      </c>
      <c r="Q661">
        <v>3.7</v>
      </c>
      <c r="R661">
        <v>0.81</v>
      </c>
      <c r="S661" t="str">
        <f t="shared" si="10"/>
        <v>September</v>
      </c>
    </row>
    <row r="662" spans="1:19" x14ac:dyDescent="0.2">
      <c r="A662" t="s">
        <v>1382</v>
      </c>
      <c r="B662" t="s">
        <v>1383</v>
      </c>
      <c r="C662" t="s">
        <v>122</v>
      </c>
      <c r="D662" t="s">
        <v>49</v>
      </c>
      <c r="E662" s="1">
        <v>45928</v>
      </c>
      <c r="F662" s="1">
        <v>45929</v>
      </c>
      <c r="G662" t="s">
        <v>22</v>
      </c>
      <c r="H662" t="s">
        <v>23</v>
      </c>
      <c r="I662" t="s">
        <v>55</v>
      </c>
      <c r="J662">
        <v>10</v>
      </c>
      <c r="K662" t="s">
        <v>103</v>
      </c>
      <c r="L662" t="s">
        <v>32</v>
      </c>
      <c r="M662" t="s">
        <v>52</v>
      </c>
      <c r="N662">
        <v>0.7</v>
      </c>
      <c r="O662" s="3">
        <v>6763.12</v>
      </c>
      <c r="P662">
        <v>0</v>
      </c>
      <c r="Q662">
        <v>4.7</v>
      </c>
      <c r="R662">
        <v>0.85</v>
      </c>
      <c r="S662" t="str">
        <f t="shared" si="10"/>
        <v>September</v>
      </c>
    </row>
    <row r="663" spans="1:19" x14ac:dyDescent="0.2">
      <c r="A663" t="s">
        <v>1384</v>
      </c>
      <c r="B663" t="s">
        <v>1385</v>
      </c>
      <c r="C663" t="s">
        <v>62</v>
      </c>
      <c r="D663" t="s">
        <v>35</v>
      </c>
      <c r="E663" s="1">
        <v>45766</v>
      </c>
      <c r="F663" s="1">
        <v>45770</v>
      </c>
      <c r="G663" t="s">
        <v>116</v>
      </c>
      <c r="H663" t="s">
        <v>50</v>
      </c>
      <c r="I663" t="s">
        <v>37</v>
      </c>
      <c r="J663">
        <v>20</v>
      </c>
      <c r="K663" t="s">
        <v>78</v>
      </c>
      <c r="L663" t="s">
        <v>26</v>
      </c>
      <c r="M663" t="s">
        <v>82</v>
      </c>
      <c r="N663">
        <v>3.4</v>
      </c>
      <c r="O663" s="3">
        <v>6763.12</v>
      </c>
      <c r="P663">
        <v>0</v>
      </c>
      <c r="Q663">
        <v>4.5999999999999996</v>
      </c>
      <c r="R663">
        <v>0.83</v>
      </c>
      <c r="S663" t="str">
        <f t="shared" si="10"/>
        <v>April</v>
      </c>
    </row>
    <row r="664" spans="1:19" x14ac:dyDescent="0.2">
      <c r="A664" t="s">
        <v>1386</v>
      </c>
      <c r="B664" t="s">
        <v>1387</v>
      </c>
      <c r="C664" t="s">
        <v>30</v>
      </c>
      <c r="D664" t="s">
        <v>35</v>
      </c>
      <c r="E664" s="1">
        <v>45967</v>
      </c>
      <c r="F664" s="1">
        <v>45968</v>
      </c>
      <c r="G664" t="s">
        <v>116</v>
      </c>
      <c r="H664" t="s">
        <v>50</v>
      </c>
      <c r="I664" t="s">
        <v>37</v>
      </c>
      <c r="J664">
        <v>1</v>
      </c>
      <c r="K664" t="s">
        <v>103</v>
      </c>
      <c r="L664" t="s">
        <v>32</v>
      </c>
      <c r="M664" t="s">
        <v>27</v>
      </c>
      <c r="N664">
        <v>0.4</v>
      </c>
      <c r="O664" s="3">
        <v>6763.12</v>
      </c>
      <c r="P664">
        <v>0</v>
      </c>
      <c r="Q664">
        <v>3.6</v>
      </c>
      <c r="R664">
        <v>0.78</v>
      </c>
      <c r="S664" t="str">
        <f t="shared" si="10"/>
        <v>November</v>
      </c>
    </row>
    <row r="665" spans="1:19" x14ac:dyDescent="0.2">
      <c r="A665" t="s">
        <v>1388</v>
      </c>
      <c r="B665" t="s">
        <v>1389</v>
      </c>
      <c r="C665" t="s">
        <v>62</v>
      </c>
      <c r="D665" t="s">
        <v>21</v>
      </c>
      <c r="E665" s="1">
        <v>45793</v>
      </c>
      <c r="F665" s="1">
        <v>45794</v>
      </c>
      <c r="G665" t="s">
        <v>22</v>
      </c>
      <c r="H665" t="s">
        <v>44</v>
      </c>
      <c r="I665" t="s">
        <v>117</v>
      </c>
      <c r="J665">
        <v>48</v>
      </c>
      <c r="K665" t="s">
        <v>25</v>
      </c>
      <c r="L665" t="s">
        <v>26</v>
      </c>
      <c r="M665" t="s">
        <v>82</v>
      </c>
      <c r="N665">
        <v>0.4</v>
      </c>
      <c r="O665" s="3">
        <v>6763.12</v>
      </c>
      <c r="P665">
        <v>0</v>
      </c>
      <c r="Q665">
        <v>3.7</v>
      </c>
      <c r="R665">
        <v>0.86</v>
      </c>
      <c r="S665" t="str">
        <f t="shared" si="10"/>
        <v>May</v>
      </c>
    </row>
    <row r="666" spans="1:19" x14ac:dyDescent="0.2">
      <c r="A666" t="s">
        <v>1390</v>
      </c>
      <c r="B666" t="s">
        <v>1391</v>
      </c>
      <c r="C666" t="s">
        <v>122</v>
      </c>
      <c r="D666" t="s">
        <v>49</v>
      </c>
      <c r="E666" s="1">
        <v>45962</v>
      </c>
      <c r="F666" s="1">
        <v>45966</v>
      </c>
      <c r="G666" t="s">
        <v>59</v>
      </c>
      <c r="H666" t="s">
        <v>50</v>
      </c>
      <c r="I666" t="s">
        <v>37</v>
      </c>
      <c r="J666">
        <v>53</v>
      </c>
      <c r="K666" t="s">
        <v>38</v>
      </c>
      <c r="L666" t="s">
        <v>32</v>
      </c>
      <c r="M666" t="s">
        <v>39</v>
      </c>
      <c r="N666">
        <v>3.5</v>
      </c>
      <c r="O666" s="3">
        <v>6763.12</v>
      </c>
      <c r="P666">
        <v>0</v>
      </c>
      <c r="Q666">
        <v>3.3</v>
      </c>
      <c r="R666">
        <v>0.73</v>
      </c>
      <c r="S666" t="str">
        <f t="shared" si="10"/>
        <v>November</v>
      </c>
    </row>
    <row r="667" spans="1:19" x14ac:dyDescent="0.2">
      <c r="A667" t="s">
        <v>1392</v>
      </c>
      <c r="B667" t="s">
        <v>1393</v>
      </c>
      <c r="C667" t="s">
        <v>58</v>
      </c>
      <c r="D667" t="s">
        <v>21</v>
      </c>
      <c r="E667" s="1">
        <v>45805</v>
      </c>
      <c r="F667" s="1">
        <v>45810</v>
      </c>
      <c r="G667" t="s">
        <v>36</v>
      </c>
      <c r="H667" t="s">
        <v>50</v>
      </c>
      <c r="I667" t="s">
        <v>51</v>
      </c>
      <c r="J667">
        <v>34</v>
      </c>
      <c r="K667" t="s">
        <v>78</v>
      </c>
      <c r="L667" t="s">
        <v>26</v>
      </c>
      <c r="M667" t="s">
        <v>39</v>
      </c>
      <c r="N667">
        <v>4.0999999999999996</v>
      </c>
      <c r="O667" s="3">
        <v>6763.12</v>
      </c>
      <c r="P667">
        <v>0</v>
      </c>
      <c r="Q667">
        <v>4.4000000000000004</v>
      </c>
      <c r="R667">
        <v>0.74</v>
      </c>
      <c r="S667" t="str">
        <f t="shared" si="10"/>
        <v>May</v>
      </c>
    </row>
    <row r="668" spans="1:19" x14ac:dyDescent="0.2">
      <c r="A668" t="s">
        <v>1394</v>
      </c>
      <c r="B668" t="s">
        <v>1395</v>
      </c>
      <c r="C668" t="s">
        <v>62</v>
      </c>
      <c r="D668" t="s">
        <v>35</v>
      </c>
      <c r="E668" s="1">
        <v>45698</v>
      </c>
      <c r="F668" s="1">
        <v>45700</v>
      </c>
      <c r="G668" t="s">
        <v>116</v>
      </c>
      <c r="H668" t="s">
        <v>50</v>
      </c>
      <c r="I668" t="s">
        <v>117</v>
      </c>
      <c r="J668">
        <v>67</v>
      </c>
      <c r="K668" t="s">
        <v>169</v>
      </c>
      <c r="L668" t="s">
        <v>26</v>
      </c>
      <c r="M668" t="s">
        <v>39</v>
      </c>
      <c r="N668">
        <v>1.1000000000000001</v>
      </c>
      <c r="O668" s="3">
        <v>6763.12</v>
      </c>
      <c r="P668">
        <v>1</v>
      </c>
      <c r="Q668">
        <v>3.6</v>
      </c>
      <c r="R668">
        <v>0.82</v>
      </c>
      <c r="S668" t="str">
        <f t="shared" si="10"/>
        <v>February</v>
      </c>
    </row>
    <row r="669" spans="1:19" x14ac:dyDescent="0.2">
      <c r="A669" t="s">
        <v>1396</v>
      </c>
      <c r="B669" t="s">
        <v>1397</v>
      </c>
      <c r="C669" t="s">
        <v>20</v>
      </c>
      <c r="D669" t="s">
        <v>35</v>
      </c>
      <c r="E669" s="1">
        <v>45935</v>
      </c>
      <c r="F669" s="1">
        <v>45943</v>
      </c>
      <c r="G669" t="s">
        <v>99</v>
      </c>
      <c r="H669" t="s">
        <v>50</v>
      </c>
      <c r="I669" t="s">
        <v>31</v>
      </c>
      <c r="J669">
        <v>43</v>
      </c>
      <c r="K669" t="s">
        <v>25</v>
      </c>
      <c r="L669" t="s">
        <v>26</v>
      </c>
      <c r="M669" t="s">
        <v>82</v>
      </c>
      <c r="N669">
        <v>7.2</v>
      </c>
      <c r="O669" s="3">
        <v>6763.12</v>
      </c>
      <c r="P669">
        <v>0</v>
      </c>
      <c r="Q669">
        <v>3.2</v>
      </c>
      <c r="R669">
        <v>0.77</v>
      </c>
      <c r="S669" t="str">
        <f t="shared" si="10"/>
        <v>October</v>
      </c>
    </row>
    <row r="670" spans="1:19" x14ac:dyDescent="0.2">
      <c r="A670" t="s">
        <v>1398</v>
      </c>
      <c r="B670" t="s">
        <v>1399</v>
      </c>
      <c r="C670" t="s">
        <v>30</v>
      </c>
      <c r="D670" t="s">
        <v>49</v>
      </c>
      <c r="E670" s="1">
        <v>45669</v>
      </c>
      <c r="F670" s="1">
        <v>45674</v>
      </c>
      <c r="G670" t="s">
        <v>22</v>
      </c>
      <c r="H670" t="s">
        <v>23</v>
      </c>
      <c r="I670" t="s">
        <v>45</v>
      </c>
      <c r="J670">
        <v>87</v>
      </c>
      <c r="K670" t="s">
        <v>65</v>
      </c>
      <c r="L670" t="s">
        <v>26</v>
      </c>
      <c r="M670" t="s">
        <v>82</v>
      </c>
      <c r="N670">
        <v>4.7</v>
      </c>
      <c r="O670" s="3">
        <v>6763.12</v>
      </c>
      <c r="P670">
        <v>1</v>
      </c>
      <c r="Q670">
        <v>4.2</v>
      </c>
      <c r="R670">
        <v>0.81</v>
      </c>
      <c r="S670" t="str">
        <f t="shared" si="10"/>
        <v>January</v>
      </c>
    </row>
    <row r="671" spans="1:19" x14ac:dyDescent="0.2">
      <c r="A671" t="s">
        <v>1400</v>
      </c>
      <c r="B671" t="s">
        <v>1401</v>
      </c>
      <c r="C671" t="s">
        <v>62</v>
      </c>
      <c r="D671" t="s">
        <v>49</v>
      </c>
      <c r="E671" s="1">
        <v>45939</v>
      </c>
      <c r="F671" s="1">
        <v>45940</v>
      </c>
      <c r="G671" t="s">
        <v>36</v>
      </c>
      <c r="H671" t="s">
        <v>50</v>
      </c>
      <c r="I671" t="s">
        <v>37</v>
      </c>
      <c r="J671">
        <v>69</v>
      </c>
      <c r="K671" t="s">
        <v>169</v>
      </c>
      <c r="L671" t="s">
        <v>26</v>
      </c>
      <c r="M671" t="s">
        <v>82</v>
      </c>
      <c r="N671">
        <v>0.2</v>
      </c>
      <c r="O671" s="3">
        <v>6763.12</v>
      </c>
      <c r="P671">
        <v>0</v>
      </c>
      <c r="Q671">
        <v>3.4</v>
      </c>
      <c r="R671">
        <v>0.88</v>
      </c>
      <c r="S671" t="str">
        <f t="shared" si="10"/>
        <v>October</v>
      </c>
    </row>
    <row r="672" spans="1:19" x14ac:dyDescent="0.2">
      <c r="A672" t="s">
        <v>1402</v>
      </c>
      <c r="B672" t="s">
        <v>1403</v>
      </c>
      <c r="C672" t="s">
        <v>122</v>
      </c>
      <c r="D672" t="s">
        <v>35</v>
      </c>
      <c r="E672" s="1">
        <v>45673</v>
      </c>
      <c r="F672" s="1">
        <v>45677</v>
      </c>
      <c r="G672" t="s">
        <v>68</v>
      </c>
      <c r="H672" t="s">
        <v>50</v>
      </c>
      <c r="I672" t="s">
        <v>55</v>
      </c>
      <c r="J672">
        <v>6</v>
      </c>
      <c r="K672" t="s">
        <v>103</v>
      </c>
      <c r="L672" t="s">
        <v>32</v>
      </c>
      <c r="M672" t="s">
        <v>52</v>
      </c>
      <c r="N672">
        <v>3.8</v>
      </c>
      <c r="O672" s="3">
        <v>6763.12</v>
      </c>
      <c r="P672">
        <v>0</v>
      </c>
      <c r="Q672">
        <v>3.7</v>
      </c>
      <c r="R672">
        <v>0.82</v>
      </c>
      <c r="S672" t="str">
        <f t="shared" si="10"/>
        <v>January</v>
      </c>
    </row>
    <row r="673" spans="1:19" x14ac:dyDescent="0.2">
      <c r="A673" t="s">
        <v>1404</v>
      </c>
      <c r="B673" t="s">
        <v>1405</v>
      </c>
      <c r="C673" t="s">
        <v>122</v>
      </c>
      <c r="D673" t="s">
        <v>35</v>
      </c>
      <c r="E673" s="1">
        <v>45733</v>
      </c>
      <c r="F673" s="1">
        <v>45736</v>
      </c>
      <c r="G673" t="s">
        <v>71</v>
      </c>
      <c r="H673" t="s">
        <v>44</v>
      </c>
      <c r="I673" t="s">
        <v>37</v>
      </c>
      <c r="J673">
        <v>24</v>
      </c>
      <c r="K673" t="s">
        <v>78</v>
      </c>
      <c r="L673" t="s">
        <v>26</v>
      </c>
      <c r="M673" t="s">
        <v>39</v>
      </c>
      <c r="N673">
        <v>2.7</v>
      </c>
      <c r="O673" s="3">
        <v>6763.12</v>
      </c>
      <c r="P673">
        <v>0</v>
      </c>
      <c r="Q673">
        <v>4</v>
      </c>
      <c r="R673">
        <v>0.82</v>
      </c>
      <c r="S673" t="str">
        <f t="shared" si="10"/>
        <v>March</v>
      </c>
    </row>
    <row r="674" spans="1:19" x14ac:dyDescent="0.2">
      <c r="A674" t="s">
        <v>1406</v>
      </c>
      <c r="B674" t="s">
        <v>1407</v>
      </c>
      <c r="C674" t="s">
        <v>20</v>
      </c>
      <c r="D674" t="s">
        <v>35</v>
      </c>
      <c r="E674" s="1">
        <v>45878</v>
      </c>
      <c r="F674" s="1">
        <v>45882</v>
      </c>
      <c r="G674" t="s">
        <v>116</v>
      </c>
      <c r="H674" t="s">
        <v>23</v>
      </c>
      <c r="I674" t="s">
        <v>81</v>
      </c>
      <c r="J674">
        <v>68</v>
      </c>
      <c r="K674" t="s">
        <v>169</v>
      </c>
      <c r="L674" t="s">
        <v>26</v>
      </c>
      <c r="M674" t="s">
        <v>82</v>
      </c>
      <c r="N674">
        <v>4</v>
      </c>
      <c r="O674" s="3">
        <v>6763.12</v>
      </c>
      <c r="P674">
        <v>0</v>
      </c>
      <c r="Q674">
        <v>3.5</v>
      </c>
      <c r="R674">
        <v>0.81</v>
      </c>
      <c r="S674" t="str">
        <f t="shared" si="10"/>
        <v>August</v>
      </c>
    </row>
    <row r="675" spans="1:19" x14ac:dyDescent="0.2">
      <c r="A675" t="s">
        <v>1408</v>
      </c>
      <c r="B675" t="s">
        <v>1409</v>
      </c>
      <c r="C675" t="s">
        <v>20</v>
      </c>
      <c r="D675" t="s">
        <v>35</v>
      </c>
      <c r="E675" s="1">
        <v>46001</v>
      </c>
      <c r="F675" s="1">
        <v>46004</v>
      </c>
      <c r="G675" t="s">
        <v>116</v>
      </c>
      <c r="H675" t="s">
        <v>23</v>
      </c>
      <c r="I675" t="s">
        <v>31</v>
      </c>
      <c r="J675">
        <v>48</v>
      </c>
      <c r="K675" t="s">
        <v>25</v>
      </c>
      <c r="L675" t="s">
        <v>32</v>
      </c>
      <c r="M675" t="s">
        <v>82</v>
      </c>
      <c r="N675">
        <v>3</v>
      </c>
      <c r="O675" s="3">
        <v>6763.12</v>
      </c>
      <c r="P675">
        <v>0</v>
      </c>
      <c r="Q675">
        <v>3.6</v>
      </c>
      <c r="R675">
        <v>0.79</v>
      </c>
      <c r="S675" t="str">
        <f t="shared" si="10"/>
        <v>December</v>
      </c>
    </row>
    <row r="676" spans="1:19" x14ac:dyDescent="0.2">
      <c r="A676" t="s">
        <v>1410</v>
      </c>
      <c r="B676" t="s">
        <v>1411</v>
      </c>
      <c r="C676" t="s">
        <v>58</v>
      </c>
      <c r="D676" t="s">
        <v>49</v>
      </c>
      <c r="E676" s="1">
        <v>45807</v>
      </c>
      <c r="F676" s="1">
        <v>45811</v>
      </c>
      <c r="G676" t="s">
        <v>36</v>
      </c>
      <c r="H676" t="s">
        <v>44</v>
      </c>
      <c r="I676" t="s">
        <v>55</v>
      </c>
      <c r="J676">
        <v>68</v>
      </c>
      <c r="K676" t="s">
        <v>169</v>
      </c>
      <c r="L676" t="s">
        <v>32</v>
      </c>
      <c r="M676" t="s">
        <v>27</v>
      </c>
      <c r="N676">
        <v>3.8</v>
      </c>
      <c r="O676" s="3">
        <v>6763.12</v>
      </c>
      <c r="P676">
        <v>0</v>
      </c>
      <c r="Q676">
        <v>4.8</v>
      </c>
      <c r="R676">
        <v>0.66</v>
      </c>
      <c r="S676" t="str">
        <f t="shared" si="10"/>
        <v>May</v>
      </c>
    </row>
    <row r="677" spans="1:19" x14ac:dyDescent="0.2">
      <c r="A677" t="s">
        <v>1412</v>
      </c>
      <c r="B677" t="s">
        <v>1413</v>
      </c>
      <c r="C677" t="s">
        <v>30</v>
      </c>
      <c r="D677" t="s">
        <v>35</v>
      </c>
      <c r="E677" s="1">
        <v>45702</v>
      </c>
      <c r="F677" s="1">
        <v>45705</v>
      </c>
      <c r="G677" t="s">
        <v>43</v>
      </c>
      <c r="H677" t="s">
        <v>44</v>
      </c>
      <c r="I677" t="s">
        <v>31</v>
      </c>
      <c r="J677">
        <v>30</v>
      </c>
      <c r="K677" t="s">
        <v>78</v>
      </c>
      <c r="L677" t="s">
        <v>32</v>
      </c>
      <c r="M677" t="s">
        <v>27</v>
      </c>
      <c r="N677">
        <v>2.6</v>
      </c>
      <c r="O677" s="3">
        <v>6763.12</v>
      </c>
      <c r="P677">
        <v>0</v>
      </c>
      <c r="Q677">
        <v>3.8</v>
      </c>
      <c r="R677">
        <v>0.83</v>
      </c>
      <c r="S677" t="str">
        <f t="shared" si="10"/>
        <v>February</v>
      </c>
    </row>
    <row r="678" spans="1:19" x14ac:dyDescent="0.2">
      <c r="A678" t="s">
        <v>1414</v>
      </c>
      <c r="B678" t="s">
        <v>1415</v>
      </c>
      <c r="C678" t="s">
        <v>20</v>
      </c>
      <c r="D678" t="s">
        <v>49</v>
      </c>
      <c r="E678" s="1">
        <v>45743</v>
      </c>
      <c r="F678" s="1">
        <v>45744</v>
      </c>
      <c r="G678" t="s">
        <v>68</v>
      </c>
      <c r="H678" t="s">
        <v>50</v>
      </c>
      <c r="I678" t="s">
        <v>31</v>
      </c>
      <c r="J678">
        <v>3</v>
      </c>
      <c r="K678" t="s">
        <v>103</v>
      </c>
      <c r="L678" t="s">
        <v>26</v>
      </c>
      <c r="M678" t="s">
        <v>27</v>
      </c>
      <c r="N678">
        <v>0.6</v>
      </c>
      <c r="O678" s="3">
        <v>6763.12</v>
      </c>
      <c r="P678">
        <v>0</v>
      </c>
      <c r="Q678">
        <v>3.7</v>
      </c>
      <c r="R678">
        <v>0.71</v>
      </c>
      <c r="S678" t="str">
        <f t="shared" si="10"/>
        <v>March</v>
      </c>
    </row>
    <row r="679" spans="1:19" x14ac:dyDescent="0.2">
      <c r="A679" t="s">
        <v>1416</v>
      </c>
      <c r="B679" t="s">
        <v>1417</v>
      </c>
      <c r="C679" t="s">
        <v>62</v>
      </c>
      <c r="D679" t="s">
        <v>49</v>
      </c>
      <c r="E679" s="1">
        <v>45985</v>
      </c>
      <c r="F679" s="1">
        <v>45996</v>
      </c>
      <c r="G679" t="s">
        <v>68</v>
      </c>
      <c r="H679" t="s">
        <v>23</v>
      </c>
      <c r="I679" t="s">
        <v>45</v>
      </c>
      <c r="J679">
        <v>71</v>
      </c>
      <c r="K679" t="s">
        <v>169</v>
      </c>
      <c r="L679" t="s">
        <v>26</v>
      </c>
      <c r="M679" t="s">
        <v>82</v>
      </c>
      <c r="N679">
        <v>10.3</v>
      </c>
      <c r="O679" s="3">
        <v>6763.12</v>
      </c>
      <c r="P679">
        <v>1</v>
      </c>
      <c r="Q679">
        <v>3.6</v>
      </c>
      <c r="R679">
        <v>0.76</v>
      </c>
      <c r="S679" t="str">
        <f t="shared" si="10"/>
        <v>November</v>
      </c>
    </row>
    <row r="680" spans="1:19" x14ac:dyDescent="0.2">
      <c r="A680" t="s">
        <v>1418</v>
      </c>
      <c r="B680" t="s">
        <v>1419</v>
      </c>
      <c r="C680" t="s">
        <v>30</v>
      </c>
      <c r="D680" t="s">
        <v>42</v>
      </c>
      <c r="E680" s="1">
        <v>45923</v>
      </c>
      <c r="F680" s="1">
        <v>45924</v>
      </c>
      <c r="G680" t="s">
        <v>22</v>
      </c>
      <c r="H680" t="s">
        <v>23</v>
      </c>
      <c r="I680" t="s">
        <v>64</v>
      </c>
      <c r="J680">
        <v>71</v>
      </c>
      <c r="K680" t="s">
        <v>169</v>
      </c>
      <c r="L680" t="s">
        <v>32</v>
      </c>
      <c r="M680" t="s">
        <v>27</v>
      </c>
      <c r="N680">
        <v>0.6</v>
      </c>
      <c r="O680" s="3">
        <v>6763.12</v>
      </c>
      <c r="P680">
        <v>1</v>
      </c>
      <c r="Q680">
        <v>4.2</v>
      </c>
      <c r="R680">
        <v>0.81</v>
      </c>
      <c r="S680" t="str">
        <f t="shared" si="10"/>
        <v>September</v>
      </c>
    </row>
    <row r="681" spans="1:19" x14ac:dyDescent="0.2">
      <c r="A681" t="s">
        <v>1420</v>
      </c>
      <c r="B681" t="s">
        <v>1421</v>
      </c>
      <c r="C681" t="s">
        <v>20</v>
      </c>
      <c r="D681" t="s">
        <v>42</v>
      </c>
      <c r="E681" s="1">
        <v>45694</v>
      </c>
      <c r="F681" s="1">
        <v>45701</v>
      </c>
      <c r="G681" t="s">
        <v>22</v>
      </c>
      <c r="H681" t="s">
        <v>50</v>
      </c>
      <c r="I681" t="s">
        <v>81</v>
      </c>
      <c r="J681">
        <v>58</v>
      </c>
      <c r="K681" t="s">
        <v>38</v>
      </c>
      <c r="L681" t="s">
        <v>32</v>
      </c>
      <c r="M681" t="s">
        <v>39</v>
      </c>
      <c r="N681">
        <v>6.5</v>
      </c>
      <c r="O681" s="3">
        <v>6763.12</v>
      </c>
      <c r="P681">
        <v>0</v>
      </c>
      <c r="Q681">
        <v>3.3</v>
      </c>
      <c r="R681">
        <v>0.81</v>
      </c>
      <c r="S681" t="str">
        <f t="shared" si="10"/>
        <v>February</v>
      </c>
    </row>
    <row r="682" spans="1:19" x14ac:dyDescent="0.2">
      <c r="A682" t="s">
        <v>1422</v>
      </c>
      <c r="B682" t="s">
        <v>1423</v>
      </c>
      <c r="C682" t="s">
        <v>58</v>
      </c>
      <c r="D682" t="s">
        <v>35</v>
      </c>
      <c r="E682" s="1">
        <v>45798</v>
      </c>
      <c r="F682" s="1">
        <v>45805</v>
      </c>
      <c r="G682" t="s">
        <v>63</v>
      </c>
      <c r="H682" t="s">
        <v>50</v>
      </c>
      <c r="I682" t="s">
        <v>37</v>
      </c>
      <c r="J682">
        <v>36</v>
      </c>
      <c r="K682" t="s">
        <v>25</v>
      </c>
      <c r="L682" t="s">
        <v>26</v>
      </c>
      <c r="M682" t="s">
        <v>27</v>
      </c>
      <c r="N682">
        <v>6.2</v>
      </c>
      <c r="O682" s="3">
        <v>6763.12</v>
      </c>
      <c r="P682">
        <v>0</v>
      </c>
      <c r="Q682">
        <v>4.2</v>
      </c>
      <c r="R682">
        <v>0.73</v>
      </c>
      <c r="S682" t="str">
        <f t="shared" si="10"/>
        <v>May</v>
      </c>
    </row>
    <row r="683" spans="1:19" x14ac:dyDescent="0.2">
      <c r="A683" t="s">
        <v>1424</v>
      </c>
      <c r="B683" t="s">
        <v>1425</v>
      </c>
      <c r="C683" t="s">
        <v>62</v>
      </c>
      <c r="D683" t="s">
        <v>35</v>
      </c>
      <c r="E683" s="1">
        <v>45754</v>
      </c>
      <c r="F683" s="1">
        <v>45758</v>
      </c>
      <c r="G683" t="s">
        <v>59</v>
      </c>
      <c r="H683" t="s">
        <v>50</v>
      </c>
      <c r="I683" t="s">
        <v>37</v>
      </c>
      <c r="J683">
        <v>0</v>
      </c>
      <c r="K683" t="s">
        <v>103</v>
      </c>
      <c r="L683" t="s">
        <v>32</v>
      </c>
      <c r="M683" t="s">
        <v>27</v>
      </c>
      <c r="N683">
        <v>3.9</v>
      </c>
      <c r="O683" s="3">
        <v>6763.12</v>
      </c>
      <c r="P683">
        <v>0</v>
      </c>
      <c r="Q683">
        <v>4</v>
      </c>
      <c r="R683">
        <v>0.9</v>
      </c>
      <c r="S683" t="str">
        <f t="shared" si="10"/>
        <v>April</v>
      </c>
    </row>
    <row r="684" spans="1:19" x14ac:dyDescent="0.2">
      <c r="A684" t="s">
        <v>1426</v>
      </c>
      <c r="B684" t="s">
        <v>1427</v>
      </c>
      <c r="C684" t="s">
        <v>20</v>
      </c>
      <c r="D684" t="s">
        <v>21</v>
      </c>
      <c r="E684" s="1">
        <v>45722</v>
      </c>
      <c r="F684" s="1">
        <v>45725</v>
      </c>
      <c r="G684" t="s">
        <v>71</v>
      </c>
      <c r="H684" t="s">
        <v>23</v>
      </c>
      <c r="I684" t="s">
        <v>100</v>
      </c>
      <c r="J684">
        <v>66</v>
      </c>
      <c r="K684" t="s">
        <v>169</v>
      </c>
      <c r="L684" t="s">
        <v>26</v>
      </c>
      <c r="M684" t="s">
        <v>39</v>
      </c>
      <c r="N684">
        <v>2.4</v>
      </c>
      <c r="O684" s="3">
        <v>6763.12</v>
      </c>
      <c r="P684">
        <v>0</v>
      </c>
      <c r="Q684">
        <v>2.8</v>
      </c>
      <c r="R684">
        <v>0.82</v>
      </c>
      <c r="S684" t="str">
        <f t="shared" si="10"/>
        <v>March</v>
      </c>
    </row>
    <row r="685" spans="1:19" x14ac:dyDescent="0.2">
      <c r="A685" t="s">
        <v>1428</v>
      </c>
      <c r="B685" t="s">
        <v>1429</v>
      </c>
      <c r="C685" t="s">
        <v>62</v>
      </c>
      <c r="D685" t="s">
        <v>49</v>
      </c>
      <c r="E685" s="1">
        <v>45966</v>
      </c>
      <c r="F685" s="1">
        <v>45967</v>
      </c>
      <c r="G685" t="s">
        <v>43</v>
      </c>
      <c r="H685" t="s">
        <v>23</v>
      </c>
      <c r="I685" t="s">
        <v>100</v>
      </c>
      <c r="J685">
        <v>60</v>
      </c>
      <c r="K685" t="s">
        <v>38</v>
      </c>
      <c r="L685" t="s">
        <v>32</v>
      </c>
      <c r="M685" t="s">
        <v>27</v>
      </c>
      <c r="N685">
        <v>0.5</v>
      </c>
      <c r="O685" s="3">
        <v>6763.12</v>
      </c>
      <c r="P685">
        <v>0</v>
      </c>
      <c r="Q685">
        <v>5</v>
      </c>
      <c r="R685">
        <v>0.83</v>
      </c>
      <c r="S685" t="str">
        <f t="shared" si="10"/>
        <v>November</v>
      </c>
    </row>
    <row r="686" spans="1:19" x14ac:dyDescent="0.2">
      <c r="A686" t="s">
        <v>1430</v>
      </c>
      <c r="B686" t="s">
        <v>1431</v>
      </c>
      <c r="C686" t="s">
        <v>122</v>
      </c>
      <c r="D686" t="s">
        <v>35</v>
      </c>
      <c r="E686" s="1">
        <v>45883</v>
      </c>
      <c r="F686" s="1">
        <v>45886</v>
      </c>
      <c r="G686" t="s">
        <v>68</v>
      </c>
      <c r="H686" t="s">
        <v>23</v>
      </c>
      <c r="I686" t="s">
        <v>81</v>
      </c>
      <c r="J686">
        <v>60</v>
      </c>
      <c r="K686" t="s">
        <v>38</v>
      </c>
      <c r="L686" t="s">
        <v>32</v>
      </c>
      <c r="M686" t="s">
        <v>82</v>
      </c>
      <c r="N686">
        <v>2.5</v>
      </c>
      <c r="O686" s="3">
        <v>6763.12</v>
      </c>
      <c r="P686">
        <v>0</v>
      </c>
      <c r="Q686">
        <v>4.8</v>
      </c>
      <c r="R686">
        <v>0.84</v>
      </c>
      <c r="S686" t="str">
        <f t="shared" si="10"/>
        <v>August</v>
      </c>
    </row>
    <row r="687" spans="1:19" x14ac:dyDescent="0.2">
      <c r="A687" t="s">
        <v>1432</v>
      </c>
      <c r="B687" t="s">
        <v>1433</v>
      </c>
      <c r="C687" t="s">
        <v>122</v>
      </c>
      <c r="D687" t="s">
        <v>21</v>
      </c>
      <c r="E687" s="1">
        <v>45723</v>
      </c>
      <c r="F687" s="1">
        <v>45724</v>
      </c>
      <c r="G687" t="s">
        <v>68</v>
      </c>
      <c r="H687" t="s">
        <v>50</v>
      </c>
      <c r="I687" t="s">
        <v>81</v>
      </c>
      <c r="J687">
        <v>15</v>
      </c>
      <c r="K687" t="s">
        <v>46</v>
      </c>
      <c r="L687" t="s">
        <v>32</v>
      </c>
      <c r="M687" t="s">
        <v>27</v>
      </c>
      <c r="N687">
        <v>0.5</v>
      </c>
      <c r="O687" s="3">
        <v>6763.12</v>
      </c>
      <c r="P687">
        <v>0</v>
      </c>
      <c r="Q687">
        <v>3.4</v>
      </c>
      <c r="R687">
        <v>0.84</v>
      </c>
      <c r="S687" t="str">
        <f t="shared" si="10"/>
        <v>March</v>
      </c>
    </row>
    <row r="688" spans="1:19" x14ac:dyDescent="0.2">
      <c r="A688" t="s">
        <v>1434</v>
      </c>
      <c r="B688" t="s">
        <v>1435</v>
      </c>
      <c r="C688" t="s">
        <v>62</v>
      </c>
      <c r="D688" t="s">
        <v>35</v>
      </c>
      <c r="E688" s="1">
        <v>45895</v>
      </c>
      <c r="F688" s="1">
        <v>45898</v>
      </c>
      <c r="G688" t="s">
        <v>50</v>
      </c>
      <c r="H688" t="s">
        <v>50</v>
      </c>
      <c r="I688" t="s">
        <v>81</v>
      </c>
      <c r="J688">
        <v>66</v>
      </c>
      <c r="K688" t="s">
        <v>169</v>
      </c>
      <c r="L688" t="s">
        <v>26</v>
      </c>
      <c r="M688" t="s">
        <v>82</v>
      </c>
      <c r="N688">
        <v>2.4</v>
      </c>
      <c r="O688" s="3">
        <v>6763.12</v>
      </c>
      <c r="P688">
        <v>0</v>
      </c>
      <c r="Q688">
        <v>3</v>
      </c>
      <c r="R688">
        <v>0.86</v>
      </c>
      <c r="S688" t="str">
        <f t="shared" si="10"/>
        <v>August</v>
      </c>
    </row>
    <row r="689" spans="1:19" x14ac:dyDescent="0.2">
      <c r="A689" t="s">
        <v>1436</v>
      </c>
      <c r="B689" t="s">
        <v>1437</v>
      </c>
      <c r="C689" t="s">
        <v>62</v>
      </c>
      <c r="D689" t="s">
        <v>35</v>
      </c>
      <c r="E689" s="1">
        <v>45808</v>
      </c>
      <c r="F689" s="1">
        <v>45813</v>
      </c>
      <c r="G689" t="s">
        <v>99</v>
      </c>
      <c r="H689" t="s">
        <v>50</v>
      </c>
      <c r="I689" t="s">
        <v>31</v>
      </c>
      <c r="J689">
        <v>65</v>
      </c>
      <c r="K689" t="s">
        <v>169</v>
      </c>
      <c r="L689" t="s">
        <v>26</v>
      </c>
      <c r="M689" t="s">
        <v>27</v>
      </c>
      <c r="N689">
        <v>4.0999999999999996</v>
      </c>
      <c r="O689" s="3">
        <v>6763.12</v>
      </c>
      <c r="P689">
        <v>0</v>
      </c>
      <c r="Q689">
        <v>4</v>
      </c>
      <c r="R689">
        <v>0.81</v>
      </c>
      <c r="S689" t="str">
        <f t="shared" si="10"/>
        <v>May</v>
      </c>
    </row>
    <row r="690" spans="1:19" x14ac:dyDescent="0.2">
      <c r="A690" t="s">
        <v>1438</v>
      </c>
      <c r="B690" t="s">
        <v>1439</v>
      </c>
      <c r="C690" t="s">
        <v>20</v>
      </c>
      <c r="D690" t="s">
        <v>49</v>
      </c>
      <c r="E690" s="1">
        <v>45680</v>
      </c>
      <c r="F690" s="1">
        <v>45684</v>
      </c>
      <c r="G690" t="s">
        <v>36</v>
      </c>
      <c r="H690" t="s">
        <v>50</v>
      </c>
      <c r="I690" t="s">
        <v>24</v>
      </c>
      <c r="J690">
        <v>78</v>
      </c>
      <c r="K690" t="s">
        <v>65</v>
      </c>
      <c r="L690" t="s">
        <v>32</v>
      </c>
      <c r="M690" t="s">
        <v>52</v>
      </c>
      <c r="N690">
        <v>3.4</v>
      </c>
      <c r="O690" s="3">
        <v>6763.12</v>
      </c>
      <c r="P690">
        <v>1</v>
      </c>
      <c r="Q690">
        <v>3</v>
      </c>
      <c r="R690">
        <v>0.78</v>
      </c>
      <c r="S690" t="str">
        <f t="shared" si="10"/>
        <v>January</v>
      </c>
    </row>
    <row r="691" spans="1:19" x14ac:dyDescent="0.2">
      <c r="A691" t="s">
        <v>1440</v>
      </c>
      <c r="B691" t="s">
        <v>1441</v>
      </c>
      <c r="C691" t="s">
        <v>20</v>
      </c>
      <c r="D691" t="s">
        <v>49</v>
      </c>
      <c r="E691" s="1">
        <v>45822</v>
      </c>
      <c r="F691" s="1">
        <v>45826</v>
      </c>
      <c r="G691" t="s">
        <v>63</v>
      </c>
      <c r="H691" t="s">
        <v>44</v>
      </c>
      <c r="I691" t="s">
        <v>117</v>
      </c>
      <c r="J691">
        <v>51</v>
      </c>
      <c r="K691" t="s">
        <v>38</v>
      </c>
      <c r="L691" t="s">
        <v>32</v>
      </c>
      <c r="M691" t="s">
        <v>39</v>
      </c>
      <c r="N691">
        <v>3.9</v>
      </c>
      <c r="O691" s="3">
        <v>6763.12</v>
      </c>
      <c r="P691">
        <v>0</v>
      </c>
      <c r="Q691">
        <v>4.7</v>
      </c>
      <c r="R691">
        <v>0.74</v>
      </c>
      <c r="S691" t="str">
        <f t="shared" si="10"/>
        <v>June</v>
      </c>
    </row>
    <row r="692" spans="1:19" x14ac:dyDescent="0.2">
      <c r="A692" t="s">
        <v>1442</v>
      </c>
      <c r="B692" t="s">
        <v>1443</v>
      </c>
      <c r="C692" t="s">
        <v>20</v>
      </c>
      <c r="D692" t="s">
        <v>49</v>
      </c>
      <c r="E692" s="1">
        <v>45725</v>
      </c>
      <c r="F692" s="1">
        <v>45729</v>
      </c>
      <c r="G692" t="s">
        <v>99</v>
      </c>
      <c r="H692" t="s">
        <v>44</v>
      </c>
      <c r="I692" t="s">
        <v>100</v>
      </c>
      <c r="J692">
        <v>66</v>
      </c>
      <c r="K692" t="s">
        <v>169</v>
      </c>
      <c r="L692" t="s">
        <v>32</v>
      </c>
      <c r="M692" t="s">
        <v>27</v>
      </c>
      <c r="N692">
        <v>4</v>
      </c>
      <c r="O692" s="3">
        <v>6763.12</v>
      </c>
      <c r="P692">
        <v>0</v>
      </c>
      <c r="Q692">
        <v>3.6</v>
      </c>
      <c r="R692">
        <v>0.8</v>
      </c>
      <c r="S692" t="str">
        <f t="shared" si="10"/>
        <v>March</v>
      </c>
    </row>
    <row r="693" spans="1:19" x14ac:dyDescent="0.2">
      <c r="A693" t="s">
        <v>1444</v>
      </c>
      <c r="B693" t="s">
        <v>1445</v>
      </c>
      <c r="C693" t="s">
        <v>30</v>
      </c>
      <c r="D693" t="s">
        <v>42</v>
      </c>
      <c r="E693" s="1">
        <v>45747</v>
      </c>
      <c r="F693" s="1">
        <v>45750</v>
      </c>
      <c r="G693" t="s">
        <v>43</v>
      </c>
      <c r="H693" t="s">
        <v>44</v>
      </c>
      <c r="I693" t="s">
        <v>55</v>
      </c>
      <c r="J693">
        <v>36</v>
      </c>
      <c r="K693" t="s">
        <v>25</v>
      </c>
      <c r="L693" t="s">
        <v>32</v>
      </c>
      <c r="M693" t="s">
        <v>27</v>
      </c>
      <c r="N693">
        <v>2.1</v>
      </c>
      <c r="O693" s="3">
        <v>6763.12</v>
      </c>
      <c r="P693">
        <v>0</v>
      </c>
      <c r="Q693">
        <v>4.9000000000000004</v>
      </c>
      <c r="R693">
        <v>0.78</v>
      </c>
      <c r="S693" t="str">
        <f t="shared" si="10"/>
        <v>March</v>
      </c>
    </row>
    <row r="694" spans="1:19" x14ac:dyDescent="0.2">
      <c r="A694" t="s">
        <v>1446</v>
      </c>
      <c r="B694" t="s">
        <v>1447</v>
      </c>
      <c r="C694" t="s">
        <v>62</v>
      </c>
      <c r="D694" t="s">
        <v>35</v>
      </c>
      <c r="E694" s="1">
        <v>45978</v>
      </c>
      <c r="F694" s="1">
        <v>45980</v>
      </c>
      <c r="G694" t="s">
        <v>22</v>
      </c>
      <c r="H694" t="s">
        <v>44</v>
      </c>
      <c r="I694" t="s">
        <v>31</v>
      </c>
      <c r="J694">
        <v>63</v>
      </c>
      <c r="K694" t="s">
        <v>38</v>
      </c>
      <c r="L694" t="s">
        <v>26</v>
      </c>
      <c r="M694" t="s">
        <v>27</v>
      </c>
      <c r="N694">
        <v>1.7</v>
      </c>
      <c r="O694" s="3">
        <v>6763.12</v>
      </c>
      <c r="P694">
        <v>0</v>
      </c>
      <c r="Q694">
        <v>3.4</v>
      </c>
      <c r="R694">
        <v>0.83</v>
      </c>
      <c r="S694" t="str">
        <f t="shared" si="10"/>
        <v>November</v>
      </c>
    </row>
    <row r="695" spans="1:19" x14ac:dyDescent="0.2">
      <c r="A695" t="s">
        <v>1448</v>
      </c>
      <c r="B695" t="s">
        <v>1449</v>
      </c>
      <c r="C695" t="s">
        <v>62</v>
      </c>
      <c r="D695" t="s">
        <v>35</v>
      </c>
      <c r="E695" s="1">
        <v>45917</v>
      </c>
      <c r="F695" s="1">
        <v>45921</v>
      </c>
      <c r="G695" t="s">
        <v>50</v>
      </c>
      <c r="H695" t="s">
        <v>44</v>
      </c>
      <c r="I695" t="s">
        <v>100</v>
      </c>
      <c r="J695">
        <v>63</v>
      </c>
      <c r="K695" t="s">
        <v>38</v>
      </c>
      <c r="L695" t="s">
        <v>32</v>
      </c>
      <c r="M695" t="s">
        <v>39</v>
      </c>
      <c r="N695">
        <v>3.3</v>
      </c>
      <c r="O695" s="3">
        <v>6763.12</v>
      </c>
      <c r="P695">
        <v>0</v>
      </c>
      <c r="Q695">
        <v>3.6</v>
      </c>
      <c r="R695">
        <v>0.85</v>
      </c>
      <c r="S695" t="str">
        <f t="shared" si="10"/>
        <v>September</v>
      </c>
    </row>
    <row r="696" spans="1:19" x14ac:dyDescent="0.2">
      <c r="A696" t="s">
        <v>1450</v>
      </c>
      <c r="B696" t="s">
        <v>1451</v>
      </c>
      <c r="C696" t="s">
        <v>20</v>
      </c>
      <c r="D696" t="s">
        <v>21</v>
      </c>
      <c r="E696" s="1">
        <v>45706</v>
      </c>
      <c r="F696" s="1">
        <v>45712</v>
      </c>
      <c r="G696" t="s">
        <v>68</v>
      </c>
      <c r="H696" t="s">
        <v>50</v>
      </c>
      <c r="I696" t="s">
        <v>51</v>
      </c>
      <c r="J696">
        <v>70</v>
      </c>
      <c r="K696" t="s">
        <v>169</v>
      </c>
      <c r="L696" t="s">
        <v>26</v>
      </c>
      <c r="M696" t="s">
        <v>82</v>
      </c>
      <c r="N696">
        <v>5.7</v>
      </c>
      <c r="O696" s="3">
        <v>6763.12</v>
      </c>
      <c r="P696">
        <v>0</v>
      </c>
      <c r="Q696">
        <v>4.7</v>
      </c>
      <c r="R696">
        <v>0.72</v>
      </c>
      <c r="S696" t="str">
        <f t="shared" si="10"/>
        <v>February</v>
      </c>
    </row>
    <row r="697" spans="1:19" x14ac:dyDescent="0.2">
      <c r="A697" t="s">
        <v>1452</v>
      </c>
      <c r="B697" t="s">
        <v>1453</v>
      </c>
      <c r="C697" t="s">
        <v>122</v>
      </c>
      <c r="D697" t="s">
        <v>49</v>
      </c>
      <c r="E697" s="1">
        <v>45968</v>
      </c>
      <c r="F697" s="1">
        <v>45974</v>
      </c>
      <c r="G697" t="s">
        <v>99</v>
      </c>
      <c r="H697" t="s">
        <v>50</v>
      </c>
      <c r="I697" t="s">
        <v>100</v>
      </c>
      <c r="J697">
        <v>77</v>
      </c>
      <c r="K697" t="s">
        <v>65</v>
      </c>
      <c r="L697" t="s">
        <v>32</v>
      </c>
      <c r="M697" t="s">
        <v>27</v>
      </c>
      <c r="N697">
        <v>5.3</v>
      </c>
      <c r="O697" s="3">
        <v>6763.12</v>
      </c>
      <c r="P697">
        <v>0</v>
      </c>
      <c r="Q697">
        <v>3.7</v>
      </c>
      <c r="R697">
        <v>0.73</v>
      </c>
      <c r="S697" t="str">
        <f t="shared" si="10"/>
        <v>November</v>
      </c>
    </row>
    <row r="698" spans="1:19" x14ac:dyDescent="0.2">
      <c r="A698" t="s">
        <v>1454</v>
      </c>
      <c r="B698" t="s">
        <v>1455</v>
      </c>
      <c r="C698" t="s">
        <v>122</v>
      </c>
      <c r="D698" t="s">
        <v>49</v>
      </c>
      <c r="E698" s="1">
        <v>45867</v>
      </c>
      <c r="F698" s="1">
        <v>45871</v>
      </c>
      <c r="G698" t="s">
        <v>59</v>
      </c>
      <c r="H698" t="s">
        <v>50</v>
      </c>
      <c r="I698" t="s">
        <v>81</v>
      </c>
      <c r="J698">
        <v>0</v>
      </c>
      <c r="K698" t="s">
        <v>103</v>
      </c>
      <c r="L698" t="s">
        <v>32</v>
      </c>
      <c r="M698" t="s">
        <v>39</v>
      </c>
      <c r="N698">
        <v>3.9</v>
      </c>
      <c r="O698" s="3">
        <v>6763.12</v>
      </c>
      <c r="P698">
        <v>0</v>
      </c>
      <c r="Q698">
        <v>4</v>
      </c>
      <c r="R698">
        <v>0.76</v>
      </c>
      <c r="S698" t="str">
        <f t="shared" si="10"/>
        <v>July</v>
      </c>
    </row>
    <row r="699" spans="1:19" x14ac:dyDescent="0.2">
      <c r="A699" t="s">
        <v>1456</v>
      </c>
      <c r="B699" t="s">
        <v>1457</v>
      </c>
      <c r="C699" t="s">
        <v>30</v>
      </c>
      <c r="D699" t="s">
        <v>35</v>
      </c>
      <c r="E699" s="1">
        <v>45977</v>
      </c>
      <c r="F699" s="1">
        <v>45978</v>
      </c>
      <c r="G699" t="s">
        <v>68</v>
      </c>
      <c r="H699" t="s">
        <v>50</v>
      </c>
      <c r="I699" t="s">
        <v>100</v>
      </c>
      <c r="J699">
        <v>70</v>
      </c>
      <c r="K699" t="s">
        <v>169</v>
      </c>
      <c r="L699" t="s">
        <v>32</v>
      </c>
      <c r="M699" t="s">
        <v>39</v>
      </c>
      <c r="N699">
        <v>0.3</v>
      </c>
      <c r="O699" s="3">
        <v>6763.12</v>
      </c>
      <c r="P699">
        <v>0</v>
      </c>
      <c r="Q699">
        <v>4.5999999999999996</v>
      </c>
      <c r="R699">
        <v>0.82</v>
      </c>
      <c r="S699" t="str">
        <f t="shared" si="10"/>
        <v>November</v>
      </c>
    </row>
    <row r="700" spans="1:19" x14ac:dyDescent="0.2">
      <c r="A700" t="s">
        <v>1458</v>
      </c>
      <c r="B700" t="s">
        <v>1459</v>
      </c>
      <c r="C700" t="s">
        <v>58</v>
      </c>
      <c r="D700" t="s">
        <v>42</v>
      </c>
      <c r="E700" s="1">
        <v>45930</v>
      </c>
      <c r="F700" s="1">
        <v>45932</v>
      </c>
      <c r="G700" t="s">
        <v>50</v>
      </c>
      <c r="H700" t="s">
        <v>50</v>
      </c>
      <c r="I700" t="s">
        <v>37</v>
      </c>
      <c r="J700">
        <v>72</v>
      </c>
      <c r="K700" t="s">
        <v>169</v>
      </c>
      <c r="L700" t="s">
        <v>32</v>
      </c>
      <c r="M700" t="s">
        <v>39</v>
      </c>
      <c r="N700">
        <v>1.5</v>
      </c>
      <c r="O700" s="3">
        <v>6763.12</v>
      </c>
      <c r="P700">
        <v>0</v>
      </c>
      <c r="Q700">
        <v>3.4</v>
      </c>
      <c r="R700">
        <v>0.73</v>
      </c>
      <c r="S700" t="str">
        <f t="shared" si="10"/>
        <v>September</v>
      </c>
    </row>
    <row r="701" spans="1:19" x14ac:dyDescent="0.2">
      <c r="A701" t="s">
        <v>1460</v>
      </c>
      <c r="B701" t="s">
        <v>1461</v>
      </c>
      <c r="C701" t="s">
        <v>20</v>
      </c>
      <c r="D701" t="s">
        <v>21</v>
      </c>
      <c r="E701" s="1">
        <v>45781</v>
      </c>
      <c r="F701" s="1">
        <v>45783</v>
      </c>
      <c r="G701" t="s">
        <v>50</v>
      </c>
      <c r="H701" t="s">
        <v>50</v>
      </c>
      <c r="I701" t="s">
        <v>100</v>
      </c>
      <c r="J701">
        <v>49</v>
      </c>
      <c r="K701" t="s">
        <v>25</v>
      </c>
      <c r="L701" t="s">
        <v>32</v>
      </c>
      <c r="M701" t="s">
        <v>39</v>
      </c>
      <c r="N701">
        <v>1.1000000000000001</v>
      </c>
      <c r="O701" s="3">
        <v>6763.12</v>
      </c>
      <c r="P701">
        <v>0</v>
      </c>
      <c r="Q701">
        <v>2.9</v>
      </c>
      <c r="R701">
        <v>0.79</v>
      </c>
      <c r="S701" t="str">
        <f t="shared" si="10"/>
        <v>May</v>
      </c>
    </row>
    <row r="702" spans="1:19" x14ac:dyDescent="0.2">
      <c r="A702" t="s">
        <v>1462</v>
      </c>
      <c r="B702" t="s">
        <v>1463</v>
      </c>
      <c r="C702" t="s">
        <v>122</v>
      </c>
      <c r="D702" t="s">
        <v>21</v>
      </c>
      <c r="E702" s="1">
        <v>45853</v>
      </c>
      <c r="F702" s="1">
        <v>45855</v>
      </c>
      <c r="G702" t="s">
        <v>22</v>
      </c>
      <c r="H702" t="s">
        <v>44</v>
      </c>
      <c r="I702" t="s">
        <v>31</v>
      </c>
      <c r="J702">
        <v>47</v>
      </c>
      <c r="K702" t="s">
        <v>25</v>
      </c>
      <c r="L702" t="s">
        <v>32</v>
      </c>
      <c r="M702" t="s">
        <v>39</v>
      </c>
      <c r="N702">
        <v>1.7</v>
      </c>
      <c r="O702" s="3">
        <v>6763.12</v>
      </c>
      <c r="P702">
        <v>0</v>
      </c>
      <c r="Q702">
        <v>3</v>
      </c>
      <c r="R702">
        <v>0.75</v>
      </c>
      <c r="S702" t="str">
        <f t="shared" si="10"/>
        <v>July</v>
      </c>
    </row>
    <row r="703" spans="1:19" x14ac:dyDescent="0.2">
      <c r="A703" t="s">
        <v>1464</v>
      </c>
      <c r="B703" t="s">
        <v>1465</v>
      </c>
      <c r="C703" t="s">
        <v>58</v>
      </c>
      <c r="D703" t="s">
        <v>49</v>
      </c>
      <c r="E703" s="1">
        <v>45851</v>
      </c>
      <c r="F703" s="1">
        <v>45852</v>
      </c>
      <c r="G703" t="s">
        <v>50</v>
      </c>
      <c r="H703" t="s">
        <v>50</v>
      </c>
      <c r="I703" t="s">
        <v>45</v>
      </c>
      <c r="J703">
        <v>65</v>
      </c>
      <c r="K703" t="s">
        <v>169</v>
      </c>
      <c r="L703" t="s">
        <v>32</v>
      </c>
      <c r="M703" t="s">
        <v>39</v>
      </c>
      <c r="N703">
        <v>1</v>
      </c>
      <c r="O703" s="3">
        <v>6763.12</v>
      </c>
      <c r="P703">
        <v>0</v>
      </c>
      <c r="Q703">
        <v>4.0999999999999996</v>
      </c>
      <c r="R703">
        <v>0.69</v>
      </c>
      <c r="S703" t="str">
        <f t="shared" si="10"/>
        <v>July</v>
      </c>
    </row>
    <row r="704" spans="1:19" x14ac:dyDescent="0.2">
      <c r="A704" t="s">
        <v>1466</v>
      </c>
      <c r="B704" t="s">
        <v>1467</v>
      </c>
      <c r="C704" t="s">
        <v>62</v>
      </c>
      <c r="D704" t="s">
        <v>42</v>
      </c>
      <c r="E704" s="1">
        <v>45920</v>
      </c>
      <c r="F704" s="1">
        <v>45922</v>
      </c>
      <c r="G704" t="s">
        <v>36</v>
      </c>
      <c r="H704" t="s">
        <v>44</v>
      </c>
      <c r="I704" t="s">
        <v>37</v>
      </c>
      <c r="J704">
        <v>41</v>
      </c>
      <c r="K704" t="s">
        <v>25</v>
      </c>
      <c r="L704" t="s">
        <v>26</v>
      </c>
      <c r="M704" t="s">
        <v>52</v>
      </c>
      <c r="N704">
        <v>1.1000000000000001</v>
      </c>
      <c r="O704" s="3">
        <v>6763.12</v>
      </c>
      <c r="P704">
        <v>0</v>
      </c>
      <c r="Q704">
        <v>4.0999999999999996</v>
      </c>
      <c r="R704">
        <v>0.82</v>
      </c>
      <c r="S704" t="str">
        <f t="shared" si="10"/>
        <v>September</v>
      </c>
    </row>
    <row r="705" spans="1:19" x14ac:dyDescent="0.2">
      <c r="A705" t="s">
        <v>1468</v>
      </c>
      <c r="B705" t="s">
        <v>1469</v>
      </c>
      <c r="C705" t="s">
        <v>30</v>
      </c>
      <c r="D705" t="s">
        <v>49</v>
      </c>
      <c r="E705" s="1">
        <v>45748</v>
      </c>
      <c r="F705" s="1">
        <v>45749</v>
      </c>
      <c r="G705" t="s">
        <v>50</v>
      </c>
      <c r="H705" t="s">
        <v>23</v>
      </c>
      <c r="I705" t="s">
        <v>64</v>
      </c>
      <c r="J705">
        <v>37</v>
      </c>
      <c r="K705" t="s">
        <v>25</v>
      </c>
      <c r="L705" t="s">
        <v>32</v>
      </c>
      <c r="M705" t="s">
        <v>27</v>
      </c>
      <c r="N705">
        <v>0.4</v>
      </c>
      <c r="O705" s="3">
        <v>6763.12</v>
      </c>
      <c r="P705">
        <v>0</v>
      </c>
      <c r="Q705">
        <v>4.3</v>
      </c>
      <c r="R705">
        <v>0.81</v>
      </c>
      <c r="S705" t="str">
        <f t="shared" si="10"/>
        <v>April</v>
      </c>
    </row>
    <row r="706" spans="1:19" x14ac:dyDescent="0.2">
      <c r="A706" t="s">
        <v>1470</v>
      </c>
      <c r="B706" t="s">
        <v>1471</v>
      </c>
      <c r="C706" t="s">
        <v>20</v>
      </c>
      <c r="D706" t="s">
        <v>42</v>
      </c>
      <c r="E706" s="1">
        <v>45779</v>
      </c>
      <c r="F706" s="1">
        <v>45791</v>
      </c>
      <c r="G706" t="s">
        <v>59</v>
      </c>
      <c r="H706" t="s">
        <v>23</v>
      </c>
      <c r="I706" t="s">
        <v>81</v>
      </c>
      <c r="J706">
        <v>73</v>
      </c>
      <c r="K706" t="s">
        <v>169</v>
      </c>
      <c r="L706" t="s">
        <v>32</v>
      </c>
      <c r="M706" t="s">
        <v>27</v>
      </c>
      <c r="N706">
        <v>11.3</v>
      </c>
      <c r="O706" s="3">
        <v>6763.12</v>
      </c>
      <c r="P706">
        <v>1</v>
      </c>
      <c r="Q706">
        <v>3.4</v>
      </c>
      <c r="R706">
        <v>0.79</v>
      </c>
      <c r="S706" t="str">
        <f t="shared" si="10"/>
        <v>May</v>
      </c>
    </row>
    <row r="707" spans="1:19" x14ac:dyDescent="0.2">
      <c r="A707" t="s">
        <v>1472</v>
      </c>
      <c r="B707" t="s">
        <v>1473</v>
      </c>
      <c r="C707" t="s">
        <v>20</v>
      </c>
      <c r="D707" t="s">
        <v>35</v>
      </c>
      <c r="E707" s="1">
        <v>45747</v>
      </c>
      <c r="F707" s="1">
        <v>45748</v>
      </c>
      <c r="G707" t="s">
        <v>63</v>
      </c>
      <c r="H707" t="s">
        <v>23</v>
      </c>
      <c r="I707" t="s">
        <v>100</v>
      </c>
      <c r="J707">
        <v>71</v>
      </c>
      <c r="K707" t="s">
        <v>169</v>
      </c>
      <c r="L707" t="s">
        <v>32</v>
      </c>
      <c r="M707" t="s">
        <v>27</v>
      </c>
      <c r="N707">
        <v>0.3</v>
      </c>
      <c r="O707" s="3">
        <v>6763.12</v>
      </c>
      <c r="P707">
        <v>0</v>
      </c>
      <c r="Q707">
        <v>3</v>
      </c>
      <c r="R707">
        <v>0.8</v>
      </c>
      <c r="S707" t="str">
        <f t="shared" ref="S707:S770" si="11">TEXT(E707, "mmmm")</f>
        <v>March</v>
      </c>
    </row>
    <row r="708" spans="1:19" x14ac:dyDescent="0.2">
      <c r="A708" t="s">
        <v>1474</v>
      </c>
      <c r="B708" t="s">
        <v>1475</v>
      </c>
      <c r="C708" t="s">
        <v>30</v>
      </c>
      <c r="D708" t="s">
        <v>49</v>
      </c>
      <c r="E708" s="1">
        <v>45766</v>
      </c>
      <c r="F708" s="1">
        <v>45774</v>
      </c>
      <c r="G708" t="s">
        <v>63</v>
      </c>
      <c r="H708" t="s">
        <v>50</v>
      </c>
      <c r="I708" t="s">
        <v>31</v>
      </c>
      <c r="J708">
        <v>18</v>
      </c>
      <c r="K708" t="s">
        <v>78</v>
      </c>
      <c r="L708" t="s">
        <v>26</v>
      </c>
      <c r="M708" t="s">
        <v>39</v>
      </c>
      <c r="N708">
        <v>7.1</v>
      </c>
      <c r="O708" s="3">
        <v>6763.12</v>
      </c>
      <c r="P708">
        <v>1</v>
      </c>
      <c r="Q708">
        <v>2.2999999999999998</v>
      </c>
      <c r="R708">
        <v>0.84</v>
      </c>
      <c r="S708" t="str">
        <f t="shared" si="11"/>
        <v>April</v>
      </c>
    </row>
    <row r="709" spans="1:19" x14ac:dyDescent="0.2">
      <c r="A709" t="s">
        <v>1476</v>
      </c>
      <c r="B709" t="s">
        <v>1477</v>
      </c>
      <c r="C709" t="s">
        <v>20</v>
      </c>
      <c r="D709" t="s">
        <v>42</v>
      </c>
      <c r="E709" s="1">
        <v>45716</v>
      </c>
      <c r="F709" s="1">
        <v>45719</v>
      </c>
      <c r="G709" t="s">
        <v>50</v>
      </c>
      <c r="H709" t="s">
        <v>23</v>
      </c>
      <c r="I709" t="s">
        <v>24</v>
      </c>
      <c r="J709">
        <v>75</v>
      </c>
      <c r="K709" t="s">
        <v>65</v>
      </c>
      <c r="L709" t="s">
        <v>26</v>
      </c>
      <c r="M709" t="s">
        <v>27</v>
      </c>
      <c r="N709">
        <v>2.5</v>
      </c>
      <c r="O709" s="3">
        <v>6763.12</v>
      </c>
      <c r="P709">
        <v>0</v>
      </c>
      <c r="Q709">
        <v>5</v>
      </c>
      <c r="R709">
        <v>0.83</v>
      </c>
      <c r="S709" t="str">
        <f t="shared" si="11"/>
        <v>February</v>
      </c>
    </row>
    <row r="710" spans="1:19" x14ac:dyDescent="0.2">
      <c r="A710" t="s">
        <v>1478</v>
      </c>
      <c r="B710" t="s">
        <v>1479</v>
      </c>
      <c r="C710" t="s">
        <v>58</v>
      </c>
      <c r="D710" t="s">
        <v>21</v>
      </c>
      <c r="E710" s="1">
        <v>45671</v>
      </c>
      <c r="F710" s="1">
        <v>45676</v>
      </c>
      <c r="G710" t="s">
        <v>36</v>
      </c>
      <c r="H710" t="s">
        <v>50</v>
      </c>
      <c r="I710" t="s">
        <v>117</v>
      </c>
      <c r="J710">
        <v>29</v>
      </c>
      <c r="K710" t="s">
        <v>78</v>
      </c>
      <c r="L710" t="s">
        <v>26</v>
      </c>
      <c r="M710" t="s">
        <v>52</v>
      </c>
      <c r="N710">
        <v>5</v>
      </c>
      <c r="O710" s="3">
        <v>6763.12</v>
      </c>
      <c r="P710">
        <v>0</v>
      </c>
      <c r="Q710">
        <v>4.2</v>
      </c>
      <c r="R710">
        <v>0.72</v>
      </c>
      <c r="S710" t="str">
        <f t="shared" si="11"/>
        <v>January</v>
      </c>
    </row>
    <row r="711" spans="1:19" x14ac:dyDescent="0.2">
      <c r="A711" t="s">
        <v>1480</v>
      </c>
      <c r="B711" t="s">
        <v>1481</v>
      </c>
      <c r="C711" t="s">
        <v>30</v>
      </c>
      <c r="D711" t="s">
        <v>21</v>
      </c>
      <c r="E711" s="1">
        <v>46001</v>
      </c>
      <c r="F711" s="1">
        <v>46006</v>
      </c>
      <c r="G711" t="s">
        <v>36</v>
      </c>
      <c r="H711" t="s">
        <v>44</v>
      </c>
      <c r="I711" t="s">
        <v>64</v>
      </c>
      <c r="J711">
        <v>12</v>
      </c>
      <c r="K711" t="s">
        <v>103</v>
      </c>
      <c r="L711" t="s">
        <v>26</v>
      </c>
      <c r="M711" t="s">
        <v>39</v>
      </c>
      <c r="N711">
        <v>4.5999999999999996</v>
      </c>
      <c r="O711" s="3">
        <v>6763.12</v>
      </c>
      <c r="P711">
        <v>0</v>
      </c>
      <c r="Q711">
        <v>4</v>
      </c>
      <c r="R711">
        <v>0.76</v>
      </c>
      <c r="S711" t="str">
        <f t="shared" si="11"/>
        <v>December</v>
      </c>
    </row>
    <row r="712" spans="1:19" x14ac:dyDescent="0.2">
      <c r="A712" t="s">
        <v>1482</v>
      </c>
      <c r="B712" t="s">
        <v>1483</v>
      </c>
      <c r="C712" t="s">
        <v>30</v>
      </c>
      <c r="D712" t="s">
        <v>42</v>
      </c>
      <c r="E712" s="1">
        <v>45685</v>
      </c>
      <c r="F712" s="1">
        <v>45686</v>
      </c>
      <c r="G712" t="s">
        <v>50</v>
      </c>
      <c r="H712" t="s">
        <v>50</v>
      </c>
      <c r="I712" t="s">
        <v>37</v>
      </c>
      <c r="J712">
        <v>79</v>
      </c>
      <c r="K712" t="s">
        <v>65</v>
      </c>
      <c r="L712" t="s">
        <v>26</v>
      </c>
      <c r="M712" t="s">
        <v>39</v>
      </c>
      <c r="N712">
        <v>0.5</v>
      </c>
      <c r="O712" s="3">
        <v>6763.12</v>
      </c>
      <c r="P712">
        <v>0</v>
      </c>
      <c r="Q712">
        <v>3.9</v>
      </c>
      <c r="R712">
        <v>0.87</v>
      </c>
      <c r="S712" t="str">
        <f t="shared" si="11"/>
        <v>January</v>
      </c>
    </row>
    <row r="713" spans="1:19" x14ac:dyDescent="0.2">
      <c r="A713" t="s">
        <v>1484</v>
      </c>
      <c r="B713" t="s">
        <v>1485</v>
      </c>
      <c r="C713" t="s">
        <v>62</v>
      </c>
      <c r="D713" t="s">
        <v>35</v>
      </c>
      <c r="E713" s="1">
        <v>45982</v>
      </c>
      <c r="F713" s="1">
        <v>45984</v>
      </c>
      <c r="G713" t="s">
        <v>99</v>
      </c>
      <c r="H713" t="s">
        <v>50</v>
      </c>
      <c r="I713" t="s">
        <v>64</v>
      </c>
      <c r="J713">
        <v>21</v>
      </c>
      <c r="K713" t="s">
        <v>78</v>
      </c>
      <c r="L713" t="s">
        <v>32</v>
      </c>
      <c r="M713" t="s">
        <v>82</v>
      </c>
      <c r="N713">
        <v>1.7</v>
      </c>
      <c r="O713" s="3">
        <v>6763.12</v>
      </c>
      <c r="P713">
        <v>0</v>
      </c>
      <c r="Q713">
        <v>3</v>
      </c>
      <c r="R713">
        <v>0.86</v>
      </c>
      <c r="S713" t="str">
        <f t="shared" si="11"/>
        <v>November</v>
      </c>
    </row>
    <row r="714" spans="1:19" x14ac:dyDescent="0.2">
      <c r="A714" t="s">
        <v>1486</v>
      </c>
      <c r="B714" t="s">
        <v>1487</v>
      </c>
      <c r="C714" t="s">
        <v>122</v>
      </c>
      <c r="D714" t="s">
        <v>21</v>
      </c>
      <c r="E714" s="1">
        <v>45659</v>
      </c>
      <c r="F714" s="1">
        <v>45662</v>
      </c>
      <c r="G714" t="s">
        <v>36</v>
      </c>
      <c r="H714" t="s">
        <v>23</v>
      </c>
      <c r="I714" t="s">
        <v>45</v>
      </c>
      <c r="J714">
        <v>18</v>
      </c>
      <c r="K714" t="s">
        <v>78</v>
      </c>
      <c r="L714" t="s">
        <v>26</v>
      </c>
      <c r="M714" t="s">
        <v>27</v>
      </c>
      <c r="N714">
        <v>2.2000000000000002</v>
      </c>
      <c r="O714" s="3">
        <v>6763.12</v>
      </c>
      <c r="P714">
        <v>0</v>
      </c>
      <c r="Q714">
        <v>3.4</v>
      </c>
      <c r="R714">
        <v>0.74</v>
      </c>
      <c r="S714" t="str">
        <f t="shared" si="11"/>
        <v>January</v>
      </c>
    </row>
    <row r="715" spans="1:19" x14ac:dyDescent="0.2">
      <c r="A715" t="s">
        <v>1488</v>
      </c>
      <c r="B715" t="s">
        <v>1489</v>
      </c>
      <c r="C715" t="s">
        <v>58</v>
      </c>
      <c r="D715" t="s">
        <v>42</v>
      </c>
      <c r="E715" s="1">
        <v>45941</v>
      </c>
      <c r="F715" s="1">
        <v>45942</v>
      </c>
      <c r="G715" t="s">
        <v>22</v>
      </c>
      <c r="H715" t="s">
        <v>23</v>
      </c>
      <c r="I715" t="s">
        <v>100</v>
      </c>
      <c r="J715">
        <v>24</v>
      </c>
      <c r="K715" t="s">
        <v>78</v>
      </c>
      <c r="L715" t="s">
        <v>26</v>
      </c>
      <c r="M715" t="s">
        <v>82</v>
      </c>
      <c r="N715">
        <v>0.5</v>
      </c>
      <c r="O715" s="3">
        <v>6763.12</v>
      </c>
      <c r="P715">
        <v>1</v>
      </c>
      <c r="Q715">
        <v>4.9000000000000004</v>
      </c>
      <c r="R715">
        <v>0.76</v>
      </c>
      <c r="S715" t="str">
        <f t="shared" si="11"/>
        <v>October</v>
      </c>
    </row>
    <row r="716" spans="1:19" x14ac:dyDescent="0.2">
      <c r="A716" t="s">
        <v>1490</v>
      </c>
      <c r="B716" t="s">
        <v>1491</v>
      </c>
      <c r="C716" t="s">
        <v>58</v>
      </c>
      <c r="D716" t="s">
        <v>42</v>
      </c>
      <c r="E716" s="1">
        <v>45777</v>
      </c>
      <c r="F716" s="1">
        <v>45778</v>
      </c>
      <c r="G716" t="s">
        <v>50</v>
      </c>
      <c r="H716" t="s">
        <v>50</v>
      </c>
      <c r="I716" t="s">
        <v>37</v>
      </c>
      <c r="J716">
        <v>44</v>
      </c>
      <c r="K716" t="s">
        <v>25</v>
      </c>
      <c r="L716" t="s">
        <v>32</v>
      </c>
      <c r="M716" t="s">
        <v>27</v>
      </c>
      <c r="N716">
        <v>0.5</v>
      </c>
      <c r="O716" s="3">
        <v>6763.12</v>
      </c>
      <c r="P716">
        <v>0</v>
      </c>
      <c r="Q716">
        <v>4.0999999999999996</v>
      </c>
      <c r="R716">
        <v>0.79</v>
      </c>
      <c r="S716" t="str">
        <f t="shared" si="11"/>
        <v>April</v>
      </c>
    </row>
    <row r="717" spans="1:19" x14ac:dyDescent="0.2">
      <c r="A717" t="s">
        <v>1492</v>
      </c>
      <c r="B717" t="s">
        <v>1493</v>
      </c>
      <c r="C717" t="s">
        <v>62</v>
      </c>
      <c r="D717" t="s">
        <v>42</v>
      </c>
      <c r="E717" s="1">
        <v>45846</v>
      </c>
      <c r="F717" s="1">
        <v>45850</v>
      </c>
      <c r="G717" t="s">
        <v>99</v>
      </c>
      <c r="H717" t="s">
        <v>23</v>
      </c>
      <c r="I717" t="s">
        <v>81</v>
      </c>
      <c r="J717">
        <v>15</v>
      </c>
      <c r="K717" t="s">
        <v>46</v>
      </c>
      <c r="L717" t="s">
        <v>32</v>
      </c>
      <c r="M717" t="s">
        <v>39</v>
      </c>
      <c r="N717">
        <v>3.2</v>
      </c>
      <c r="O717" s="3">
        <v>6763.12</v>
      </c>
      <c r="P717">
        <v>0</v>
      </c>
      <c r="Q717">
        <v>3.4</v>
      </c>
      <c r="R717">
        <v>0.91</v>
      </c>
      <c r="S717" t="str">
        <f t="shared" si="11"/>
        <v>July</v>
      </c>
    </row>
    <row r="718" spans="1:19" x14ac:dyDescent="0.2">
      <c r="A718" t="s">
        <v>1494</v>
      </c>
      <c r="B718" t="s">
        <v>1495</v>
      </c>
      <c r="C718" t="s">
        <v>58</v>
      </c>
      <c r="D718" t="s">
        <v>42</v>
      </c>
      <c r="E718" s="1">
        <v>45761</v>
      </c>
      <c r="F718" s="1">
        <v>45765</v>
      </c>
      <c r="G718" t="s">
        <v>59</v>
      </c>
      <c r="H718" t="s">
        <v>50</v>
      </c>
      <c r="I718" t="s">
        <v>31</v>
      </c>
      <c r="J718">
        <v>14</v>
      </c>
      <c r="K718" t="s">
        <v>46</v>
      </c>
      <c r="L718" t="s">
        <v>32</v>
      </c>
      <c r="M718" t="s">
        <v>52</v>
      </c>
      <c r="N718">
        <v>4</v>
      </c>
      <c r="O718" s="3">
        <v>6763.12</v>
      </c>
      <c r="P718">
        <v>0</v>
      </c>
      <c r="Q718">
        <v>3.1</v>
      </c>
      <c r="R718">
        <v>0.76</v>
      </c>
      <c r="S718" t="str">
        <f t="shared" si="11"/>
        <v>April</v>
      </c>
    </row>
    <row r="719" spans="1:19" x14ac:dyDescent="0.2">
      <c r="A719" t="s">
        <v>1496</v>
      </c>
      <c r="B719" t="s">
        <v>1497</v>
      </c>
      <c r="C719" t="s">
        <v>62</v>
      </c>
      <c r="D719" t="s">
        <v>35</v>
      </c>
      <c r="E719" s="1">
        <v>45837</v>
      </c>
      <c r="F719" s="1">
        <v>45841</v>
      </c>
      <c r="G719" t="s">
        <v>43</v>
      </c>
      <c r="H719" t="s">
        <v>23</v>
      </c>
      <c r="I719" t="s">
        <v>31</v>
      </c>
      <c r="J719">
        <v>35</v>
      </c>
      <c r="K719" t="s">
        <v>25</v>
      </c>
      <c r="L719" t="s">
        <v>32</v>
      </c>
      <c r="M719" t="s">
        <v>82</v>
      </c>
      <c r="N719">
        <v>3.1</v>
      </c>
      <c r="O719" s="3">
        <v>6763.12</v>
      </c>
      <c r="P719">
        <v>0</v>
      </c>
      <c r="Q719">
        <v>3.6</v>
      </c>
      <c r="R719">
        <v>0.88</v>
      </c>
      <c r="S719" t="str">
        <f t="shared" si="11"/>
        <v>June</v>
      </c>
    </row>
    <row r="720" spans="1:19" x14ac:dyDescent="0.2">
      <c r="A720" t="s">
        <v>1498</v>
      </c>
      <c r="B720" t="s">
        <v>1499</v>
      </c>
      <c r="C720" t="s">
        <v>58</v>
      </c>
      <c r="D720" t="s">
        <v>42</v>
      </c>
      <c r="E720" s="1">
        <v>45822</v>
      </c>
      <c r="F720" s="1">
        <v>45835</v>
      </c>
      <c r="G720" t="s">
        <v>59</v>
      </c>
      <c r="H720" t="s">
        <v>50</v>
      </c>
      <c r="I720" t="s">
        <v>31</v>
      </c>
      <c r="J720">
        <v>19</v>
      </c>
      <c r="K720" t="s">
        <v>78</v>
      </c>
      <c r="L720" t="s">
        <v>26</v>
      </c>
      <c r="M720" t="s">
        <v>82</v>
      </c>
      <c r="N720">
        <v>12.4</v>
      </c>
      <c r="O720" s="3">
        <v>6763.12</v>
      </c>
      <c r="P720">
        <v>0</v>
      </c>
      <c r="Q720">
        <v>3.4</v>
      </c>
      <c r="R720">
        <v>0.7</v>
      </c>
      <c r="S720" t="str">
        <f t="shared" si="11"/>
        <v>June</v>
      </c>
    </row>
    <row r="721" spans="1:19" x14ac:dyDescent="0.2">
      <c r="A721" t="s">
        <v>1500</v>
      </c>
      <c r="B721" t="s">
        <v>1501</v>
      </c>
      <c r="C721" t="s">
        <v>20</v>
      </c>
      <c r="D721" t="s">
        <v>21</v>
      </c>
      <c r="E721" s="1">
        <v>45851</v>
      </c>
      <c r="F721" s="1">
        <v>45854</v>
      </c>
      <c r="G721" t="s">
        <v>116</v>
      </c>
      <c r="H721" t="s">
        <v>50</v>
      </c>
      <c r="I721" t="s">
        <v>64</v>
      </c>
      <c r="J721">
        <v>17</v>
      </c>
      <c r="K721" t="s">
        <v>46</v>
      </c>
      <c r="L721" t="s">
        <v>32</v>
      </c>
      <c r="M721" t="s">
        <v>27</v>
      </c>
      <c r="N721">
        <v>2.6</v>
      </c>
      <c r="O721" s="3">
        <v>6763.12</v>
      </c>
      <c r="P721">
        <v>0</v>
      </c>
      <c r="Q721">
        <v>5</v>
      </c>
      <c r="R721">
        <v>0.8</v>
      </c>
      <c r="S721" t="str">
        <f t="shared" si="11"/>
        <v>July</v>
      </c>
    </row>
    <row r="722" spans="1:19" x14ac:dyDescent="0.2">
      <c r="A722" t="s">
        <v>1502</v>
      </c>
      <c r="B722" t="s">
        <v>1503</v>
      </c>
      <c r="C722" t="s">
        <v>122</v>
      </c>
      <c r="D722" t="s">
        <v>49</v>
      </c>
      <c r="E722" s="1">
        <v>45801</v>
      </c>
      <c r="F722" s="1">
        <v>45807</v>
      </c>
      <c r="G722" t="s">
        <v>63</v>
      </c>
      <c r="H722" t="s">
        <v>50</v>
      </c>
      <c r="I722" t="s">
        <v>24</v>
      </c>
      <c r="J722">
        <v>83</v>
      </c>
      <c r="K722" t="s">
        <v>65</v>
      </c>
      <c r="L722" t="s">
        <v>26</v>
      </c>
      <c r="M722" t="s">
        <v>82</v>
      </c>
      <c r="N722">
        <v>5.3</v>
      </c>
      <c r="O722" s="3">
        <v>6763.12</v>
      </c>
      <c r="P722">
        <v>0</v>
      </c>
      <c r="Q722">
        <v>3.8</v>
      </c>
      <c r="R722">
        <v>0.77</v>
      </c>
      <c r="S722" t="str">
        <f t="shared" si="11"/>
        <v>May</v>
      </c>
    </row>
    <row r="723" spans="1:19" x14ac:dyDescent="0.2">
      <c r="A723" t="s">
        <v>1504</v>
      </c>
      <c r="B723" t="s">
        <v>1505</v>
      </c>
      <c r="C723" t="s">
        <v>122</v>
      </c>
      <c r="D723" t="s">
        <v>21</v>
      </c>
      <c r="E723" s="1">
        <v>45853</v>
      </c>
      <c r="F723" s="1">
        <v>45854</v>
      </c>
      <c r="G723" t="s">
        <v>68</v>
      </c>
      <c r="H723" t="s">
        <v>50</v>
      </c>
      <c r="I723" t="s">
        <v>31</v>
      </c>
      <c r="J723">
        <v>54</v>
      </c>
      <c r="K723" t="s">
        <v>38</v>
      </c>
      <c r="L723" t="s">
        <v>26</v>
      </c>
      <c r="M723" t="s">
        <v>39</v>
      </c>
      <c r="N723">
        <v>0.5</v>
      </c>
      <c r="O723" s="3">
        <v>6763.12</v>
      </c>
      <c r="P723">
        <v>0</v>
      </c>
      <c r="Q723">
        <v>3.2</v>
      </c>
      <c r="R723">
        <v>0.79</v>
      </c>
      <c r="S723" t="str">
        <f t="shared" si="11"/>
        <v>July</v>
      </c>
    </row>
    <row r="724" spans="1:19" x14ac:dyDescent="0.2">
      <c r="A724" t="s">
        <v>1506</v>
      </c>
      <c r="B724" t="s">
        <v>1507</v>
      </c>
      <c r="C724" t="s">
        <v>122</v>
      </c>
      <c r="D724" t="s">
        <v>42</v>
      </c>
      <c r="E724" s="1">
        <v>45959</v>
      </c>
      <c r="F724" s="1">
        <v>45967</v>
      </c>
      <c r="G724" t="s">
        <v>63</v>
      </c>
      <c r="H724" t="s">
        <v>50</v>
      </c>
      <c r="I724" t="s">
        <v>24</v>
      </c>
      <c r="J724">
        <v>1</v>
      </c>
      <c r="K724" t="s">
        <v>103</v>
      </c>
      <c r="L724" t="s">
        <v>32</v>
      </c>
      <c r="M724" t="s">
        <v>39</v>
      </c>
      <c r="N724">
        <v>7.8</v>
      </c>
      <c r="O724" s="3">
        <v>6763.12</v>
      </c>
      <c r="P724">
        <v>0</v>
      </c>
      <c r="Q724">
        <v>3.7</v>
      </c>
      <c r="R724">
        <v>0.84</v>
      </c>
      <c r="S724" t="str">
        <f t="shared" si="11"/>
        <v>October</v>
      </c>
    </row>
    <row r="725" spans="1:19" x14ac:dyDescent="0.2">
      <c r="A725" t="s">
        <v>1508</v>
      </c>
      <c r="B725" t="s">
        <v>1509</v>
      </c>
      <c r="C725" t="s">
        <v>30</v>
      </c>
      <c r="D725" t="s">
        <v>49</v>
      </c>
      <c r="E725" s="1">
        <v>45816</v>
      </c>
      <c r="F725" s="1">
        <v>45817</v>
      </c>
      <c r="G725" t="s">
        <v>68</v>
      </c>
      <c r="H725" t="s">
        <v>50</v>
      </c>
      <c r="I725" t="s">
        <v>55</v>
      </c>
      <c r="J725">
        <v>9</v>
      </c>
      <c r="K725" t="s">
        <v>103</v>
      </c>
      <c r="L725" t="s">
        <v>32</v>
      </c>
      <c r="M725" t="s">
        <v>27</v>
      </c>
      <c r="N725">
        <v>0.5</v>
      </c>
      <c r="O725" s="3">
        <v>6763.12</v>
      </c>
      <c r="P725">
        <v>0</v>
      </c>
      <c r="Q725">
        <v>4.0999999999999996</v>
      </c>
      <c r="R725">
        <v>0.83</v>
      </c>
      <c r="S725" t="str">
        <f t="shared" si="11"/>
        <v>June</v>
      </c>
    </row>
    <row r="726" spans="1:19" x14ac:dyDescent="0.2">
      <c r="A726" t="s">
        <v>1510</v>
      </c>
      <c r="B726" t="s">
        <v>1511</v>
      </c>
      <c r="C726" t="s">
        <v>20</v>
      </c>
      <c r="D726" t="s">
        <v>42</v>
      </c>
      <c r="E726" s="1">
        <v>45789</v>
      </c>
      <c r="F726" s="1">
        <v>45792</v>
      </c>
      <c r="G726" t="s">
        <v>99</v>
      </c>
      <c r="H726" t="s">
        <v>50</v>
      </c>
      <c r="I726" t="s">
        <v>100</v>
      </c>
      <c r="J726">
        <v>74</v>
      </c>
      <c r="K726" t="s">
        <v>169</v>
      </c>
      <c r="L726" t="s">
        <v>26</v>
      </c>
      <c r="M726" t="s">
        <v>27</v>
      </c>
      <c r="N726">
        <v>2.1</v>
      </c>
      <c r="O726" s="3">
        <v>6763.12</v>
      </c>
      <c r="P726">
        <v>0</v>
      </c>
      <c r="Q726">
        <v>3.1</v>
      </c>
      <c r="R726">
        <v>0.76</v>
      </c>
      <c r="S726" t="str">
        <f t="shared" si="11"/>
        <v>May</v>
      </c>
    </row>
    <row r="727" spans="1:19" x14ac:dyDescent="0.2">
      <c r="A727" t="s">
        <v>1512</v>
      </c>
      <c r="B727" t="s">
        <v>1513</v>
      </c>
      <c r="C727" t="s">
        <v>122</v>
      </c>
      <c r="D727" t="s">
        <v>35</v>
      </c>
      <c r="E727" s="1">
        <v>45706</v>
      </c>
      <c r="F727" s="1">
        <v>45707</v>
      </c>
      <c r="G727" t="s">
        <v>50</v>
      </c>
      <c r="H727" t="s">
        <v>50</v>
      </c>
      <c r="I727" t="s">
        <v>81</v>
      </c>
      <c r="J727">
        <v>24</v>
      </c>
      <c r="K727" t="s">
        <v>78</v>
      </c>
      <c r="L727" t="s">
        <v>26</v>
      </c>
      <c r="M727" t="s">
        <v>39</v>
      </c>
      <c r="N727">
        <v>0.4</v>
      </c>
      <c r="O727" s="3">
        <v>6763.12</v>
      </c>
      <c r="P727">
        <v>0</v>
      </c>
      <c r="Q727">
        <v>3.9</v>
      </c>
      <c r="R727">
        <v>0.73</v>
      </c>
      <c r="S727" t="str">
        <f t="shared" si="11"/>
        <v>February</v>
      </c>
    </row>
    <row r="728" spans="1:19" x14ac:dyDescent="0.2">
      <c r="A728" t="s">
        <v>1514</v>
      </c>
      <c r="B728" t="s">
        <v>1515</v>
      </c>
      <c r="C728" t="s">
        <v>30</v>
      </c>
      <c r="D728" t="s">
        <v>35</v>
      </c>
      <c r="E728" s="1">
        <v>45789</v>
      </c>
      <c r="F728" s="1">
        <v>45790</v>
      </c>
      <c r="G728" t="s">
        <v>68</v>
      </c>
      <c r="H728" t="s">
        <v>50</v>
      </c>
      <c r="I728" t="s">
        <v>100</v>
      </c>
      <c r="J728">
        <v>13</v>
      </c>
      <c r="K728" t="s">
        <v>46</v>
      </c>
      <c r="L728" t="s">
        <v>32</v>
      </c>
      <c r="M728" t="s">
        <v>27</v>
      </c>
      <c r="N728">
        <v>0.3</v>
      </c>
      <c r="O728" s="3">
        <v>6763.12</v>
      </c>
      <c r="P728">
        <v>0</v>
      </c>
      <c r="Q728">
        <v>4.5999999999999996</v>
      </c>
      <c r="R728">
        <v>0.89</v>
      </c>
      <c r="S728" t="str">
        <f t="shared" si="11"/>
        <v>May</v>
      </c>
    </row>
    <row r="729" spans="1:19" x14ac:dyDescent="0.2">
      <c r="A729" t="s">
        <v>1516</v>
      </c>
      <c r="B729" t="s">
        <v>1517</v>
      </c>
      <c r="C729" t="s">
        <v>122</v>
      </c>
      <c r="D729" t="s">
        <v>21</v>
      </c>
      <c r="E729" s="1">
        <v>45703</v>
      </c>
      <c r="F729" s="1">
        <v>45707</v>
      </c>
      <c r="G729" t="s">
        <v>43</v>
      </c>
      <c r="H729" t="s">
        <v>50</v>
      </c>
      <c r="I729" t="s">
        <v>31</v>
      </c>
      <c r="J729">
        <v>60</v>
      </c>
      <c r="K729" t="s">
        <v>38</v>
      </c>
      <c r="L729" t="s">
        <v>32</v>
      </c>
      <c r="M729" t="s">
        <v>82</v>
      </c>
      <c r="N729">
        <v>3.3</v>
      </c>
      <c r="O729" s="3">
        <v>6763.12</v>
      </c>
      <c r="P729">
        <v>1</v>
      </c>
      <c r="Q729">
        <v>4</v>
      </c>
      <c r="R729">
        <v>0.8</v>
      </c>
      <c r="S729" t="str">
        <f t="shared" si="11"/>
        <v>February</v>
      </c>
    </row>
    <row r="730" spans="1:19" x14ac:dyDescent="0.2">
      <c r="A730" t="s">
        <v>1518</v>
      </c>
      <c r="B730" t="s">
        <v>1519</v>
      </c>
      <c r="C730" t="s">
        <v>58</v>
      </c>
      <c r="D730" t="s">
        <v>35</v>
      </c>
      <c r="E730" s="1">
        <v>45724</v>
      </c>
      <c r="F730" s="1">
        <v>45726</v>
      </c>
      <c r="G730" t="s">
        <v>50</v>
      </c>
      <c r="H730" t="s">
        <v>23</v>
      </c>
      <c r="I730" t="s">
        <v>81</v>
      </c>
      <c r="J730">
        <v>76</v>
      </c>
      <c r="K730" t="s">
        <v>65</v>
      </c>
      <c r="L730" t="s">
        <v>26</v>
      </c>
      <c r="M730" t="s">
        <v>82</v>
      </c>
      <c r="N730">
        <v>1.4</v>
      </c>
      <c r="O730" s="3">
        <v>6763.12</v>
      </c>
      <c r="P730">
        <v>0</v>
      </c>
      <c r="Q730">
        <v>3.2</v>
      </c>
      <c r="R730">
        <v>0.77</v>
      </c>
      <c r="S730" t="str">
        <f t="shared" si="11"/>
        <v>March</v>
      </c>
    </row>
    <row r="731" spans="1:19" x14ac:dyDescent="0.2">
      <c r="A731" t="s">
        <v>1520</v>
      </c>
      <c r="B731" t="s">
        <v>1521</v>
      </c>
      <c r="C731" t="s">
        <v>20</v>
      </c>
      <c r="D731" t="s">
        <v>49</v>
      </c>
      <c r="E731" s="1">
        <v>46005</v>
      </c>
      <c r="F731" s="1">
        <v>46017</v>
      </c>
      <c r="G731" t="s">
        <v>71</v>
      </c>
      <c r="H731" t="s">
        <v>44</v>
      </c>
      <c r="I731" t="s">
        <v>51</v>
      </c>
      <c r="J731">
        <v>36</v>
      </c>
      <c r="K731" t="s">
        <v>25</v>
      </c>
      <c r="L731" t="s">
        <v>26</v>
      </c>
      <c r="M731" t="s">
        <v>52</v>
      </c>
      <c r="N731">
        <v>11.8</v>
      </c>
      <c r="O731" s="3">
        <v>6763.12</v>
      </c>
      <c r="P731">
        <v>0</v>
      </c>
      <c r="Q731">
        <v>3.4</v>
      </c>
      <c r="R731">
        <v>0.79</v>
      </c>
      <c r="S731" t="str">
        <f t="shared" si="11"/>
        <v>December</v>
      </c>
    </row>
    <row r="732" spans="1:19" x14ac:dyDescent="0.2">
      <c r="A732" t="s">
        <v>1522</v>
      </c>
      <c r="B732" t="s">
        <v>1523</v>
      </c>
      <c r="C732" t="s">
        <v>62</v>
      </c>
      <c r="D732" t="s">
        <v>35</v>
      </c>
      <c r="E732" s="1">
        <v>45690</v>
      </c>
      <c r="F732" s="1">
        <v>45698</v>
      </c>
      <c r="G732" t="s">
        <v>59</v>
      </c>
      <c r="H732" t="s">
        <v>50</v>
      </c>
      <c r="I732" t="s">
        <v>100</v>
      </c>
      <c r="J732">
        <v>67</v>
      </c>
      <c r="K732" t="s">
        <v>169</v>
      </c>
      <c r="L732" t="s">
        <v>32</v>
      </c>
      <c r="M732" t="s">
        <v>27</v>
      </c>
      <c r="N732">
        <v>7.3</v>
      </c>
      <c r="O732" s="3">
        <v>6763.12</v>
      </c>
      <c r="P732">
        <v>0</v>
      </c>
      <c r="Q732">
        <v>2.6</v>
      </c>
      <c r="R732">
        <v>0.85</v>
      </c>
      <c r="S732" t="str">
        <f t="shared" si="11"/>
        <v>February</v>
      </c>
    </row>
    <row r="733" spans="1:19" x14ac:dyDescent="0.2">
      <c r="A733" t="s">
        <v>1524</v>
      </c>
      <c r="B733" t="s">
        <v>1525</v>
      </c>
      <c r="C733" t="s">
        <v>20</v>
      </c>
      <c r="D733" t="s">
        <v>49</v>
      </c>
      <c r="E733" s="1">
        <v>45833</v>
      </c>
      <c r="F733" s="1">
        <v>45836</v>
      </c>
      <c r="G733" t="s">
        <v>59</v>
      </c>
      <c r="H733" t="s">
        <v>44</v>
      </c>
      <c r="I733" t="s">
        <v>51</v>
      </c>
      <c r="J733">
        <v>38</v>
      </c>
      <c r="K733" t="s">
        <v>25</v>
      </c>
      <c r="L733" t="s">
        <v>32</v>
      </c>
      <c r="M733" t="s">
        <v>52</v>
      </c>
      <c r="N733">
        <v>2.6</v>
      </c>
      <c r="O733" s="3">
        <v>6763.12</v>
      </c>
      <c r="P733">
        <v>0</v>
      </c>
      <c r="Q733">
        <v>3.7</v>
      </c>
      <c r="R733">
        <v>0.76</v>
      </c>
      <c r="S733" t="str">
        <f t="shared" si="11"/>
        <v>June</v>
      </c>
    </row>
    <row r="734" spans="1:19" x14ac:dyDescent="0.2">
      <c r="A734" t="s">
        <v>1526</v>
      </c>
      <c r="B734" t="s">
        <v>1527</v>
      </c>
      <c r="C734" t="s">
        <v>62</v>
      </c>
      <c r="D734" t="s">
        <v>35</v>
      </c>
      <c r="E734" s="1">
        <v>45962</v>
      </c>
      <c r="F734" s="1">
        <v>45964</v>
      </c>
      <c r="G734" t="s">
        <v>43</v>
      </c>
      <c r="H734" t="s">
        <v>50</v>
      </c>
      <c r="I734" t="s">
        <v>45</v>
      </c>
      <c r="J734">
        <v>9</v>
      </c>
      <c r="K734" t="s">
        <v>103</v>
      </c>
      <c r="L734" t="s">
        <v>26</v>
      </c>
      <c r="M734" t="s">
        <v>27</v>
      </c>
      <c r="N734">
        <v>1.9</v>
      </c>
      <c r="O734" s="3">
        <v>6763.12</v>
      </c>
      <c r="P734">
        <v>0</v>
      </c>
      <c r="Q734">
        <v>4.0999999999999996</v>
      </c>
      <c r="R734">
        <v>0.86</v>
      </c>
      <c r="S734" t="str">
        <f t="shared" si="11"/>
        <v>November</v>
      </c>
    </row>
    <row r="735" spans="1:19" x14ac:dyDescent="0.2">
      <c r="A735" t="s">
        <v>1528</v>
      </c>
      <c r="B735" t="s">
        <v>1529</v>
      </c>
      <c r="C735" t="s">
        <v>62</v>
      </c>
      <c r="D735" t="s">
        <v>35</v>
      </c>
      <c r="E735" s="1">
        <v>46005</v>
      </c>
      <c r="F735" s="1">
        <v>46006</v>
      </c>
      <c r="G735" t="s">
        <v>36</v>
      </c>
      <c r="H735" t="s">
        <v>50</v>
      </c>
      <c r="I735" t="s">
        <v>100</v>
      </c>
      <c r="J735">
        <v>72</v>
      </c>
      <c r="K735" t="s">
        <v>169</v>
      </c>
      <c r="L735" t="s">
        <v>32</v>
      </c>
      <c r="M735" t="s">
        <v>39</v>
      </c>
      <c r="N735">
        <v>0.5</v>
      </c>
      <c r="O735" s="3">
        <v>6763.12</v>
      </c>
      <c r="P735">
        <v>0</v>
      </c>
      <c r="Q735">
        <v>3.4</v>
      </c>
      <c r="R735">
        <v>0.79</v>
      </c>
      <c r="S735" t="str">
        <f t="shared" si="11"/>
        <v>December</v>
      </c>
    </row>
    <row r="736" spans="1:19" x14ac:dyDescent="0.2">
      <c r="A736" t="s">
        <v>1530</v>
      </c>
      <c r="B736" t="s">
        <v>1531</v>
      </c>
      <c r="C736" t="s">
        <v>30</v>
      </c>
      <c r="D736" t="s">
        <v>49</v>
      </c>
      <c r="E736" s="1">
        <v>45711</v>
      </c>
      <c r="F736" s="1">
        <v>45713</v>
      </c>
      <c r="G736" t="s">
        <v>43</v>
      </c>
      <c r="H736" t="s">
        <v>23</v>
      </c>
      <c r="I736" t="s">
        <v>51</v>
      </c>
      <c r="J736">
        <v>83</v>
      </c>
      <c r="K736" t="s">
        <v>65</v>
      </c>
      <c r="L736" t="s">
        <v>32</v>
      </c>
      <c r="M736" t="s">
        <v>82</v>
      </c>
      <c r="N736">
        <v>1.9</v>
      </c>
      <c r="O736" s="3">
        <v>6763.12</v>
      </c>
      <c r="P736">
        <v>0</v>
      </c>
      <c r="Q736">
        <v>5</v>
      </c>
      <c r="R736">
        <v>0.81</v>
      </c>
      <c r="S736" t="str">
        <f t="shared" si="11"/>
        <v>February</v>
      </c>
    </row>
    <row r="737" spans="1:19" x14ac:dyDescent="0.2">
      <c r="A737" t="s">
        <v>1532</v>
      </c>
      <c r="B737" t="s">
        <v>1533</v>
      </c>
      <c r="C737" t="s">
        <v>62</v>
      </c>
      <c r="D737" t="s">
        <v>21</v>
      </c>
      <c r="E737" s="1">
        <v>45717</v>
      </c>
      <c r="F737" s="1">
        <v>45718</v>
      </c>
      <c r="G737" t="s">
        <v>50</v>
      </c>
      <c r="H737" t="s">
        <v>23</v>
      </c>
      <c r="I737" t="s">
        <v>117</v>
      </c>
      <c r="J737">
        <v>89</v>
      </c>
      <c r="K737" t="s">
        <v>65</v>
      </c>
      <c r="L737" t="s">
        <v>26</v>
      </c>
      <c r="M737" t="s">
        <v>27</v>
      </c>
      <c r="N737">
        <v>0.9</v>
      </c>
      <c r="O737" s="3">
        <v>6763.12</v>
      </c>
      <c r="P737">
        <v>1</v>
      </c>
      <c r="Q737">
        <v>4.2</v>
      </c>
      <c r="R737">
        <v>0.81</v>
      </c>
      <c r="S737" t="str">
        <f t="shared" si="11"/>
        <v>March</v>
      </c>
    </row>
    <row r="738" spans="1:19" x14ac:dyDescent="0.2">
      <c r="A738" t="s">
        <v>1534</v>
      </c>
      <c r="B738" t="s">
        <v>1535</v>
      </c>
      <c r="C738" t="s">
        <v>30</v>
      </c>
      <c r="D738" t="s">
        <v>35</v>
      </c>
      <c r="E738" s="1">
        <v>45793</v>
      </c>
      <c r="F738" s="1">
        <v>45798</v>
      </c>
      <c r="G738" t="s">
        <v>63</v>
      </c>
      <c r="H738" t="s">
        <v>23</v>
      </c>
      <c r="I738" t="s">
        <v>100</v>
      </c>
      <c r="J738">
        <v>9</v>
      </c>
      <c r="K738" t="s">
        <v>103</v>
      </c>
      <c r="L738" t="s">
        <v>32</v>
      </c>
      <c r="M738" t="s">
        <v>27</v>
      </c>
      <c r="N738">
        <v>4.9000000000000004</v>
      </c>
      <c r="O738" s="3">
        <v>6763.12</v>
      </c>
      <c r="P738">
        <v>0</v>
      </c>
      <c r="Q738">
        <v>2.8</v>
      </c>
      <c r="R738">
        <v>0.69</v>
      </c>
      <c r="S738" t="str">
        <f t="shared" si="11"/>
        <v>May</v>
      </c>
    </row>
    <row r="739" spans="1:19" x14ac:dyDescent="0.2">
      <c r="A739" t="s">
        <v>1536</v>
      </c>
      <c r="B739" t="s">
        <v>1537</v>
      </c>
      <c r="C739" t="s">
        <v>20</v>
      </c>
      <c r="D739" t="s">
        <v>35</v>
      </c>
      <c r="E739" s="1">
        <v>45860</v>
      </c>
      <c r="F739" s="1">
        <v>45871</v>
      </c>
      <c r="G739" t="s">
        <v>59</v>
      </c>
      <c r="H739" t="s">
        <v>50</v>
      </c>
      <c r="I739" t="s">
        <v>64</v>
      </c>
      <c r="J739">
        <v>51</v>
      </c>
      <c r="K739" t="s">
        <v>38</v>
      </c>
      <c r="L739" t="s">
        <v>32</v>
      </c>
      <c r="M739" t="s">
        <v>27</v>
      </c>
      <c r="N739">
        <v>10.4</v>
      </c>
      <c r="O739" s="3">
        <v>6763.12</v>
      </c>
      <c r="P739">
        <v>1</v>
      </c>
      <c r="Q739">
        <v>2.5</v>
      </c>
      <c r="R739">
        <v>0.79</v>
      </c>
      <c r="S739" t="str">
        <f t="shared" si="11"/>
        <v>July</v>
      </c>
    </row>
    <row r="740" spans="1:19" x14ac:dyDescent="0.2">
      <c r="A740" t="s">
        <v>1538</v>
      </c>
      <c r="B740" t="s">
        <v>1539</v>
      </c>
      <c r="C740" t="s">
        <v>62</v>
      </c>
      <c r="D740" t="s">
        <v>35</v>
      </c>
      <c r="E740" s="1">
        <v>46008</v>
      </c>
      <c r="F740" s="1">
        <v>46013</v>
      </c>
      <c r="G740" t="s">
        <v>99</v>
      </c>
      <c r="H740" t="s">
        <v>23</v>
      </c>
      <c r="I740" t="s">
        <v>100</v>
      </c>
      <c r="J740">
        <v>56</v>
      </c>
      <c r="K740" t="s">
        <v>38</v>
      </c>
      <c r="L740" t="s">
        <v>26</v>
      </c>
      <c r="M740" t="s">
        <v>39</v>
      </c>
      <c r="N740">
        <v>4.2</v>
      </c>
      <c r="O740" s="3">
        <v>6763.12</v>
      </c>
      <c r="P740">
        <v>0</v>
      </c>
      <c r="Q740">
        <v>3.3</v>
      </c>
      <c r="R740">
        <v>0.8</v>
      </c>
      <c r="S740" t="str">
        <f t="shared" si="11"/>
        <v>December</v>
      </c>
    </row>
    <row r="741" spans="1:19" x14ac:dyDescent="0.2">
      <c r="A741" t="s">
        <v>1540</v>
      </c>
      <c r="B741" t="s">
        <v>1541</v>
      </c>
      <c r="C741" t="s">
        <v>122</v>
      </c>
      <c r="D741" t="s">
        <v>49</v>
      </c>
      <c r="E741" s="1">
        <v>45733</v>
      </c>
      <c r="F741" s="1">
        <v>45734</v>
      </c>
      <c r="G741" t="s">
        <v>50</v>
      </c>
      <c r="H741" t="s">
        <v>50</v>
      </c>
      <c r="I741" t="s">
        <v>37</v>
      </c>
      <c r="J741">
        <v>7</v>
      </c>
      <c r="K741" t="s">
        <v>103</v>
      </c>
      <c r="L741" t="s">
        <v>26</v>
      </c>
      <c r="M741" t="s">
        <v>82</v>
      </c>
      <c r="N741">
        <v>0.4</v>
      </c>
      <c r="O741" s="3">
        <v>6763.12</v>
      </c>
      <c r="P741">
        <v>0</v>
      </c>
      <c r="Q741">
        <v>4.5999999999999996</v>
      </c>
      <c r="R741">
        <v>0.77</v>
      </c>
      <c r="S741" t="str">
        <f t="shared" si="11"/>
        <v>March</v>
      </c>
    </row>
    <row r="742" spans="1:19" x14ac:dyDescent="0.2">
      <c r="A742" t="s">
        <v>1542</v>
      </c>
      <c r="B742" t="s">
        <v>1543</v>
      </c>
      <c r="C742" t="s">
        <v>20</v>
      </c>
      <c r="D742" t="s">
        <v>35</v>
      </c>
      <c r="E742" s="1">
        <v>45718</v>
      </c>
      <c r="F742" s="1">
        <v>45719</v>
      </c>
      <c r="G742" t="s">
        <v>99</v>
      </c>
      <c r="H742" t="s">
        <v>50</v>
      </c>
      <c r="I742" t="s">
        <v>81</v>
      </c>
      <c r="J742">
        <v>86</v>
      </c>
      <c r="K742" t="s">
        <v>65</v>
      </c>
      <c r="L742" t="s">
        <v>32</v>
      </c>
      <c r="M742" t="s">
        <v>27</v>
      </c>
      <c r="N742">
        <v>1</v>
      </c>
      <c r="O742" s="3">
        <v>6763.12</v>
      </c>
      <c r="P742">
        <v>0</v>
      </c>
      <c r="Q742">
        <v>4.4000000000000004</v>
      </c>
      <c r="R742">
        <v>0.8</v>
      </c>
      <c r="S742" t="str">
        <f t="shared" si="11"/>
        <v>March</v>
      </c>
    </row>
    <row r="743" spans="1:19" x14ac:dyDescent="0.2">
      <c r="A743" t="s">
        <v>1544</v>
      </c>
      <c r="B743" t="s">
        <v>1545</v>
      </c>
      <c r="C743" t="s">
        <v>122</v>
      </c>
      <c r="D743" t="s">
        <v>21</v>
      </c>
      <c r="E743" s="1">
        <v>45750</v>
      </c>
      <c r="F743" s="1">
        <v>45757</v>
      </c>
      <c r="G743" t="s">
        <v>63</v>
      </c>
      <c r="H743" t="s">
        <v>50</v>
      </c>
      <c r="I743" t="s">
        <v>64</v>
      </c>
      <c r="J743">
        <v>9</v>
      </c>
      <c r="K743" t="s">
        <v>103</v>
      </c>
      <c r="L743" t="s">
        <v>32</v>
      </c>
      <c r="M743" t="s">
        <v>27</v>
      </c>
      <c r="N743">
        <v>6.2</v>
      </c>
      <c r="O743" s="3">
        <v>6763.12</v>
      </c>
      <c r="P743">
        <v>0</v>
      </c>
      <c r="Q743">
        <v>4.9000000000000004</v>
      </c>
      <c r="R743">
        <v>0.85</v>
      </c>
      <c r="S743" t="str">
        <f t="shared" si="11"/>
        <v>April</v>
      </c>
    </row>
    <row r="744" spans="1:19" x14ac:dyDescent="0.2">
      <c r="A744" t="s">
        <v>1546</v>
      </c>
      <c r="B744" t="s">
        <v>1547</v>
      </c>
      <c r="C744" t="s">
        <v>30</v>
      </c>
      <c r="D744" t="s">
        <v>49</v>
      </c>
      <c r="E744" s="1">
        <v>45977</v>
      </c>
      <c r="F744" s="1">
        <v>45978</v>
      </c>
      <c r="G744" t="s">
        <v>71</v>
      </c>
      <c r="H744" t="s">
        <v>44</v>
      </c>
      <c r="I744" t="s">
        <v>64</v>
      </c>
      <c r="J744">
        <v>24</v>
      </c>
      <c r="K744" t="s">
        <v>78</v>
      </c>
      <c r="L744" t="s">
        <v>26</v>
      </c>
      <c r="M744" t="s">
        <v>39</v>
      </c>
      <c r="N744">
        <v>0.5</v>
      </c>
      <c r="O744" s="3">
        <v>6763.12</v>
      </c>
      <c r="P744">
        <v>0</v>
      </c>
      <c r="Q744">
        <v>3.9</v>
      </c>
      <c r="R744">
        <v>0.83</v>
      </c>
      <c r="S744" t="str">
        <f t="shared" si="11"/>
        <v>November</v>
      </c>
    </row>
    <row r="745" spans="1:19" x14ac:dyDescent="0.2">
      <c r="A745" t="s">
        <v>1548</v>
      </c>
      <c r="B745" t="s">
        <v>1549</v>
      </c>
      <c r="C745" t="s">
        <v>30</v>
      </c>
      <c r="D745" t="s">
        <v>21</v>
      </c>
      <c r="E745" s="1">
        <v>45668</v>
      </c>
      <c r="F745" s="1">
        <v>45681</v>
      </c>
      <c r="G745" t="s">
        <v>99</v>
      </c>
      <c r="H745" t="s">
        <v>50</v>
      </c>
      <c r="I745" t="s">
        <v>64</v>
      </c>
      <c r="J745">
        <v>88</v>
      </c>
      <c r="K745" t="s">
        <v>65</v>
      </c>
      <c r="L745" t="s">
        <v>26</v>
      </c>
      <c r="M745" t="s">
        <v>27</v>
      </c>
      <c r="N745">
        <v>12.1</v>
      </c>
      <c r="O745" s="3">
        <v>6763.12</v>
      </c>
      <c r="P745">
        <v>0</v>
      </c>
      <c r="Q745">
        <v>3.6</v>
      </c>
      <c r="R745">
        <v>0.83</v>
      </c>
      <c r="S745" t="str">
        <f t="shared" si="11"/>
        <v>January</v>
      </c>
    </row>
    <row r="746" spans="1:19" x14ac:dyDescent="0.2">
      <c r="A746" t="s">
        <v>1550</v>
      </c>
      <c r="B746" t="s">
        <v>1551</v>
      </c>
      <c r="C746" t="s">
        <v>30</v>
      </c>
      <c r="D746" t="s">
        <v>49</v>
      </c>
      <c r="E746" s="1">
        <v>45796</v>
      </c>
      <c r="F746" s="1">
        <v>45798</v>
      </c>
      <c r="G746" t="s">
        <v>36</v>
      </c>
      <c r="H746" t="s">
        <v>23</v>
      </c>
      <c r="I746" t="s">
        <v>64</v>
      </c>
      <c r="J746">
        <v>50</v>
      </c>
      <c r="K746" t="s">
        <v>38</v>
      </c>
      <c r="L746" t="s">
        <v>26</v>
      </c>
      <c r="M746" t="s">
        <v>82</v>
      </c>
      <c r="N746">
        <v>1.6</v>
      </c>
      <c r="O746" s="3">
        <v>6763.12</v>
      </c>
      <c r="P746">
        <v>0</v>
      </c>
      <c r="Q746">
        <v>3.2</v>
      </c>
      <c r="R746">
        <v>0.84</v>
      </c>
      <c r="S746" t="str">
        <f t="shared" si="11"/>
        <v>May</v>
      </c>
    </row>
    <row r="747" spans="1:19" x14ac:dyDescent="0.2">
      <c r="A747" t="s">
        <v>1552</v>
      </c>
      <c r="B747" t="s">
        <v>1553</v>
      </c>
      <c r="C747" t="s">
        <v>30</v>
      </c>
      <c r="D747" t="s">
        <v>35</v>
      </c>
      <c r="E747" s="1">
        <v>45701</v>
      </c>
      <c r="F747" s="1">
        <v>45706</v>
      </c>
      <c r="G747" t="s">
        <v>116</v>
      </c>
      <c r="H747" t="s">
        <v>23</v>
      </c>
      <c r="I747" t="s">
        <v>100</v>
      </c>
      <c r="J747">
        <v>61</v>
      </c>
      <c r="K747" t="s">
        <v>38</v>
      </c>
      <c r="L747" t="s">
        <v>26</v>
      </c>
      <c r="M747" t="s">
        <v>52</v>
      </c>
      <c r="N747">
        <v>4.7</v>
      </c>
      <c r="O747" s="3">
        <v>6763.12</v>
      </c>
      <c r="P747">
        <v>0</v>
      </c>
      <c r="Q747">
        <v>4.0999999999999996</v>
      </c>
      <c r="R747">
        <v>0.85</v>
      </c>
      <c r="S747" t="str">
        <f t="shared" si="11"/>
        <v>February</v>
      </c>
    </row>
    <row r="748" spans="1:19" x14ac:dyDescent="0.2">
      <c r="A748" t="s">
        <v>1554</v>
      </c>
      <c r="B748" t="s">
        <v>1555</v>
      </c>
      <c r="C748" t="s">
        <v>58</v>
      </c>
      <c r="D748" t="s">
        <v>42</v>
      </c>
      <c r="E748" s="1">
        <v>45715</v>
      </c>
      <c r="F748" s="1">
        <v>45717</v>
      </c>
      <c r="G748" t="s">
        <v>99</v>
      </c>
      <c r="H748" t="s">
        <v>23</v>
      </c>
      <c r="I748" t="s">
        <v>81</v>
      </c>
      <c r="J748">
        <v>44</v>
      </c>
      <c r="K748" t="s">
        <v>25</v>
      </c>
      <c r="L748" t="s">
        <v>26</v>
      </c>
      <c r="M748" t="s">
        <v>82</v>
      </c>
      <c r="N748">
        <v>1.8</v>
      </c>
      <c r="O748" s="3">
        <v>6763.12</v>
      </c>
      <c r="P748">
        <v>0</v>
      </c>
      <c r="Q748">
        <v>3.8</v>
      </c>
      <c r="R748">
        <v>0.77</v>
      </c>
      <c r="S748" t="str">
        <f t="shared" si="11"/>
        <v>February</v>
      </c>
    </row>
    <row r="749" spans="1:19" x14ac:dyDescent="0.2">
      <c r="A749" t="s">
        <v>1556</v>
      </c>
      <c r="B749" t="s">
        <v>1557</v>
      </c>
      <c r="C749" t="s">
        <v>20</v>
      </c>
      <c r="D749" t="s">
        <v>21</v>
      </c>
      <c r="E749" s="1">
        <v>45992</v>
      </c>
      <c r="F749" s="1">
        <v>45996</v>
      </c>
      <c r="G749" t="s">
        <v>116</v>
      </c>
      <c r="H749" t="s">
        <v>23</v>
      </c>
      <c r="I749" t="s">
        <v>64</v>
      </c>
      <c r="J749">
        <v>68</v>
      </c>
      <c r="K749" t="s">
        <v>169</v>
      </c>
      <c r="L749" t="s">
        <v>26</v>
      </c>
      <c r="M749" t="s">
        <v>82</v>
      </c>
      <c r="N749">
        <v>3.1</v>
      </c>
      <c r="O749" s="3">
        <v>6763.12</v>
      </c>
      <c r="P749">
        <v>0</v>
      </c>
      <c r="Q749">
        <v>3.8</v>
      </c>
      <c r="R749">
        <v>0.81</v>
      </c>
      <c r="S749" t="str">
        <f t="shared" si="11"/>
        <v>December</v>
      </c>
    </row>
    <row r="750" spans="1:19" x14ac:dyDescent="0.2">
      <c r="A750" t="s">
        <v>1558</v>
      </c>
      <c r="B750" t="s">
        <v>1559</v>
      </c>
      <c r="C750" t="s">
        <v>20</v>
      </c>
      <c r="D750" t="s">
        <v>35</v>
      </c>
      <c r="E750" s="1">
        <v>45658</v>
      </c>
      <c r="F750" s="1">
        <v>45659</v>
      </c>
      <c r="G750" t="s">
        <v>50</v>
      </c>
      <c r="H750" t="s">
        <v>44</v>
      </c>
      <c r="I750" t="s">
        <v>55</v>
      </c>
      <c r="J750">
        <v>7</v>
      </c>
      <c r="K750" t="s">
        <v>103</v>
      </c>
      <c r="L750" t="s">
        <v>26</v>
      </c>
      <c r="M750" t="s">
        <v>39</v>
      </c>
      <c r="N750">
        <v>0.3</v>
      </c>
      <c r="O750" s="3">
        <v>6763.12</v>
      </c>
      <c r="P750">
        <v>0</v>
      </c>
      <c r="Q750">
        <v>4.7</v>
      </c>
      <c r="R750">
        <v>0.83</v>
      </c>
      <c r="S750" t="str">
        <f t="shared" si="11"/>
        <v>January</v>
      </c>
    </row>
    <row r="751" spans="1:19" x14ac:dyDescent="0.2">
      <c r="A751" t="s">
        <v>1560</v>
      </c>
      <c r="B751" t="s">
        <v>1561</v>
      </c>
      <c r="C751" t="s">
        <v>58</v>
      </c>
      <c r="D751" t="s">
        <v>42</v>
      </c>
      <c r="E751" s="1">
        <v>45775</v>
      </c>
      <c r="F751" s="1">
        <v>45778</v>
      </c>
      <c r="G751" t="s">
        <v>116</v>
      </c>
      <c r="H751" t="s">
        <v>50</v>
      </c>
      <c r="I751" t="s">
        <v>45</v>
      </c>
      <c r="J751">
        <v>61</v>
      </c>
      <c r="K751" t="s">
        <v>38</v>
      </c>
      <c r="L751" t="s">
        <v>32</v>
      </c>
      <c r="M751" t="s">
        <v>82</v>
      </c>
      <c r="N751">
        <v>2.2999999999999998</v>
      </c>
      <c r="O751" s="3">
        <v>6763.12</v>
      </c>
      <c r="P751">
        <v>0</v>
      </c>
      <c r="Q751">
        <v>3.8</v>
      </c>
      <c r="R751">
        <v>0.65</v>
      </c>
      <c r="S751" t="str">
        <f t="shared" si="11"/>
        <v>April</v>
      </c>
    </row>
    <row r="752" spans="1:19" x14ac:dyDescent="0.2">
      <c r="A752" t="s">
        <v>1562</v>
      </c>
      <c r="B752" t="s">
        <v>1563</v>
      </c>
      <c r="C752" t="s">
        <v>30</v>
      </c>
      <c r="D752" t="s">
        <v>49</v>
      </c>
      <c r="E752" s="1">
        <v>45992</v>
      </c>
      <c r="F752" s="1">
        <v>45993</v>
      </c>
      <c r="G752" t="s">
        <v>116</v>
      </c>
      <c r="H752" t="s">
        <v>50</v>
      </c>
      <c r="I752" t="s">
        <v>100</v>
      </c>
      <c r="J752">
        <v>6</v>
      </c>
      <c r="K752" t="s">
        <v>103</v>
      </c>
      <c r="L752" t="s">
        <v>26</v>
      </c>
      <c r="M752" t="s">
        <v>27</v>
      </c>
      <c r="N752">
        <v>0.4</v>
      </c>
      <c r="O752" s="3">
        <v>6763.12</v>
      </c>
      <c r="P752">
        <v>1</v>
      </c>
      <c r="Q752">
        <v>4.7</v>
      </c>
      <c r="R752">
        <v>0.9</v>
      </c>
      <c r="S752" t="str">
        <f t="shared" si="11"/>
        <v>December</v>
      </c>
    </row>
    <row r="753" spans="1:19" x14ac:dyDescent="0.2">
      <c r="A753" t="s">
        <v>1564</v>
      </c>
      <c r="B753" t="s">
        <v>1565</v>
      </c>
      <c r="C753" t="s">
        <v>122</v>
      </c>
      <c r="D753" t="s">
        <v>49</v>
      </c>
      <c r="E753" s="1">
        <v>45879</v>
      </c>
      <c r="F753" s="1">
        <v>45881</v>
      </c>
      <c r="G753" t="s">
        <v>50</v>
      </c>
      <c r="H753" t="s">
        <v>23</v>
      </c>
      <c r="I753" t="s">
        <v>37</v>
      </c>
      <c r="J753">
        <v>16</v>
      </c>
      <c r="K753" t="s">
        <v>46</v>
      </c>
      <c r="L753" t="s">
        <v>26</v>
      </c>
      <c r="M753" t="s">
        <v>27</v>
      </c>
      <c r="N753">
        <v>1.2</v>
      </c>
      <c r="O753" s="3">
        <v>6763.12</v>
      </c>
      <c r="P753">
        <v>0</v>
      </c>
      <c r="Q753">
        <v>2.7</v>
      </c>
      <c r="R753">
        <v>0.84</v>
      </c>
      <c r="S753" t="str">
        <f t="shared" si="11"/>
        <v>August</v>
      </c>
    </row>
    <row r="754" spans="1:19" x14ac:dyDescent="0.2">
      <c r="A754" t="s">
        <v>1566</v>
      </c>
      <c r="B754" t="s">
        <v>1567</v>
      </c>
      <c r="C754" t="s">
        <v>58</v>
      </c>
      <c r="D754" t="s">
        <v>42</v>
      </c>
      <c r="E754" s="1">
        <v>45684</v>
      </c>
      <c r="F754" s="1">
        <v>45685</v>
      </c>
      <c r="G754" t="s">
        <v>43</v>
      </c>
      <c r="H754" t="s">
        <v>50</v>
      </c>
      <c r="I754" t="s">
        <v>100</v>
      </c>
      <c r="J754">
        <v>46</v>
      </c>
      <c r="K754" t="s">
        <v>25</v>
      </c>
      <c r="L754" t="s">
        <v>32</v>
      </c>
      <c r="M754" t="s">
        <v>39</v>
      </c>
      <c r="N754">
        <v>0.9</v>
      </c>
      <c r="O754" s="3">
        <v>6763.12</v>
      </c>
      <c r="P754">
        <v>0</v>
      </c>
      <c r="Q754">
        <v>5</v>
      </c>
      <c r="R754">
        <v>0.76</v>
      </c>
      <c r="S754" t="str">
        <f t="shared" si="11"/>
        <v>January</v>
      </c>
    </row>
    <row r="755" spans="1:19" x14ac:dyDescent="0.2">
      <c r="A755" t="s">
        <v>1568</v>
      </c>
      <c r="B755" t="s">
        <v>1569</v>
      </c>
      <c r="C755" t="s">
        <v>62</v>
      </c>
      <c r="D755" t="s">
        <v>35</v>
      </c>
      <c r="E755" s="1">
        <v>45827</v>
      </c>
      <c r="F755" s="1">
        <v>45828</v>
      </c>
      <c r="G755" t="s">
        <v>116</v>
      </c>
      <c r="H755" t="s">
        <v>50</v>
      </c>
      <c r="I755" t="s">
        <v>31</v>
      </c>
      <c r="J755">
        <v>40</v>
      </c>
      <c r="K755" t="s">
        <v>25</v>
      </c>
      <c r="L755" t="s">
        <v>32</v>
      </c>
      <c r="M755" t="s">
        <v>27</v>
      </c>
      <c r="N755">
        <v>0.8</v>
      </c>
      <c r="O755" s="3">
        <v>6763.12</v>
      </c>
      <c r="P755">
        <v>0</v>
      </c>
      <c r="Q755">
        <v>3.7</v>
      </c>
      <c r="R755">
        <v>0.78</v>
      </c>
      <c r="S755" t="str">
        <f t="shared" si="11"/>
        <v>June</v>
      </c>
    </row>
    <row r="756" spans="1:19" x14ac:dyDescent="0.2">
      <c r="A756" t="s">
        <v>1570</v>
      </c>
      <c r="B756" t="s">
        <v>1571</v>
      </c>
      <c r="C756" t="s">
        <v>20</v>
      </c>
      <c r="D756" t="s">
        <v>42</v>
      </c>
      <c r="E756" s="1">
        <v>46012</v>
      </c>
      <c r="F756" s="1">
        <v>46015</v>
      </c>
      <c r="G756" t="s">
        <v>36</v>
      </c>
      <c r="H756" t="s">
        <v>50</v>
      </c>
      <c r="I756" t="s">
        <v>55</v>
      </c>
      <c r="J756">
        <v>13</v>
      </c>
      <c r="K756" t="s">
        <v>46</v>
      </c>
      <c r="L756" t="s">
        <v>26</v>
      </c>
      <c r="M756" t="s">
        <v>82</v>
      </c>
      <c r="N756">
        <v>2.4</v>
      </c>
      <c r="O756" s="3">
        <v>6763.12</v>
      </c>
      <c r="P756">
        <v>0</v>
      </c>
      <c r="Q756">
        <v>4.3</v>
      </c>
      <c r="R756">
        <v>0.85</v>
      </c>
      <c r="S756" t="str">
        <f t="shared" si="11"/>
        <v>December</v>
      </c>
    </row>
    <row r="757" spans="1:19" x14ac:dyDescent="0.2">
      <c r="A757" t="s">
        <v>1572</v>
      </c>
      <c r="B757" t="s">
        <v>1573</v>
      </c>
      <c r="C757" t="s">
        <v>30</v>
      </c>
      <c r="D757" t="s">
        <v>49</v>
      </c>
      <c r="E757" s="1">
        <v>45804</v>
      </c>
      <c r="F757" s="1">
        <v>45806</v>
      </c>
      <c r="G757" t="s">
        <v>116</v>
      </c>
      <c r="H757" t="s">
        <v>50</v>
      </c>
      <c r="I757" t="s">
        <v>81</v>
      </c>
      <c r="J757">
        <v>72</v>
      </c>
      <c r="K757" t="s">
        <v>169</v>
      </c>
      <c r="L757" t="s">
        <v>32</v>
      </c>
      <c r="M757" t="s">
        <v>39</v>
      </c>
      <c r="N757">
        <v>1.8</v>
      </c>
      <c r="O757" s="3">
        <v>6763.12</v>
      </c>
      <c r="P757">
        <v>0</v>
      </c>
      <c r="Q757">
        <v>4.4000000000000004</v>
      </c>
      <c r="R757">
        <v>0.79</v>
      </c>
      <c r="S757" t="str">
        <f t="shared" si="11"/>
        <v>May</v>
      </c>
    </row>
    <row r="758" spans="1:19" x14ac:dyDescent="0.2">
      <c r="A758" t="s">
        <v>1574</v>
      </c>
      <c r="B758" t="s">
        <v>1575</v>
      </c>
      <c r="C758" t="s">
        <v>62</v>
      </c>
      <c r="D758" t="s">
        <v>21</v>
      </c>
      <c r="E758" s="1">
        <v>45850</v>
      </c>
      <c r="F758" s="1">
        <v>45853</v>
      </c>
      <c r="G758" t="s">
        <v>22</v>
      </c>
      <c r="H758" t="s">
        <v>50</v>
      </c>
      <c r="I758" t="s">
        <v>100</v>
      </c>
      <c r="J758">
        <v>27</v>
      </c>
      <c r="K758" t="s">
        <v>78</v>
      </c>
      <c r="L758" t="s">
        <v>26</v>
      </c>
      <c r="M758" t="s">
        <v>52</v>
      </c>
      <c r="N758">
        <v>3</v>
      </c>
      <c r="O758" s="3">
        <v>6763.12</v>
      </c>
      <c r="P758">
        <v>0</v>
      </c>
      <c r="Q758">
        <v>3.6</v>
      </c>
      <c r="R758">
        <v>0.86</v>
      </c>
      <c r="S758" t="str">
        <f t="shared" si="11"/>
        <v>July</v>
      </c>
    </row>
    <row r="759" spans="1:19" x14ac:dyDescent="0.2">
      <c r="A759" t="s">
        <v>1576</v>
      </c>
      <c r="B759" t="s">
        <v>1577</v>
      </c>
      <c r="C759" t="s">
        <v>62</v>
      </c>
      <c r="D759" t="s">
        <v>35</v>
      </c>
      <c r="E759" s="1">
        <v>45852</v>
      </c>
      <c r="F759" s="1">
        <v>45854</v>
      </c>
      <c r="G759" t="s">
        <v>50</v>
      </c>
      <c r="H759" t="s">
        <v>50</v>
      </c>
      <c r="I759" t="s">
        <v>100</v>
      </c>
      <c r="J759">
        <v>78</v>
      </c>
      <c r="K759" t="s">
        <v>65</v>
      </c>
      <c r="L759" t="s">
        <v>32</v>
      </c>
      <c r="M759" t="s">
        <v>27</v>
      </c>
      <c r="N759">
        <v>1.4</v>
      </c>
      <c r="O759" s="3">
        <v>6763.12</v>
      </c>
      <c r="P759">
        <v>1</v>
      </c>
      <c r="Q759">
        <v>4.2</v>
      </c>
      <c r="R759">
        <v>0.79</v>
      </c>
      <c r="S759" t="str">
        <f t="shared" si="11"/>
        <v>July</v>
      </c>
    </row>
    <row r="760" spans="1:19" x14ac:dyDescent="0.2">
      <c r="A760" t="s">
        <v>1578</v>
      </c>
      <c r="B760" t="s">
        <v>1579</v>
      </c>
      <c r="C760" t="s">
        <v>122</v>
      </c>
      <c r="D760" t="s">
        <v>35</v>
      </c>
      <c r="E760" s="1">
        <v>45899</v>
      </c>
      <c r="F760" s="1">
        <v>45903</v>
      </c>
      <c r="G760" t="s">
        <v>36</v>
      </c>
      <c r="H760" t="s">
        <v>44</v>
      </c>
      <c r="I760" t="s">
        <v>55</v>
      </c>
      <c r="J760">
        <v>1</v>
      </c>
      <c r="K760" t="s">
        <v>103</v>
      </c>
      <c r="L760" t="s">
        <v>32</v>
      </c>
      <c r="M760" t="s">
        <v>39</v>
      </c>
      <c r="N760">
        <v>3.7</v>
      </c>
      <c r="O760" s="3">
        <v>6763.12</v>
      </c>
      <c r="P760">
        <v>0</v>
      </c>
      <c r="Q760">
        <v>4.4000000000000004</v>
      </c>
      <c r="R760">
        <v>0.87</v>
      </c>
      <c r="S760" t="str">
        <f t="shared" si="11"/>
        <v>August</v>
      </c>
    </row>
    <row r="761" spans="1:19" x14ac:dyDescent="0.2">
      <c r="A761" t="s">
        <v>1580</v>
      </c>
      <c r="B761" t="s">
        <v>1581</v>
      </c>
      <c r="C761" t="s">
        <v>122</v>
      </c>
      <c r="D761" t="s">
        <v>42</v>
      </c>
      <c r="E761" s="1">
        <v>45726</v>
      </c>
      <c r="F761" s="1">
        <v>45738</v>
      </c>
      <c r="G761" t="s">
        <v>59</v>
      </c>
      <c r="H761" t="s">
        <v>50</v>
      </c>
      <c r="I761" t="s">
        <v>31</v>
      </c>
      <c r="J761">
        <v>21</v>
      </c>
      <c r="K761" t="s">
        <v>78</v>
      </c>
      <c r="L761" t="s">
        <v>32</v>
      </c>
      <c r="M761" t="s">
        <v>82</v>
      </c>
      <c r="N761">
        <v>11.2</v>
      </c>
      <c r="O761" s="3">
        <v>6763.12</v>
      </c>
      <c r="P761">
        <v>1</v>
      </c>
      <c r="Q761">
        <v>3.2</v>
      </c>
      <c r="R761">
        <v>0.72</v>
      </c>
      <c r="S761" t="str">
        <f t="shared" si="11"/>
        <v>March</v>
      </c>
    </row>
    <row r="762" spans="1:19" x14ac:dyDescent="0.2">
      <c r="A762" t="s">
        <v>1582</v>
      </c>
      <c r="B762" t="s">
        <v>1583</v>
      </c>
      <c r="C762" t="s">
        <v>30</v>
      </c>
      <c r="D762" t="s">
        <v>35</v>
      </c>
      <c r="E762" s="1">
        <v>45964</v>
      </c>
      <c r="F762" s="1">
        <v>45972</v>
      </c>
      <c r="G762" t="s">
        <v>59</v>
      </c>
      <c r="H762" t="s">
        <v>44</v>
      </c>
      <c r="I762" t="s">
        <v>81</v>
      </c>
      <c r="J762">
        <v>27</v>
      </c>
      <c r="K762" t="s">
        <v>78</v>
      </c>
      <c r="L762" t="s">
        <v>26</v>
      </c>
      <c r="M762" t="s">
        <v>27</v>
      </c>
      <c r="N762">
        <v>7.5</v>
      </c>
      <c r="O762" s="3">
        <v>6763.12</v>
      </c>
      <c r="P762">
        <v>0</v>
      </c>
      <c r="Q762">
        <v>3.2</v>
      </c>
      <c r="R762">
        <v>0.82</v>
      </c>
      <c r="S762" t="str">
        <f t="shared" si="11"/>
        <v>November</v>
      </c>
    </row>
    <row r="763" spans="1:19" x14ac:dyDescent="0.2">
      <c r="A763" t="s">
        <v>1584</v>
      </c>
      <c r="B763" t="s">
        <v>1585</v>
      </c>
      <c r="C763" t="s">
        <v>20</v>
      </c>
      <c r="D763" t="s">
        <v>35</v>
      </c>
      <c r="E763" s="1">
        <v>46018</v>
      </c>
      <c r="F763" s="1">
        <v>46024</v>
      </c>
      <c r="G763" t="s">
        <v>71</v>
      </c>
      <c r="H763" t="s">
        <v>44</v>
      </c>
      <c r="I763" t="s">
        <v>100</v>
      </c>
      <c r="J763">
        <v>54</v>
      </c>
      <c r="K763" t="s">
        <v>38</v>
      </c>
      <c r="L763" t="s">
        <v>32</v>
      </c>
      <c r="M763" t="s">
        <v>39</v>
      </c>
      <c r="N763">
        <v>6</v>
      </c>
      <c r="O763" s="3">
        <v>6763.12</v>
      </c>
      <c r="P763">
        <v>0</v>
      </c>
      <c r="Q763">
        <v>3.9</v>
      </c>
      <c r="R763">
        <v>0.72</v>
      </c>
      <c r="S763" t="str">
        <f t="shared" si="11"/>
        <v>December</v>
      </c>
    </row>
    <row r="764" spans="1:19" x14ac:dyDescent="0.2">
      <c r="A764" t="s">
        <v>1586</v>
      </c>
      <c r="B764" t="s">
        <v>1587</v>
      </c>
      <c r="C764" t="s">
        <v>62</v>
      </c>
      <c r="D764" t="s">
        <v>49</v>
      </c>
      <c r="E764" s="1">
        <v>45710</v>
      </c>
      <c r="F764" s="1">
        <v>45711</v>
      </c>
      <c r="G764" t="s">
        <v>22</v>
      </c>
      <c r="H764" t="s">
        <v>50</v>
      </c>
      <c r="I764" t="s">
        <v>37</v>
      </c>
      <c r="J764">
        <v>36</v>
      </c>
      <c r="K764" t="s">
        <v>25</v>
      </c>
      <c r="L764" t="s">
        <v>26</v>
      </c>
      <c r="M764" t="s">
        <v>39</v>
      </c>
      <c r="N764">
        <v>0.8</v>
      </c>
      <c r="O764" s="3">
        <v>6763.12</v>
      </c>
      <c r="P764">
        <v>0</v>
      </c>
      <c r="Q764">
        <v>3.8</v>
      </c>
      <c r="R764">
        <v>0.84</v>
      </c>
      <c r="S764" t="str">
        <f t="shared" si="11"/>
        <v>February</v>
      </c>
    </row>
    <row r="765" spans="1:19" x14ac:dyDescent="0.2">
      <c r="A765" t="s">
        <v>1588</v>
      </c>
      <c r="B765" t="s">
        <v>1589</v>
      </c>
      <c r="C765" t="s">
        <v>58</v>
      </c>
      <c r="D765" t="s">
        <v>49</v>
      </c>
      <c r="E765" s="1">
        <v>45956</v>
      </c>
      <c r="F765" s="1">
        <v>45958</v>
      </c>
      <c r="G765" t="s">
        <v>50</v>
      </c>
      <c r="H765" t="s">
        <v>23</v>
      </c>
      <c r="I765" t="s">
        <v>31</v>
      </c>
      <c r="J765">
        <v>14</v>
      </c>
      <c r="K765" t="s">
        <v>46</v>
      </c>
      <c r="L765" t="s">
        <v>32</v>
      </c>
      <c r="M765" t="s">
        <v>52</v>
      </c>
      <c r="N765">
        <v>1.9</v>
      </c>
      <c r="O765" s="3">
        <v>6763.12</v>
      </c>
      <c r="P765">
        <v>0</v>
      </c>
      <c r="Q765">
        <v>4.5</v>
      </c>
      <c r="R765">
        <v>0.73</v>
      </c>
      <c r="S765" t="str">
        <f t="shared" si="11"/>
        <v>October</v>
      </c>
    </row>
    <row r="766" spans="1:19" x14ac:dyDescent="0.2">
      <c r="A766" t="s">
        <v>1590</v>
      </c>
      <c r="B766" t="s">
        <v>1591</v>
      </c>
      <c r="C766" t="s">
        <v>122</v>
      </c>
      <c r="D766" t="s">
        <v>35</v>
      </c>
      <c r="E766" s="1">
        <v>45956</v>
      </c>
      <c r="F766" s="1">
        <v>45961</v>
      </c>
      <c r="G766" t="s">
        <v>43</v>
      </c>
      <c r="H766" t="s">
        <v>23</v>
      </c>
      <c r="I766" t="s">
        <v>81</v>
      </c>
      <c r="J766">
        <v>51</v>
      </c>
      <c r="K766" t="s">
        <v>38</v>
      </c>
      <c r="L766" t="s">
        <v>32</v>
      </c>
      <c r="M766" t="s">
        <v>82</v>
      </c>
      <c r="N766">
        <v>4.9000000000000004</v>
      </c>
      <c r="O766" s="3">
        <v>6763.12</v>
      </c>
      <c r="P766">
        <v>0</v>
      </c>
      <c r="Q766">
        <v>4.3</v>
      </c>
      <c r="R766">
        <v>0.83</v>
      </c>
      <c r="S766" t="str">
        <f t="shared" si="11"/>
        <v>October</v>
      </c>
    </row>
    <row r="767" spans="1:19" x14ac:dyDescent="0.2">
      <c r="A767" t="s">
        <v>1592</v>
      </c>
      <c r="B767" t="s">
        <v>1593</v>
      </c>
      <c r="C767" t="s">
        <v>58</v>
      </c>
      <c r="D767" t="s">
        <v>42</v>
      </c>
      <c r="E767" s="1">
        <v>45928</v>
      </c>
      <c r="F767" s="1">
        <v>45930</v>
      </c>
      <c r="G767" t="s">
        <v>50</v>
      </c>
      <c r="H767" t="s">
        <v>23</v>
      </c>
      <c r="I767" t="s">
        <v>31</v>
      </c>
      <c r="J767">
        <v>87</v>
      </c>
      <c r="K767" t="s">
        <v>65</v>
      </c>
      <c r="L767" t="s">
        <v>32</v>
      </c>
      <c r="M767" t="s">
        <v>27</v>
      </c>
      <c r="N767">
        <v>1.1000000000000001</v>
      </c>
      <c r="O767" s="3">
        <v>6763.12</v>
      </c>
      <c r="P767">
        <v>0</v>
      </c>
      <c r="Q767">
        <v>3.7</v>
      </c>
      <c r="R767">
        <v>0.73</v>
      </c>
      <c r="S767" t="str">
        <f t="shared" si="11"/>
        <v>September</v>
      </c>
    </row>
    <row r="768" spans="1:19" x14ac:dyDescent="0.2">
      <c r="A768" t="s">
        <v>1594</v>
      </c>
      <c r="B768" t="s">
        <v>1595</v>
      </c>
      <c r="C768" t="s">
        <v>62</v>
      </c>
      <c r="D768" t="s">
        <v>21</v>
      </c>
      <c r="E768" s="1">
        <v>45793</v>
      </c>
      <c r="F768" s="1">
        <v>45799</v>
      </c>
      <c r="G768" t="s">
        <v>43</v>
      </c>
      <c r="H768" t="s">
        <v>50</v>
      </c>
      <c r="I768" t="s">
        <v>55</v>
      </c>
      <c r="J768">
        <v>12</v>
      </c>
      <c r="K768" t="s">
        <v>103</v>
      </c>
      <c r="L768" t="s">
        <v>32</v>
      </c>
      <c r="M768" t="s">
        <v>39</v>
      </c>
      <c r="N768">
        <v>5.3</v>
      </c>
      <c r="O768" s="3">
        <v>6763.12</v>
      </c>
      <c r="P768">
        <v>0</v>
      </c>
      <c r="Q768">
        <v>4.3</v>
      </c>
      <c r="R768">
        <v>0.89</v>
      </c>
      <c r="S768" t="str">
        <f t="shared" si="11"/>
        <v>May</v>
      </c>
    </row>
    <row r="769" spans="1:19" x14ac:dyDescent="0.2">
      <c r="A769" t="s">
        <v>1596</v>
      </c>
      <c r="B769" t="s">
        <v>1597</v>
      </c>
      <c r="C769" t="s">
        <v>20</v>
      </c>
      <c r="D769" t="s">
        <v>42</v>
      </c>
      <c r="E769" s="1">
        <v>45829</v>
      </c>
      <c r="F769" s="1">
        <v>45833</v>
      </c>
      <c r="G769" t="s">
        <v>36</v>
      </c>
      <c r="H769" t="s">
        <v>50</v>
      </c>
      <c r="I769" t="s">
        <v>31</v>
      </c>
      <c r="J769">
        <v>22</v>
      </c>
      <c r="K769" t="s">
        <v>78</v>
      </c>
      <c r="L769" t="s">
        <v>26</v>
      </c>
      <c r="M769" t="s">
        <v>39</v>
      </c>
      <c r="N769">
        <v>3.3</v>
      </c>
      <c r="O769" s="3">
        <v>6763.12</v>
      </c>
      <c r="P769">
        <v>0</v>
      </c>
      <c r="Q769">
        <v>2.7</v>
      </c>
      <c r="R769">
        <v>0.76</v>
      </c>
      <c r="S769" t="str">
        <f t="shared" si="11"/>
        <v>June</v>
      </c>
    </row>
    <row r="770" spans="1:19" x14ac:dyDescent="0.2">
      <c r="A770" t="s">
        <v>1598</v>
      </c>
      <c r="B770" t="s">
        <v>1599</v>
      </c>
      <c r="C770" t="s">
        <v>62</v>
      </c>
      <c r="D770" t="s">
        <v>35</v>
      </c>
      <c r="E770" s="1">
        <v>45964</v>
      </c>
      <c r="F770" s="1">
        <v>45975</v>
      </c>
      <c r="G770" t="s">
        <v>63</v>
      </c>
      <c r="H770" t="s">
        <v>50</v>
      </c>
      <c r="I770" t="s">
        <v>31</v>
      </c>
      <c r="J770">
        <v>43</v>
      </c>
      <c r="K770" t="s">
        <v>25</v>
      </c>
      <c r="L770" t="s">
        <v>26</v>
      </c>
      <c r="M770" t="s">
        <v>27</v>
      </c>
      <c r="N770">
        <v>10.6</v>
      </c>
      <c r="O770" s="3">
        <v>6763.12</v>
      </c>
      <c r="P770">
        <v>1</v>
      </c>
      <c r="Q770">
        <v>3.3</v>
      </c>
      <c r="R770">
        <v>0.83</v>
      </c>
      <c r="S770" t="str">
        <f t="shared" si="11"/>
        <v>November</v>
      </c>
    </row>
    <row r="771" spans="1:19" x14ac:dyDescent="0.2">
      <c r="A771" t="s">
        <v>1600</v>
      </c>
      <c r="B771" t="s">
        <v>1601</v>
      </c>
      <c r="C771" t="s">
        <v>122</v>
      </c>
      <c r="D771" t="s">
        <v>35</v>
      </c>
      <c r="E771" s="1">
        <v>45713</v>
      </c>
      <c r="F771" s="1">
        <v>45717</v>
      </c>
      <c r="G771" t="s">
        <v>63</v>
      </c>
      <c r="H771" t="s">
        <v>23</v>
      </c>
      <c r="I771" t="s">
        <v>81</v>
      </c>
      <c r="J771">
        <v>66</v>
      </c>
      <c r="K771" t="s">
        <v>169</v>
      </c>
      <c r="L771" t="s">
        <v>32</v>
      </c>
      <c r="M771" t="s">
        <v>39</v>
      </c>
      <c r="N771">
        <v>3.6</v>
      </c>
      <c r="O771" s="3">
        <v>6763.12</v>
      </c>
      <c r="P771">
        <v>0</v>
      </c>
      <c r="Q771">
        <v>4.0999999999999996</v>
      </c>
      <c r="R771">
        <v>0.77</v>
      </c>
      <c r="S771" t="str">
        <f t="shared" ref="S771:S834" si="12">TEXT(E771, "mmmm")</f>
        <v>February</v>
      </c>
    </row>
    <row r="772" spans="1:19" x14ac:dyDescent="0.2">
      <c r="A772" t="s">
        <v>1602</v>
      </c>
      <c r="B772" t="s">
        <v>1603</v>
      </c>
      <c r="C772" t="s">
        <v>122</v>
      </c>
      <c r="D772" t="s">
        <v>49</v>
      </c>
      <c r="E772" s="1">
        <v>45960</v>
      </c>
      <c r="F772" s="1">
        <v>45963</v>
      </c>
      <c r="G772" t="s">
        <v>68</v>
      </c>
      <c r="H772" t="s">
        <v>44</v>
      </c>
      <c r="I772" t="s">
        <v>31</v>
      </c>
      <c r="J772">
        <v>12</v>
      </c>
      <c r="K772" t="s">
        <v>103</v>
      </c>
      <c r="L772" t="s">
        <v>32</v>
      </c>
      <c r="M772" t="s">
        <v>27</v>
      </c>
      <c r="N772">
        <v>2.4</v>
      </c>
      <c r="O772" s="3">
        <v>6763.12</v>
      </c>
      <c r="P772">
        <v>0</v>
      </c>
      <c r="Q772">
        <v>4.5999999999999996</v>
      </c>
      <c r="R772">
        <v>0.8</v>
      </c>
      <c r="S772" t="str">
        <f t="shared" si="12"/>
        <v>October</v>
      </c>
    </row>
    <row r="773" spans="1:19" x14ac:dyDescent="0.2">
      <c r="A773" t="s">
        <v>1604</v>
      </c>
      <c r="B773" t="s">
        <v>1605</v>
      </c>
      <c r="C773" t="s">
        <v>20</v>
      </c>
      <c r="D773" t="s">
        <v>35</v>
      </c>
      <c r="E773" s="1">
        <v>45994</v>
      </c>
      <c r="F773" s="1">
        <v>45997</v>
      </c>
      <c r="G773" t="s">
        <v>116</v>
      </c>
      <c r="H773" t="s">
        <v>23</v>
      </c>
      <c r="I773" t="s">
        <v>37</v>
      </c>
      <c r="J773">
        <v>21</v>
      </c>
      <c r="K773" t="s">
        <v>78</v>
      </c>
      <c r="L773" t="s">
        <v>26</v>
      </c>
      <c r="M773" t="s">
        <v>27</v>
      </c>
      <c r="N773">
        <v>2.7</v>
      </c>
      <c r="O773" s="3">
        <v>6763.12</v>
      </c>
      <c r="P773">
        <v>0</v>
      </c>
      <c r="Q773">
        <v>4</v>
      </c>
      <c r="R773">
        <v>0.81</v>
      </c>
      <c r="S773" t="str">
        <f t="shared" si="12"/>
        <v>December</v>
      </c>
    </row>
    <row r="774" spans="1:19" x14ac:dyDescent="0.2">
      <c r="A774" t="s">
        <v>1606</v>
      </c>
      <c r="B774" t="s">
        <v>1607</v>
      </c>
      <c r="C774" t="s">
        <v>20</v>
      </c>
      <c r="D774" t="s">
        <v>49</v>
      </c>
      <c r="E774" s="1">
        <v>45906</v>
      </c>
      <c r="F774" s="1">
        <v>45915</v>
      </c>
      <c r="G774" t="s">
        <v>43</v>
      </c>
      <c r="H774" t="s">
        <v>23</v>
      </c>
      <c r="I774" t="s">
        <v>45</v>
      </c>
      <c r="J774">
        <v>21</v>
      </c>
      <c r="K774" t="s">
        <v>78</v>
      </c>
      <c r="L774" t="s">
        <v>26</v>
      </c>
      <c r="M774" t="s">
        <v>39</v>
      </c>
      <c r="N774">
        <v>8.6</v>
      </c>
      <c r="O774" s="3">
        <v>6763.12</v>
      </c>
      <c r="P774">
        <v>0</v>
      </c>
      <c r="Q774">
        <v>4.5999999999999996</v>
      </c>
      <c r="R774">
        <v>0.83</v>
      </c>
      <c r="S774" t="str">
        <f t="shared" si="12"/>
        <v>September</v>
      </c>
    </row>
    <row r="775" spans="1:19" x14ac:dyDescent="0.2">
      <c r="A775" t="s">
        <v>1608</v>
      </c>
      <c r="B775" t="s">
        <v>1609</v>
      </c>
      <c r="C775" t="s">
        <v>62</v>
      </c>
      <c r="D775" t="s">
        <v>35</v>
      </c>
      <c r="E775" s="1">
        <v>45782</v>
      </c>
      <c r="F775" s="1">
        <v>45785</v>
      </c>
      <c r="G775" t="s">
        <v>71</v>
      </c>
      <c r="H775" t="s">
        <v>44</v>
      </c>
      <c r="I775" t="s">
        <v>51</v>
      </c>
      <c r="J775">
        <v>56</v>
      </c>
      <c r="K775" t="s">
        <v>38</v>
      </c>
      <c r="L775" t="s">
        <v>26</v>
      </c>
      <c r="M775" t="s">
        <v>27</v>
      </c>
      <c r="N775">
        <v>2.6</v>
      </c>
      <c r="O775" s="3">
        <v>6763.12</v>
      </c>
      <c r="P775">
        <v>0</v>
      </c>
      <c r="Q775">
        <v>4.4000000000000004</v>
      </c>
      <c r="R775">
        <v>0.85</v>
      </c>
      <c r="S775" t="str">
        <f t="shared" si="12"/>
        <v>May</v>
      </c>
    </row>
    <row r="776" spans="1:19" x14ac:dyDescent="0.2">
      <c r="A776" t="s">
        <v>1610</v>
      </c>
      <c r="B776" t="s">
        <v>1611</v>
      </c>
      <c r="C776" t="s">
        <v>20</v>
      </c>
      <c r="D776" t="s">
        <v>49</v>
      </c>
      <c r="E776" s="1">
        <v>45862</v>
      </c>
      <c r="F776" s="1">
        <v>45866</v>
      </c>
      <c r="G776" t="s">
        <v>99</v>
      </c>
      <c r="H776" t="s">
        <v>23</v>
      </c>
      <c r="I776" t="s">
        <v>100</v>
      </c>
      <c r="J776">
        <v>7</v>
      </c>
      <c r="K776" t="s">
        <v>103</v>
      </c>
      <c r="L776" t="s">
        <v>26</v>
      </c>
      <c r="M776" t="s">
        <v>39</v>
      </c>
      <c r="N776">
        <v>3.8</v>
      </c>
      <c r="O776" s="3">
        <v>6763.12</v>
      </c>
      <c r="P776">
        <v>0</v>
      </c>
      <c r="Q776">
        <v>3.6</v>
      </c>
      <c r="R776">
        <v>0.83</v>
      </c>
      <c r="S776" t="str">
        <f t="shared" si="12"/>
        <v>July</v>
      </c>
    </row>
    <row r="777" spans="1:19" x14ac:dyDescent="0.2">
      <c r="A777" t="s">
        <v>1612</v>
      </c>
      <c r="B777" t="s">
        <v>1613</v>
      </c>
      <c r="C777" t="s">
        <v>122</v>
      </c>
      <c r="D777" t="s">
        <v>42</v>
      </c>
      <c r="E777" s="1">
        <v>45676</v>
      </c>
      <c r="F777" s="1">
        <v>45679</v>
      </c>
      <c r="G777" t="s">
        <v>99</v>
      </c>
      <c r="H777" t="s">
        <v>50</v>
      </c>
      <c r="I777" t="s">
        <v>31</v>
      </c>
      <c r="J777">
        <v>59</v>
      </c>
      <c r="K777" t="s">
        <v>38</v>
      </c>
      <c r="L777" t="s">
        <v>32</v>
      </c>
      <c r="M777" t="s">
        <v>27</v>
      </c>
      <c r="N777">
        <v>2.1</v>
      </c>
      <c r="O777" s="3">
        <v>6763.12</v>
      </c>
      <c r="P777">
        <v>1</v>
      </c>
      <c r="Q777">
        <v>3.8</v>
      </c>
      <c r="R777">
        <v>0.74</v>
      </c>
      <c r="S777" t="str">
        <f t="shared" si="12"/>
        <v>January</v>
      </c>
    </row>
    <row r="778" spans="1:19" x14ac:dyDescent="0.2">
      <c r="A778" t="s">
        <v>1614</v>
      </c>
      <c r="B778" t="s">
        <v>1615</v>
      </c>
      <c r="C778" t="s">
        <v>122</v>
      </c>
      <c r="D778" t="s">
        <v>42</v>
      </c>
      <c r="E778" s="1">
        <v>45998</v>
      </c>
      <c r="F778" s="1">
        <v>46002</v>
      </c>
      <c r="G778" t="s">
        <v>63</v>
      </c>
      <c r="H778" t="s">
        <v>44</v>
      </c>
      <c r="I778" t="s">
        <v>81</v>
      </c>
      <c r="J778">
        <v>38</v>
      </c>
      <c r="K778" t="s">
        <v>25</v>
      </c>
      <c r="L778" t="s">
        <v>32</v>
      </c>
      <c r="M778" t="s">
        <v>82</v>
      </c>
      <c r="N778">
        <v>3.3</v>
      </c>
      <c r="O778" s="3">
        <v>6763.12</v>
      </c>
      <c r="P778">
        <v>0</v>
      </c>
      <c r="Q778">
        <v>4.0999999999999996</v>
      </c>
      <c r="R778">
        <v>0.8</v>
      </c>
      <c r="S778" t="str">
        <f t="shared" si="12"/>
        <v>December</v>
      </c>
    </row>
    <row r="779" spans="1:19" x14ac:dyDescent="0.2">
      <c r="A779" t="s">
        <v>1616</v>
      </c>
      <c r="B779" t="s">
        <v>1617</v>
      </c>
      <c r="C779" t="s">
        <v>20</v>
      </c>
      <c r="D779" t="s">
        <v>42</v>
      </c>
      <c r="E779" s="1">
        <v>45782</v>
      </c>
      <c r="F779" s="1">
        <v>45783</v>
      </c>
      <c r="G779" t="s">
        <v>116</v>
      </c>
      <c r="H779" t="s">
        <v>50</v>
      </c>
      <c r="I779" t="s">
        <v>55</v>
      </c>
      <c r="J779">
        <v>29</v>
      </c>
      <c r="K779" t="s">
        <v>78</v>
      </c>
      <c r="L779" t="s">
        <v>26</v>
      </c>
      <c r="M779" t="s">
        <v>27</v>
      </c>
      <c r="N779">
        <v>1</v>
      </c>
      <c r="O779" s="3">
        <v>6763.12</v>
      </c>
      <c r="P779">
        <v>0</v>
      </c>
      <c r="Q779">
        <v>3.6</v>
      </c>
      <c r="R779">
        <v>0.86</v>
      </c>
      <c r="S779" t="str">
        <f t="shared" si="12"/>
        <v>May</v>
      </c>
    </row>
    <row r="780" spans="1:19" x14ac:dyDescent="0.2">
      <c r="A780" t="s">
        <v>1618</v>
      </c>
      <c r="B780" t="s">
        <v>1619</v>
      </c>
      <c r="C780" t="s">
        <v>122</v>
      </c>
      <c r="D780" t="s">
        <v>42</v>
      </c>
      <c r="E780" s="1">
        <v>45678</v>
      </c>
      <c r="F780" s="1">
        <v>45682</v>
      </c>
      <c r="G780" t="s">
        <v>43</v>
      </c>
      <c r="H780" t="s">
        <v>50</v>
      </c>
      <c r="I780" t="s">
        <v>51</v>
      </c>
      <c r="J780">
        <v>78</v>
      </c>
      <c r="K780" t="s">
        <v>65</v>
      </c>
      <c r="L780" t="s">
        <v>26</v>
      </c>
      <c r="M780" t="s">
        <v>82</v>
      </c>
      <c r="N780">
        <v>4</v>
      </c>
      <c r="O780" s="3">
        <v>6763.12</v>
      </c>
      <c r="P780">
        <v>0</v>
      </c>
      <c r="Q780">
        <v>4.8</v>
      </c>
      <c r="R780">
        <v>0.71</v>
      </c>
      <c r="S780" t="str">
        <f t="shared" si="12"/>
        <v>January</v>
      </c>
    </row>
    <row r="781" spans="1:19" x14ac:dyDescent="0.2">
      <c r="A781" t="s">
        <v>1620</v>
      </c>
      <c r="B781" t="s">
        <v>1621</v>
      </c>
      <c r="C781" t="s">
        <v>58</v>
      </c>
      <c r="D781" t="s">
        <v>21</v>
      </c>
      <c r="E781" s="1">
        <v>45947</v>
      </c>
      <c r="F781" s="1">
        <v>45951</v>
      </c>
      <c r="G781" t="s">
        <v>99</v>
      </c>
      <c r="H781" t="s">
        <v>50</v>
      </c>
      <c r="I781" t="s">
        <v>117</v>
      </c>
      <c r="J781">
        <v>74</v>
      </c>
      <c r="K781" t="s">
        <v>169</v>
      </c>
      <c r="L781" t="s">
        <v>26</v>
      </c>
      <c r="M781" t="s">
        <v>27</v>
      </c>
      <c r="N781">
        <v>3.3</v>
      </c>
      <c r="O781" s="3">
        <v>6763.12</v>
      </c>
      <c r="P781">
        <v>0</v>
      </c>
      <c r="Q781">
        <v>3.2</v>
      </c>
      <c r="R781">
        <v>0.77</v>
      </c>
      <c r="S781" t="str">
        <f t="shared" si="12"/>
        <v>October</v>
      </c>
    </row>
    <row r="782" spans="1:19" x14ac:dyDescent="0.2">
      <c r="A782" t="s">
        <v>1622</v>
      </c>
      <c r="B782" t="s">
        <v>1623</v>
      </c>
      <c r="C782" t="s">
        <v>122</v>
      </c>
      <c r="D782" t="s">
        <v>21</v>
      </c>
      <c r="E782" s="1">
        <v>45898</v>
      </c>
      <c r="F782" s="1">
        <v>45904</v>
      </c>
      <c r="G782" t="s">
        <v>36</v>
      </c>
      <c r="H782" t="s">
        <v>44</v>
      </c>
      <c r="I782" t="s">
        <v>55</v>
      </c>
      <c r="J782">
        <v>73</v>
      </c>
      <c r="K782" t="s">
        <v>169</v>
      </c>
      <c r="L782" t="s">
        <v>32</v>
      </c>
      <c r="M782" t="s">
        <v>39</v>
      </c>
      <c r="N782">
        <v>5.8</v>
      </c>
      <c r="O782" s="3">
        <v>6763.12</v>
      </c>
      <c r="P782">
        <v>0</v>
      </c>
      <c r="Q782">
        <v>4.0999999999999996</v>
      </c>
      <c r="R782">
        <v>0.81</v>
      </c>
      <c r="S782" t="str">
        <f t="shared" si="12"/>
        <v>August</v>
      </c>
    </row>
    <row r="783" spans="1:19" x14ac:dyDescent="0.2">
      <c r="A783" t="s">
        <v>1624</v>
      </c>
      <c r="B783" t="s">
        <v>1625</v>
      </c>
      <c r="C783" t="s">
        <v>122</v>
      </c>
      <c r="D783" t="s">
        <v>42</v>
      </c>
      <c r="E783" s="1">
        <v>45885</v>
      </c>
      <c r="F783" s="1">
        <v>45895</v>
      </c>
      <c r="G783" t="s">
        <v>71</v>
      </c>
      <c r="H783" t="s">
        <v>50</v>
      </c>
      <c r="I783" t="s">
        <v>24</v>
      </c>
      <c r="J783">
        <v>80</v>
      </c>
      <c r="K783" t="s">
        <v>65</v>
      </c>
      <c r="L783" t="s">
        <v>32</v>
      </c>
      <c r="M783" t="s">
        <v>27</v>
      </c>
      <c r="N783">
        <v>9.5</v>
      </c>
      <c r="O783" s="3">
        <v>6763.12</v>
      </c>
      <c r="P783">
        <v>0</v>
      </c>
      <c r="Q783">
        <v>4.0999999999999996</v>
      </c>
      <c r="R783">
        <v>0.84</v>
      </c>
      <c r="S783" t="str">
        <f t="shared" si="12"/>
        <v>August</v>
      </c>
    </row>
    <row r="784" spans="1:19" x14ac:dyDescent="0.2">
      <c r="A784" t="s">
        <v>1626</v>
      </c>
      <c r="B784" t="s">
        <v>1627</v>
      </c>
      <c r="C784" t="s">
        <v>58</v>
      </c>
      <c r="D784" t="s">
        <v>42</v>
      </c>
      <c r="E784" s="1">
        <v>45677</v>
      </c>
      <c r="F784" s="1">
        <v>45686</v>
      </c>
      <c r="G784" t="s">
        <v>36</v>
      </c>
      <c r="H784" t="s">
        <v>50</v>
      </c>
      <c r="I784" t="s">
        <v>100</v>
      </c>
      <c r="J784">
        <v>21</v>
      </c>
      <c r="K784" t="s">
        <v>78</v>
      </c>
      <c r="L784" t="s">
        <v>26</v>
      </c>
      <c r="M784" t="s">
        <v>27</v>
      </c>
      <c r="N784">
        <v>8.1</v>
      </c>
      <c r="O784" s="3">
        <v>6763.12</v>
      </c>
      <c r="P784">
        <v>0</v>
      </c>
      <c r="Q784">
        <v>3.5</v>
      </c>
      <c r="R784">
        <v>0.78</v>
      </c>
      <c r="S784" t="str">
        <f t="shared" si="12"/>
        <v>January</v>
      </c>
    </row>
    <row r="785" spans="1:19" x14ac:dyDescent="0.2">
      <c r="A785" t="s">
        <v>1628</v>
      </c>
      <c r="B785" t="s">
        <v>1629</v>
      </c>
      <c r="C785" t="s">
        <v>30</v>
      </c>
      <c r="D785" t="s">
        <v>42</v>
      </c>
      <c r="E785" s="1">
        <v>45932</v>
      </c>
      <c r="F785" s="1">
        <v>45935</v>
      </c>
      <c r="G785" t="s">
        <v>99</v>
      </c>
      <c r="H785" t="s">
        <v>50</v>
      </c>
      <c r="I785" t="s">
        <v>55</v>
      </c>
      <c r="J785">
        <v>77</v>
      </c>
      <c r="K785" t="s">
        <v>65</v>
      </c>
      <c r="L785" t="s">
        <v>32</v>
      </c>
      <c r="M785" t="s">
        <v>39</v>
      </c>
      <c r="N785">
        <v>2.2000000000000002</v>
      </c>
      <c r="O785" s="3">
        <v>6763.12</v>
      </c>
      <c r="P785">
        <v>0</v>
      </c>
      <c r="Q785">
        <v>3.6</v>
      </c>
      <c r="R785">
        <v>0.82</v>
      </c>
      <c r="S785" t="str">
        <f t="shared" si="12"/>
        <v>October</v>
      </c>
    </row>
    <row r="786" spans="1:19" x14ac:dyDescent="0.2">
      <c r="A786" t="s">
        <v>1630</v>
      </c>
      <c r="B786" t="s">
        <v>1631</v>
      </c>
      <c r="C786" t="s">
        <v>58</v>
      </c>
      <c r="D786" t="s">
        <v>49</v>
      </c>
      <c r="E786" s="1">
        <v>45890</v>
      </c>
      <c r="F786" s="1">
        <v>45898</v>
      </c>
      <c r="G786" t="s">
        <v>59</v>
      </c>
      <c r="H786" t="s">
        <v>50</v>
      </c>
      <c r="I786" t="s">
        <v>55</v>
      </c>
      <c r="J786">
        <v>16</v>
      </c>
      <c r="K786" t="s">
        <v>46</v>
      </c>
      <c r="L786" t="s">
        <v>32</v>
      </c>
      <c r="M786" t="s">
        <v>82</v>
      </c>
      <c r="N786">
        <v>7.9</v>
      </c>
      <c r="O786" s="3">
        <v>6763.12</v>
      </c>
      <c r="P786">
        <v>0</v>
      </c>
      <c r="Q786">
        <v>3.6</v>
      </c>
      <c r="R786">
        <v>0.77</v>
      </c>
      <c r="S786" t="str">
        <f t="shared" si="12"/>
        <v>August</v>
      </c>
    </row>
    <row r="787" spans="1:19" x14ac:dyDescent="0.2">
      <c r="A787" t="s">
        <v>1632</v>
      </c>
      <c r="B787" t="s">
        <v>1633</v>
      </c>
      <c r="C787" t="s">
        <v>20</v>
      </c>
      <c r="D787" t="s">
        <v>35</v>
      </c>
      <c r="E787" s="1">
        <v>45947</v>
      </c>
      <c r="F787" s="1">
        <v>45953</v>
      </c>
      <c r="G787" t="s">
        <v>116</v>
      </c>
      <c r="H787" t="s">
        <v>50</v>
      </c>
      <c r="I787" t="s">
        <v>81</v>
      </c>
      <c r="J787">
        <v>30</v>
      </c>
      <c r="K787" t="s">
        <v>78</v>
      </c>
      <c r="L787" t="s">
        <v>26</v>
      </c>
      <c r="M787" t="s">
        <v>82</v>
      </c>
      <c r="N787">
        <v>5.5</v>
      </c>
      <c r="O787" s="3">
        <v>6763.12</v>
      </c>
      <c r="P787">
        <v>1</v>
      </c>
      <c r="Q787">
        <v>4.4000000000000004</v>
      </c>
      <c r="R787">
        <v>0.77</v>
      </c>
      <c r="S787" t="str">
        <f t="shared" si="12"/>
        <v>October</v>
      </c>
    </row>
    <row r="788" spans="1:19" x14ac:dyDescent="0.2">
      <c r="A788" t="s">
        <v>1634</v>
      </c>
      <c r="B788" t="s">
        <v>1635</v>
      </c>
      <c r="C788" t="s">
        <v>20</v>
      </c>
      <c r="D788" t="s">
        <v>42</v>
      </c>
      <c r="E788" s="1">
        <v>45959</v>
      </c>
      <c r="F788" s="1">
        <v>45961</v>
      </c>
      <c r="G788" t="s">
        <v>99</v>
      </c>
      <c r="H788" t="s">
        <v>23</v>
      </c>
      <c r="I788" t="s">
        <v>64</v>
      </c>
      <c r="J788">
        <v>50</v>
      </c>
      <c r="K788" t="s">
        <v>38</v>
      </c>
      <c r="L788" t="s">
        <v>32</v>
      </c>
      <c r="M788" t="s">
        <v>27</v>
      </c>
      <c r="N788">
        <v>1.4</v>
      </c>
      <c r="O788" s="3">
        <v>6763.12</v>
      </c>
      <c r="P788">
        <v>0</v>
      </c>
      <c r="Q788">
        <v>3.6</v>
      </c>
      <c r="R788">
        <v>0.78</v>
      </c>
      <c r="S788" t="str">
        <f t="shared" si="12"/>
        <v>October</v>
      </c>
    </row>
    <row r="789" spans="1:19" x14ac:dyDescent="0.2">
      <c r="A789" t="s">
        <v>1636</v>
      </c>
      <c r="B789" t="s">
        <v>1637</v>
      </c>
      <c r="C789" t="s">
        <v>58</v>
      </c>
      <c r="D789" t="s">
        <v>42</v>
      </c>
      <c r="E789" s="1">
        <v>45735</v>
      </c>
      <c r="F789" s="1">
        <v>45739</v>
      </c>
      <c r="G789" t="s">
        <v>43</v>
      </c>
      <c r="H789" t="s">
        <v>44</v>
      </c>
      <c r="I789" t="s">
        <v>100</v>
      </c>
      <c r="J789">
        <v>67</v>
      </c>
      <c r="K789" t="s">
        <v>169</v>
      </c>
      <c r="L789" t="s">
        <v>32</v>
      </c>
      <c r="M789" t="s">
        <v>27</v>
      </c>
      <c r="N789">
        <v>3.1</v>
      </c>
      <c r="O789" s="3">
        <v>6763.12</v>
      </c>
      <c r="P789">
        <v>0</v>
      </c>
      <c r="Q789">
        <v>3.3</v>
      </c>
      <c r="R789">
        <v>0.7</v>
      </c>
      <c r="S789" t="str">
        <f t="shared" si="12"/>
        <v>March</v>
      </c>
    </row>
    <row r="790" spans="1:19" x14ac:dyDescent="0.2">
      <c r="A790" t="s">
        <v>1638</v>
      </c>
      <c r="B790" t="s">
        <v>1639</v>
      </c>
      <c r="C790" t="s">
        <v>58</v>
      </c>
      <c r="D790" t="s">
        <v>49</v>
      </c>
      <c r="E790" s="1">
        <v>45734</v>
      </c>
      <c r="F790" s="1">
        <v>45736</v>
      </c>
      <c r="G790" t="s">
        <v>116</v>
      </c>
      <c r="H790" t="s">
        <v>50</v>
      </c>
      <c r="I790" t="s">
        <v>45</v>
      </c>
      <c r="J790">
        <v>52</v>
      </c>
      <c r="K790" t="s">
        <v>38</v>
      </c>
      <c r="L790" t="s">
        <v>32</v>
      </c>
      <c r="M790" t="s">
        <v>82</v>
      </c>
      <c r="N790">
        <v>1.1000000000000001</v>
      </c>
      <c r="O790" s="3">
        <v>6763.12</v>
      </c>
      <c r="P790">
        <v>0</v>
      </c>
      <c r="Q790">
        <v>4.5999999999999996</v>
      </c>
      <c r="R790">
        <v>0.81</v>
      </c>
      <c r="S790" t="str">
        <f t="shared" si="12"/>
        <v>March</v>
      </c>
    </row>
    <row r="791" spans="1:19" x14ac:dyDescent="0.2">
      <c r="A791" t="s">
        <v>1640</v>
      </c>
      <c r="B791" t="s">
        <v>1641</v>
      </c>
      <c r="C791" t="s">
        <v>62</v>
      </c>
      <c r="D791" t="s">
        <v>42</v>
      </c>
      <c r="E791" s="1">
        <v>45995</v>
      </c>
      <c r="F791" s="1">
        <v>45999</v>
      </c>
      <c r="G791" t="s">
        <v>50</v>
      </c>
      <c r="H791" t="s">
        <v>50</v>
      </c>
      <c r="I791" t="s">
        <v>64</v>
      </c>
      <c r="J791">
        <v>50</v>
      </c>
      <c r="K791" t="s">
        <v>38</v>
      </c>
      <c r="L791" t="s">
        <v>26</v>
      </c>
      <c r="M791" t="s">
        <v>39</v>
      </c>
      <c r="N791">
        <v>3.3</v>
      </c>
      <c r="O791" s="3">
        <v>6763.12</v>
      </c>
      <c r="P791">
        <v>0</v>
      </c>
      <c r="Q791">
        <v>3.9</v>
      </c>
      <c r="R791">
        <v>0.86</v>
      </c>
      <c r="S791" t="str">
        <f t="shared" si="12"/>
        <v>December</v>
      </c>
    </row>
    <row r="792" spans="1:19" x14ac:dyDescent="0.2">
      <c r="A792" t="s">
        <v>1642</v>
      </c>
      <c r="B792" t="s">
        <v>1643</v>
      </c>
      <c r="C792" t="s">
        <v>122</v>
      </c>
      <c r="D792" t="s">
        <v>49</v>
      </c>
      <c r="E792" s="1">
        <v>45851</v>
      </c>
      <c r="F792" s="1">
        <v>45854</v>
      </c>
      <c r="G792" t="s">
        <v>50</v>
      </c>
      <c r="H792" t="s">
        <v>50</v>
      </c>
      <c r="I792" t="s">
        <v>24</v>
      </c>
      <c r="J792">
        <v>34</v>
      </c>
      <c r="K792" t="s">
        <v>78</v>
      </c>
      <c r="L792" t="s">
        <v>32</v>
      </c>
      <c r="M792" t="s">
        <v>27</v>
      </c>
      <c r="N792">
        <v>2.5</v>
      </c>
      <c r="O792" s="3">
        <v>6763.12</v>
      </c>
      <c r="P792">
        <v>1</v>
      </c>
      <c r="Q792">
        <v>4.3</v>
      </c>
      <c r="R792">
        <v>0.74</v>
      </c>
      <c r="S792" t="str">
        <f t="shared" si="12"/>
        <v>July</v>
      </c>
    </row>
    <row r="793" spans="1:19" x14ac:dyDescent="0.2">
      <c r="A793" t="s">
        <v>1644</v>
      </c>
      <c r="B793" t="s">
        <v>1645</v>
      </c>
      <c r="C793" t="s">
        <v>122</v>
      </c>
      <c r="D793" t="s">
        <v>42</v>
      </c>
      <c r="E793" s="1">
        <v>45817</v>
      </c>
      <c r="F793" s="1">
        <v>45822</v>
      </c>
      <c r="G793" t="s">
        <v>43</v>
      </c>
      <c r="H793" t="s">
        <v>50</v>
      </c>
      <c r="I793" t="s">
        <v>117</v>
      </c>
      <c r="J793">
        <v>53</v>
      </c>
      <c r="K793" t="s">
        <v>38</v>
      </c>
      <c r="L793" t="s">
        <v>32</v>
      </c>
      <c r="M793" t="s">
        <v>82</v>
      </c>
      <c r="N793">
        <v>4.5</v>
      </c>
      <c r="O793" s="3">
        <v>6763.12</v>
      </c>
      <c r="P793">
        <v>0</v>
      </c>
      <c r="Q793">
        <v>4.4000000000000004</v>
      </c>
      <c r="R793">
        <v>0.79</v>
      </c>
      <c r="S793" t="str">
        <f t="shared" si="12"/>
        <v>June</v>
      </c>
    </row>
    <row r="794" spans="1:19" x14ac:dyDescent="0.2">
      <c r="A794" t="s">
        <v>1646</v>
      </c>
      <c r="B794" t="s">
        <v>1647</v>
      </c>
      <c r="C794" t="s">
        <v>58</v>
      </c>
      <c r="D794" t="s">
        <v>35</v>
      </c>
      <c r="E794" s="1">
        <v>45762</v>
      </c>
      <c r="F794" s="1">
        <v>45766</v>
      </c>
      <c r="G794" t="s">
        <v>68</v>
      </c>
      <c r="H794" t="s">
        <v>23</v>
      </c>
      <c r="I794" t="s">
        <v>64</v>
      </c>
      <c r="J794">
        <v>43</v>
      </c>
      <c r="K794" t="s">
        <v>25</v>
      </c>
      <c r="L794" t="s">
        <v>32</v>
      </c>
      <c r="M794" t="s">
        <v>39</v>
      </c>
      <c r="N794">
        <v>3.6</v>
      </c>
      <c r="O794" s="3">
        <v>6763.12</v>
      </c>
      <c r="P794">
        <v>1</v>
      </c>
      <c r="Q794">
        <v>5</v>
      </c>
      <c r="R794">
        <v>0.8</v>
      </c>
      <c r="S794" t="str">
        <f t="shared" si="12"/>
        <v>April</v>
      </c>
    </row>
    <row r="795" spans="1:19" x14ac:dyDescent="0.2">
      <c r="A795" t="s">
        <v>1648</v>
      </c>
      <c r="B795" t="s">
        <v>1649</v>
      </c>
      <c r="C795" t="s">
        <v>20</v>
      </c>
      <c r="D795" t="s">
        <v>42</v>
      </c>
      <c r="E795" s="1">
        <v>45891</v>
      </c>
      <c r="F795" s="1">
        <v>45892</v>
      </c>
      <c r="G795" t="s">
        <v>50</v>
      </c>
      <c r="H795" t="s">
        <v>23</v>
      </c>
      <c r="I795" t="s">
        <v>37</v>
      </c>
      <c r="J795">
        <v>43</v>
      </c>
      <c r="K795" t="s">
        <v>25</v>
      </c>
      <c r="L795" t="s">
        <v>32</v>
      </c>
      <c r="M795" t="s">
        <v>39</v>
      </c>
      <c r="N795">
        <v>0.5</v>
      </c>
      <c r="O795" s="3">
        <v>6763.12</v>
      </c>
      <c r="P795">
        <v>0</v>
      </c>
      <c r="Q795">
        <v>4.4000000000000004</v>
      </c>
      <c r="R795">
        <v>0.84</v>
      </c>
      <c r="S795" t="str">
        <f t="shared" si="12"/>
        <v>August</v>
      </c>
    </row>
    <row r="796" spans="1:19" x14ac:dyDescent="0.2">
      <c r="A796" t="s">
        <v>1650</v>
      </c>
      <c r="B796" t="s">
        <v>1651</v>
      </c>
      <c r="C796" t="s">
        <v>58</v>
      </c>
      <c r="D796" t="s">
        <v>35</v>
      </c>
      <c r="E796" s="1">
        <v>45933</v>
      </c>
      <c r="F796" s="1">
        <v>45942</v>
      </c>
      <c r="G796" t="s">
        <v>63</v>
      </c>
      <c r="H796" t="s">
        <v>23</v>
      </c>
      <c r="I796" t="s">
        <v>64</v>
      </c>
      <c r="J796">
        <v>53</v>
      </c>
      <c r="K796" t="s">
        <v>38</v>
      </c>
      <c r="L796" t="s">
        <v>32</v>
      </c>
      <c r="M796" t="s">
        <v>27</v>
      </c>
      <c r="N796">
        <v>8.9</v>
      </c>
      <c r="O796" s="3">
        <v>6763.12</v>
      </c>
      <c r="P796">
        <v>0</v>
      </c>
      <c r="Q796">
        <v>3.3</v>
      </c>
      <c r="R796">
        <v>0.71</v>
      </c>
      <c r="S796" t="str">
        <f t="shared" si="12"/>
        <v>October</v>
      </c>
    </row>
    <row r="797" spans="1:19" x14ac:dyDescent="0.2">
      <c r="A797" t="s">
        <v>1652</v>
      </c>
      <c r="B797" t="s">
        <v>1653</v>
      </c>
      <c r="C797" t="s">
        <v>20</v>
      </c>
      <c r="D797" t="s">
        <v>21</v>
      </c>
      <c r="E797" s="1">
        <v>45658</v>
      </c>
      <c r="F797" s="1">
        <v>45661</v>
      </c>
      <c r="G797" t="s">
        <v>43</v>
      </c>
      <c r="H797" t="s">
        <v>50</v>
      </c>
      <c r="I797" t="s">
        <v>55</v>
      </c>
      <c r="J797">
        <v>54</v>
      </c>
      <c r="K797" t="s">
        <v>38</v>
      </c>
      <c r="L797" t="s">
        <v>26</v>
      </c>
      <c r="M797" t="s">
        <v>39</v>
      </c>
      <c r="N797">
        <v>2.2999999999999998</v>
      </c>
      <c r="O797" s="3">
        <v>6763.12</v>
      </c>
      <c r="P797">
        <v>0</v>
      </c>
      <c r="Q797">
        <v>4.2</v>
      </c>
      <c r="R797">
        <v>0.67</v>
      </c>
      <c r="S797" t="str">
        <f t="shared" si="12"/>
        <v>January</v>
      </c>
    </row>
    <row r="798" spans="1:19" x14ac:dyDescent="0.2">
      <c r="A798" t="s">
        <v>1654</v>
      </c>
      <c r="B798" t="s">
        <v>1655</v>
      </c>
      <c r="C798" t="s">
        <v>58</v>
      </c>
      <c r="D798" t="s">
        <v>35</v>
      </c>
      <c r="E798" s="1">
        <v>45859</v>
      </c>
      <c r="F798" s="1">
        <v>45861</v>
      </c>
      <c r="G798" t="s">
        <v>68</v>
      </c>
      <c r="H798" t="s">
        <v>23</v>
      </c>
      <c r="I798" t="s">
        <v>81</v>
      </c>
      <c r="J798">
        <v>30</v>
      </c>
      <c r="K798" t="s">
        <v>78</v>
      </c>
      <c r="L798" t="s">
        <v>32</v>
      </c>
      <c r="M798" t="s">
        <v>27</v>
      </c>
      <c r="N798">
        <v>1.4</v>
      </c>
      <c r="O798" s="3">
        <v>6763.12</v>
      </c>
      <c r="P798">
        <v>0</v>
      </c>
      <c r="Q798">
        <v>3.6</v>
      </c>
      <c r="R798">
        <v>0.77</v>
      </c>
      <c r="S798" t="str">
        <f t="shared" si="12"/>
        <v>July</v>
      </c>
    </row>
    <row r="799" spans="1:19" x14ac:dyDescent="0.2">
      <c r="A799" t="s">
        <v>1656</v>
      </c>
      <c r="B799" t="s">
        <v>1657</v>
      </c>
      <c r="C799" t="s">
        <v>30</v>
      </c>
      <c r="D799" t="s">
        <v>21</v>
      </c>
      <c r="E799" s="1">
        <v>46020</v>
      </c>
      <c r="F799" s="1">
        <v>46026</v>
      </c>
      <c r="G799" t="s">
        <v>68</v>
      </c>
      <c r="H799" t="s">
        <v>50</v>
      </c>
      <c r="I799" t="s">
        <v>24</v>
      </c>
      <c r="J799">
        <v>12</v>
      </c>
      <c r="K799" t="s">
        <v>103</v>
      </c>
      <c r="L799" t="s">
        <v>32</v>
      </c>
      <c r="M799" t="s">
        <v>82</v>
      </c>
      <c r="N799">
        <v>5.9</v>
      </c>
      <c r="O799" s="3">
        <v>6763.12</v>
      </c>
      <c r="P799">
        <v>0</v>
      </c>
      <c r="Q799">
        <v>3.6</v>
      </c>
      <c r="R799">
        <v>0.78</v>
      </c>
      <c r="S799" t="str">
        <f t="shared" si="12"/>
        <v>December</v>
      </c>
    </row>
    <row r="800" spans="1:19" x14ac:dyDescent="0.2">
      <c r="A800" t="s">
        <v>1658</v>
      </c>
      <c r="B800" t="s">
        <v>1659</v>
      </c>
      <c r="C800" t="s">
        <v>20</v>
      </c>
      <c r="D800" t="s">
        <v>35</v>
      </c>
      <c r="E800" s="1">
        <v>45760</v>
      </c>
      <c r="F800" s="1">
        <v>45763</v>
      </c>
      <c r="G800" t="s">
        <v>36</v>
      </c>
      <c r="H800" t="s">
        <v>50</v>
      </c>
      <c r="I800" t="s">
        <v>64</v>
      </c>
      <c r="J800">
        <v>27</v>
      </c>
      <c r="K800" t="s">
        <v>78</v>
      </c>
      <c r="L800" t="s">
        <v>32</v>
      </c>
      <c r="M800" t="s">
        <v>27</v>
      </c>
      <c r="N800">
        <v>2.5</v>
      </c>
      <c r="O800" s="3">
        <v>6763.12</v>
      </c>
      <c r="P800">
        <v>0</v>
      </c>
      <c r="Q800">
        <v>3.1</v>
      </c>
      <c r="R800">
        <v>0.82</v>
      </c>
      <c r="S800" t="str">
        <f t="shared" si="12"/>
        <v>April</v>
      </c>
    </row>
    <row r="801" spans="1:19" x14ac:dyDescent="0.2">
      <c r="A801" t="s">
        <v>1660</v>
      </c>
      <c r="B801" t="s">
        <v>1661</v>
      </c>
      <c r="C801" t="s">
        <v>30</v>
      </c>
      <c r="D801" t="s">
        <v>42</v>
      </c>
      <c r="E801" s="1">
        <v>45760</v>
      </c>
      <c r="F801" s="1">
        <v>45762</v>
      </c>
      <c r="G801" t="s">
        <v>22</v>
      </c>
      <c r="H801" t="s">
        <v>44</v>
      </c>
      <c r="I801" t="s">
        <v>45</v>
      </c>
      <c r="J801">
        <v>37</v>
      </c>
      <c r="K801" t="s">
        <v>25</v>
      </c>
      <c r="L801" t="s">
        <v>32</v>
      </c>
      <c r="M801" t="s">
        <v>82</v>
      </c>
      <c r="N801">
        <v>1.2</v>
      </c>
      <c r="O801" s="3">
        <v>6763.12</v>
      </c>
      <c r="P801">
        <v>0</v>
      </c>
      <c r="Q801">
        <v>3.7</v>
      </c>
      <c r="R801">
        <v>0.86</v>
      </c>
      <c r="S801" t="str">
        <f t="shared" si="12"/>
        <v>April</v>
      </c>
    </row>
    <row r="802" spans="1:19" x14ac:dyDescent="0.2">
      <c r="A802" t="s">
        <v>1662</v>
      </c>
      <c r="B802" t="s">
        <v>1663</v>
      </c>
      <c r="C802" t="s">
        <v>122</v>
      </c>
      <c r="D802" t="s">
        <v>49</v>
      </c>
      <c r="E802" s="1">
        <v>45978</v>
      </c>
      <c r="F802" s="1">
        <v>45984</v>
      </c>
      <c r="G802" t="s">
        <v>36</v>
      </c>
      <c r="H802" t="s">
        <v>23</v>
      </c>
      <c r="I802" t="s">
        <v>64</v>
      </c>
      <c r="J802">
        <v>14</v>
      </c>
      <c r="K802" t="s">
        <v>46</v>
      </c>
      <c r="L802" t="s">
        <v>32</v>
      </c>
      <c r="M802" t="s">
        <v>82</v>
      </c>
      <c r="N802">
        <v>5.8</v>
      </c>
      <c r="O802" s="3">
        <v>6763.12</v>
      </c>
      <c r="P802">
        <v>0</v>
      </c>
      <c r="Q802">
        <v>4.2</v>
      </c>
      <c r="R802">
        <v>0.82</v>
      </c>
      <c r="S802" t="str">
        <f t="shared" si="12"/>
        <v>November</v>
      </c>
    </row>
    <row r="803" spans="1:19" x14ac:dyDescent="0.2">
      <c r="A803" t="s">
        <v>1664</v>
      </c>
      <c r="B803" t="s">
        <v>1665</v>
      </c>
      <c r="C803" t="s">
        <v>58</v>
      </c>
      <c r="D803" t="s">
        <v>42</v>
      </c>
      <c r="E803" s="1">
        <v>45680</v>
      </c>
      <c r="F803" s="1">
        <v>45682</v>
      </c>
      <c r="G803" t="s">
        <v>63</v>
      </c>
      <c r="H803" t="s">
        <v>44</v>
      </c>
      <c r="I803" t="s">
        <v>37</v>
      </c>
      <c r="J803">
        <v>16</v>
      </c>
      <c r="K803" t="s">
        <v>46</v>
      </c>
      <c r="L803" t="s">
        <v>26</v>
      </c>
      <c r="M803" t="s">
        <v>82</v>
      </c>
      <c r="N803">
        <v>1.2</v>
      </c>
      <c r="O803" s="3">
        <v>6763.12</v>
      </c>
      <c r="P803">
        <v>0</v>
      </c>
      <c r="Q803">
        <v>3.9</v>
      </c>
      <c r="R803">
        <v>0.82</v>
      </c>
      <c r="S803" t="str">
        <f t="shared" si="12"/>
        <v>January</v>
      </c>
    </row>
    <row r="804" spans="1:19" x14ac:dyDescent="0.2">
      <c r="A804" t="s">
        <v>1666</v>
      </c>
      <c r="B804" t="s">
        <v>1667</v>
      </c>
      <c r="C804" t="s">
        <v>20</v>
      </c>
      <c r="D804" t="s">
        <v>35</v>
      </c>
      <c r="E804" s="1">
        <v>45803</v>
      </c>
      <c r="F804" s="1">
        <v>45807</v>
      </c>
      <c r="G804" t="s">
        <v>116</v>
      </c>
      <c r="H804" t="s">
        <v>44</v>
      </c>
      <c r="I804" t="s">
        <v>81</v>
      </c>
      <c r="J804">
        <v>86</v>
      </c>
      <c r="K804" t="s">
        <v>65</v>
      </c>
      <c r="L804" t="s">
        <v>26</v>
      </c>
      <c r="M804" t="s">
        <v>27</v>
      </c>
      <c r="N804">
        <v>3.3</v>
      </c>
      <c r="O804" s="3">
        <v>6763.12</v>
      </c>
      <c r="P804">
        <v>1</v>
      </c>
      <c r="Q804">
        <v>3.2</v>
      </c>
      <c r="R804">
        <v>0.85</v>
      </c>
      <c r="S804" t="str">
        <f t="shared" si="12"/>
        <v>May</v>
      </c>
    </row>
    <row r="805" spans="1:19" x14ac:dyDescent="0.2">
      <c r="A805" t="s">
        <v>1668</v>
      </c>
      <c r="B805" t="s">
        <v>1669</v>
      </c>
      <c r="C805" t="s">
        <v>122</v>
      </c>
      <c r="D805" t="s">
        <v>35</v>
      </c>
      <c r="E805" s="1">
        <v>45825</v>
      </c>
      <c r="F805" s="1">
        <v>45831</v>
      </c>
      <c r="G805" t="s">
        <v>59</v>
      </c>
      <c r="H805" t="s">
        <v>23</v>
      </c>
      <c r="I805" t="s">
        <v>81</v>
      </c>
      <c r="J805">
        <v>25</v>
      </c>
      <c r="K805" t="s">
        <v>78</v>
      </c>
      <c r="L805" t="s">
        <v>26</v>
      </c>
      <c r="M805" t="s">
        <v>27</v>
      </c>
      <c r="N805">
        <v>5.9</v>
      </c>
      <c r="O805" s="3">
        <v>6763.12</v>
      </c>
      <c r="P805">
        <v>0</v>
      </c>
      <c r="Q805">
        <v>2.9</v>
      </c>
      <c r="R805">
        <v>0.85</v>
      </c>
      <c r="S805" t="str">
        <f t="shared" si="12"/>
        <v>June</v>
      </c>
    </row>
    <row r="806" spans="1:19" x14ac:dyDescent="0.2">
      <c r="A806" t="s">
        <v>1670</v>
      </c>
      <c r="B806" t="s">
        <v>1671</v>
      </c>
      <c r="C806" t="s">
        <v>62</v>
      </c>
      <c r="D806" t="s">
        <v>49</v>
      </c>
      <c r="E806" s="1">
        <v>45949</v>
      </c>
      <c r="F806" s="1">
        <v>45951</v>
      </c>
      <c r="G806" t="s">
        <v>50</v>
      </c>
      <c r="H806" t="s">
        <v>44</v>
      </c>
      <c r="I806" t="s">
        <v>64</v>
      </c>
      <c r="J806">
        <v>67</v>
      </c>
      <c r="K806" t="s">
        <v>169</v>
      </c>
      <c r="L806" t="s">
        <v>32</v>
      </c>
      <c r="M806" t="s">
        <v>39</v>
      </c>
      <c r="N806">
        <v>1.7</v>
      </c>
      <c r="O806" s="3">
        <v>6763.12</v>
      </c>
      <c r="P806">
        <v>0</v>
      </c>
      <c r="Q806">
        <v>5</v>
      </c>
      <c r="R806">
        <v>0.9</v>
      </c>
      <c r="S806" t="str">
        <f t="shared" si="12"/>
        <v>October</v>
      </c>
    </row>
    <row r="807" spans="1:19" x14ac:dyDescent="0.2">
      <c r="A807" t="s">
        <v>1672</v>
      </c>
      <c r="B807" t="s">
        <v>1673</v>
      </c>
      <c r="C807" t="s">
        <v>58</v>
      </c>
      <c r="D807" t="s">
        <v>49</v>
      </c>
      <c r="E807" s="1">
        <v>45705</v>
      </c>
      <c r="F807" s="1">
        <v>45710</v>
      </c>
      <c r="G807" t="s">
        <v>36</v>
      </c>
      <c r="H807" t="s">
        <v>50</v>
      </c>
      <c r="I807" t="s">
        <v>64</v>
      </c>
      <c r="J807">
        <v>11</v>
      </c>
      <c r="K807" t="s">
        <v>103</v>
      </c>
      <c r="L807" t="s">
        <v>26</v>
      </c>
      <c r="M807" t="s">
        <v>39</v>
      </c>
      <c r="N807">
        <v>4.9000000000000004</v>
      </c>
      <c r="O807" s="3">
        <v>6763.12</v>
      </c>
      <c r="P807">
        <v>1</v>
      </c>
      <c r="Q807">
        <v>4.0999999999999996</v>
      </c>
      <c r="R807">
        <v>0.81</v>
      </c>
      <c r="S807" t="str">
        <f t="shared" si="12"/>
        <v>February</v>
      </c>
    </row>
    <row r="808" spans="1:19" x14ac:dyDescent="0.2">
      <c r="A808" t="s">
        <v>1674</v>
      </c>
      <c r="B808" t="s">
        <v>1675</v>
      </c>
      <c r="C808" t="s">
        <v>20</v>
      </c>
      <c r="D808" t="s">
        <v>49</v>
      </c>
      <c r="E808" s="1">
        <v>45816</v>
      </c>
      <c r="F808" s="1">
        <v>45834</v>
      </c>
      <c r="G808" t="s">
        <v>63</v>
      </c>
      <c r="H808" t="s">
        <v>50</v>
      </c>
      <c r="I808" t="s">
        <v>37</v>
      </c>
      <c r="J808">
        <v>88</v>
      </c>
      <c r="K808" t="s">
        <v>65</v>
      </c>
      <c r="L808" t="s">
        <v>26</v>
      </c>
      <c r="M808" t="s">
        <v>82</v>
      </c>
      <c r="N808">
        <v>17.2</v>
      </c>
      <c r="O808" s="3">
        <v>6763.12</v>
      </c>
      <c r="P808">
        <v>0</v>
      </c>
      <c r="Q808">
        <v>3.2</v>
      </c>
      <c r="R808">
        <v>0.8</v>
      </c>
      <c r="S808" t="str">
        <f t="shared" si="12"/>
        <v>June</v>
      </c>
    </row>
    <row r="809" spans="1:19" x14ac:dyDescent="0.2">
      <c r="A809" t="s">
        <v>1676</v>
      </c>
      <c r="B809" t="s">
        <v>1677</v>
      </c>
      <c r="C809" t="s">
        <v>62</v>
      </c>
      <c r="D809" t="s">
        <v>42</v>
      </c>
      <c r="E809" s="1">
        <v>45713</v>
      </c>
      <c r="F809" s="1">
        <v>45715</v>
      </c>
      <c r="G809" t="s">
        <v>50</v>
      </c>
      <c r="H809" t="s">
        <v>50</v>
      </c>
      <c r="I809" t="s">
        <v>64</v>
      </c>
      <c r="J809">
        <v>19</v>
      </c>
      <c r="K809" t="s">
        <v>78</v>
      </c>
      <c r="L809" t="s">
        <v>32</v>
      </c>
      <c r="M809" t="s">
        <v>27</v>
      </c>
      <c r="N809">
        <v>1.2</v>
      </c>
      <c r="O809" s="3">
        <v>6763.12</v>
      </c>
      <c r="P809">
        <v>0</v>
      </c>
      <c r="Q809">
        <v>4</v>
      </c>
      <c r="R809">
        <v>0.79</v>
      </c>
      <c r="S809" t="str">
        <f t="shared" si="12"/>
        <v>February</v>
      </c>
    </row>
    <row r="810" spans="1:19" x14ac:dyDescent="0.2">
      <c r="A810" t="s">
        <v>1678</v>
      </c>
      <c r="B810" t="s">
        <v>1679</v>
      </c>
      <c r="C810" t="s">
        <v>20</v>
      </c>
      <c r="D810" t="s">
        <v>42</v>
      </c>
      <c r="E810" s="1">
        <v>45945</v>
      </c>
      <c r="F810" s="1">
        <v>45946</v>
      </c>
      <c r="G810" t="s">
        <v>50</v>
      </c>
      <c r="H810" t="s">
        <v>50</v>
      </c>
      <c r="I810" t="s">
        <v>24</v>
      </c>
      <c r="J810">
        <v>35</v>
      </c>
      <c r="K810" t="s">
        <v>25</v>
      </c>
      <c r="L810" t="s">
        <v>32</v>
      </c>
      <c r="M810" t="s">
        <v>82</v>
      </c>
      <c r="N810">
        <v>0.8</v>
      </c>
      <c r="O810" s="3">
        <v>6763.12</v>
      </c>
      <c r="P810">
        <v>0</v>
      </c>
      <c r="Q810">
        <v>5</v>
      </c>
      <c r="R810">
        <v>0.9</v>
      </c>
      <c r="S810" t="str">
        <f t="shared" si="12"/>
        <v>October</v>
      </c>
    </row>
    <row r="811" spans="1:19" x14ac:dyDescent="0.2">
      <c r="A811" t="s">
        <v>1680</v>
      </c>
      <c r="B811" t="s">
        <v>1681</v>
      </c>
      <c r="C811" t="s">
        <v>62</v>
      </c>
      <c r="D811" t="s">
        <v>49</v>
      </c>
      <c r="E811" s="1">
        <v>45888</v>
      </c>
      <c r="F811" s="1">
        <v>45891</v>
      </c>
      <c r="G811" t="s">
        <v>43</v>
      </c>
      <c r="H811" t="s">
        <v>50</v>
      </c>
      <c r="I811" t="s">
        <v>55</v>
      </c>
      <c r="J811">
        <v>71</v>
      </c>
      <c r="K811" t="s">
        <v>169</v>
      </c>
      <c r="L811" t="s">
        <v>26</v>
      </c>
      <c r="M811" t="s">
        <v>27</v>
      </c>
      <c r="N811">
        <v>3</v>
      </c>
      <c r="O811" s="3">
        <v>6763.12</v>
      </c>
      <c r="P811">
        <v>1</v>
      </c>
      <c r="Q811">
        <v>4.3</v>
      </c>
      <c r="R811">
        <v>0.84</v>
      </c>
      <c r="S811" t="str">
        <f t="shared" si="12"/>
        <v>August</v>
      </c>
    </row>
    <row r="812" spans="1:19" x14ac:dyDescent="0.2">
      <c r="A812" t="s">
        <v>1682</v>
      </c>
      <c r="B812" t="s">
        <v>1683</v>
      </c>
      <c r="C812" t="s">
        <v>30</v>
      </c>
      <c r="D812" t="s">
        <v>42</v>
      </c>
      <c r="E812" s="1">
        <v>45839</v>
      </c>
      <c r="F812" s="1">
        <v>45841</v>
      </c>
      <c r="G812" t="s">
        <v>50</v>
      </c>
      <c r="H812" t="s">
        <v>50</v>
      </c>
      <c r="I812" t="s">
        <v>37</v>
      </c>
      <c r="J812">
        <v>18</v>
      </c>
      <c r="K812" t="s">
        <v>78</v>
      </c>
      <c r="L812" t="s">
        <v>32</v>
      </c>
      <c r="M812" t="s">
        <v>27</v>
      </c>
      <c r="N812">
        <v>1.4</v>
      </c>
      <c r="O812" s="3">
        <v>6763.12</v>
      </c>
      <c r="P812">
        <v>0</v>
      </c>
      <c r="Q812">
        <v>2</v>
      </c>
      <c r="R812">
        <v>0.87</v>
      </c>
      <c r="S812" t="str">
        <f t="shared" si="12"/>
        <v>July</v>
      </c>
    </row>
    <row r="813" spans="1:19" x14ac:dyDescent="0.2">
      <c r="A813" t="s">
        <v>1684</v>
      </c>
      <c r="B813" t="s">
        <v>1685</v>
      </c>
      <c r="C813" t="s">
        <v>122</v>
      </c>
      <c r="D813" t="s">
        <v>49</v>
      </c>
      <c r="E813" s="1">
        <v>45801</v>
      </c>
      <c r="F813" s="1">
        <v>45809</v>
      </c>
      <c r="G813" t="s">
        <v>68</v>
      </c>
      <c r="H813" t="s">
        <v>23</v>
      </c>
      <c r="I813" t="s">
        <v>55</v>
      </c>
      <c r="J813">
        <v>50</v>
      </c>
      <c r="K813" t="s">
        <v>38</v>
      </c>
      <c r="L813" t="s">
        <v>32</v>
      </c>
      <c r="M813" t="s">
        <v>27</v>
      </c>
      <c r="N813">
        <v>7.5</v>
      </c>
      <c r="O813" s="3">
        <v>6763.12</v>
      </c>
      <c r="P813">
        <v>0</v>
      </c>
      <c r="Q813">
        <v>5</v>
      </c>
      <c r="R813">
        <v>0.76</v>
      </c>
      <c r="S813" t="str">
        <f t="shared" si="12"/>
        <v>May</v>
      </c>
    </row>
    <row r="814" spans="1:19" x14ac:dyDescent="0.2">
      <c r="A814" t="s">
        <v>1686</v>
      </c>
      <c r="B814" t="s">
        <v>1687</v>
      </c>
      <c r="C814" t="s">
        <v>122</v>
      </c>
      <c r="D814" t="s">
        <v>49</v>
      </c>
      <c r="E814" s="1">
        <v>45713</v>
      </c>
      <c r="F814" s="1">
        <v>45715</v>
      </c>
      <c r="G814" t="s">
        <v>50</v>
      </c>
      <c r="H814" t="s">
        <v>23</v>
      </c>
      <c r="I814" t="s">
        <v>100</v>
      </c>
      <c r="J814">
        <v>71</v>
      </c>
      <c r="K814" t="s">
        <v>169</v>
      </c>
      <c r="L814" t="s">
        <v>26</v>
      </c>
      <c r="M814" t="s">
        <v>82</v>
      </c>
      <c r="N814">
        <v>1.5</v>
      </c>
      <c r="O814" s="3">
        <v>6763.12</v>
      </c>
      <c r="P814">
        <v>0</v>
      </c>
      <c r="Q814">
        <v>2.6</v>
      </c>
      <c r="R814">
        <v>0.82</v>
      </c>
      <c r="S814" t="str">
        <f t="shared" si="12"/>
        <v>February</v>
      </c>
    </row>
    <row r="815" spans="1:19" x14ac:dyDescent="0.2">
      <c r="A815" t="s">
        <v>1688</v>
      </c>
      <c r="B815" t="s">
        <v>1689</v>
      </c>
      <c r="C815" t="s">
        <v>30</v>
      </c>
      <c r="D815" t="s">
        <v>21</v>
      </c>
      <c r="E815" s="1">
        <v>45994</v>
      </c>
      <c r="F815" s="1">
        <v>45996</v>
      </c>
      <c r="G815" t="s">
        <v>63</v>
      </c>
      <c r="H815" t="s">
        <v>23</v>
      </c>
      <c r="I815" t="s">
        <v>55</v>
      </c>
      <c r="J815">
        <v>2</v>
      </c>
      <c r="K815" t="s">
        <v>103</v>
      </c>
      <c r="L815" t="s">
        <v>32</v>
      </c>
      <c r="M815" t="s">
        <v>27</v>
      </c>
      <c r="N815">
        <v>1.7</v>
      </c>
      <c r="O815" s="3">
        <v>6763.12</v>
      </c>
      <c r="P815">
        <v>0</v>
      </c>
      <c r="Q815">
        <v>3.8</v>
      </c>
      <c r="R815">
        <v>0.72</v>
      </c>
      <c r="S815" t="str">
        <f t="shared" si="12"/>
        <v>December</v>
      </c>
    </row>
    <row r="816" spans="1:19" x14ac:dyDescent="0.2">
      <c r="A816" t="s">
        <v>1690</v>
      </c>
      <c r="B816" t="s">
        <v>1691</v>
      </c>
      <c r="C816" t="s">
        <v>20</v>
      </c>
      <c r="D816" t="s">
        <v>35</v>
      </c>
      <c r="E816" s="1">
        <v>45894</v>
      </c>
      <c r="F816" s="1">
        <v>45915</v>
      </c>
      <c r="G816" t="s">
        <v>71</v>
      </c>
      <c r="H816" t="s">
        <v>50</v>
      </c>
      <c r="I816" t="s">
        <v>64</v>
      </c>
      <c r="J816">
        <v>2</v>
      </c>
      <c r="K816" t="s">
        <v>103</v>
      </c>
      <c r="L816" t="s">
        <v>26</v>
      </c>
      <c r="M816" t="s">
        <v>27</v>
      </c>
      <c r="N816">
        <v>21</v>
      </c>
      <c r="O816" s="3">
        <v>6763.12</v>
      </c>
      <c r="P816">
        <v>0</v>
      </c>
      <c r="Q816">
        <v>3</v>
      </c>
      <c r="R816">
        <v>0.78</v>
      </c>
      <c r="S816" t="str">
        <f t="shared" si="12"/>
        <v>August</v>
      </c>
    </row>
    <row r="817" spans="1:19" x14ac:dyDescent="0.2">
      <c r="A817" t="s">
        <v>1692</v>
      </c>
      <c r="B817" t="s">
        <v>1693</v>
      </c>
      <c r="C817" t="s">
        <v>30</v>
      </c>
      <c r="D817" t="s">
        <v>35</v>
      </c>
      <c r="E817" s="1">
        <v>45774</v>
      </c>
      <c r="F817" s="1">
        <v>45778</v>
      </c>
      <c r="G817" t="s">
        <v>22</v>
      </c>
      <c r="H817" t="s">
        <v>23</v>
      </c>
      <c r="I817" t="s">
        <v>31</v>
      </c>
      <c r="J817">
        <v>71</v>
      </c>
      <c r="K817" t="s">
        <v>169</v>
      </c>
      <c r="L817" t="s">
        <v>32</v>
      </c>
      <c r="M817" t="s">
        <v>82</v>
      </c>
      <c r="N817">
        <v>3.9</v>
      </c>
      <c r="O817" s="3">
        <v>6763.12</v>
      </c>
      <c r="P817">
        <v>0</v>
      </c>
      <c r="Q817">
        <v>3.5</v>
      </c>
      <c r="R817">
        <v>0.82</v>
      </c>
      <c r="S817" t="str">
        <f t="shared" si="12"/>
        <v>April</v>
      </c>
    </row>
    <row r="818" spans="1:19" x14ac:dyDescent="0.2">
      <c r="A818" t="s">
        <v>1694</v>
      </c>
      <c r="B818" t="s">
        <v>1695</v>
      </c>
      <c r="C818" t="s">
        <v>58</v>
      </c>
      <c r="D818" t="s">
        <v>49</v>
      </c>
      <c r="E818" s="1">
        <v>45809</v>
      </c>
      <c r="F818" s="1">
        <v>45811</v>
      </c>
      <c r="G818" t="s">
        <v>68</v>
      </c>
      <c r="H818" t="s">
        <v>50</v>
      </c>
      <c r="I818" t="s">
        <v>24</v>
      </c>
      <c r="J818">
        <v>23</v>
      </c>
      <c r="K818" t="s">
        <v>78</v>
      </c>
      <c r="L818" t="s">
        <v>32</v>
      </c>
      <c r="M818" t="s">
        <v>39</v>
      </c>
      <c r="N818">
        <v>1.3</v>
      </c>
      <c r="O818" s="3">
        <v>6763.12</v>
      </c>
      <c r="P818">
        <v>1</v>
      </c>
      <c r="Q818">
        <v>4.0999999999999996</v>
      </c>
      <c r="R818">
        <v>0.77</v>
      </c>
      <c r="S818" t="str">
        <f t="shared" si="12"/>
        <v>June</v>
      </c>
    </row>
    <row r="819" spans="1:19" x14ac:dyDescent="0.2">
      <c r="A819" t="s">
        <v>1696</v>
      </c>
      <c r="B819" t="s">
        <v>1697</v>
      </c>
      <c r="C819" t="s">
        <v>30</v>
      </c>
      <c r="D819" t="s">
        <v>49</v>
      </c>
      <c r="E819" s="1">
        <v>45923</v>
      </c>
      <c r="F819" s="1">
        <v>45924</v>
      </c>
      <c r="G819" t="s">
        <v>50</v>
      </c>
      <c r="H819" t="s">
        <v>50</v>
      </c>
      <c r="I819" t="s">
        <v>51</v>
      </c>
      <c r="J819">
        <v>82</v>
      </c>
      <c r="K819" t="s">
        <v>65</v>
      </c>
      <c r="L819" t="s">
        <v>32</v>
      </c>
      <c r="M819" t="s">
        <v>27</v>
      </c>
      <c r="N819">
        <v>0.4</v>
      </c>
      <c r="O819" s="3">
        <v>6763.12</v>
      </c>
      <c r="P819">
        <v>0</v>
      </c>
      <c r="Q819">
        <v>2.5</v>
      </c>
      <c r="R819">
        <v>0.86</v>
      </c>
      <c r="S819" t="str">
        <f t="shared" si="12"/>
        <v>September</v>
      </c>
    </row>
    <row r="820" spans="1:19" x14ac:dyDescent="0.2">
      <c r="A820" t="s">
        <v>1698</v>
      </c>
      <c r="B820" t="s">
        <v>1699</v>
      </c>
      <c r="C820" t="s">
        <v>30</v>
      </c>
      <c r="D820" t="s">
        <v>21</v>
      </c>
      <c r="E820" s="1">
        <v>45920</v>
      </c>
      <c r="F820" s="1">
        <v>45922</v>
      </c>
      <c r="G820" t="s">
        <v>59</v>
      </c>
      <c r="H820" t="s">
        <v>50</v>
      </c>
      <c r="I820" t="s">
        <v>64</v>
      </c>
      <c r="J820">
        <v>84</v>
      </c>
      <c r="K820" t="s">
        <v>65</v>
      </c>
      <c r="L820" t="s">
        <v>32</v>
      </c>
      <c r="M820" t="s">
        <v>27</v>
      </c>
      <c r="N820">
        <v>1.8</v>
      </c>
      <c r="O820" s="3">
        <v>6763.12</v>
      </c>
      <c r="P820">
        <v>0</v>
      </c>
      <c r="Q820">
        <v>3.7</v>
      </c>
      <c r="R820">
        <v>0.78</v>
      </c>
      <c r="S820" t="str">
        <f t="shared" si="12"/>
        <v>September</v>
      </c>
    </row>
    <row r="821" spans="1:19" x14ac:dyDescent="0.2">
      <c r="A821" t="s">
        <v>1700</v>
      </c>
      <c r="B821" t="s">
        <v>1701</v>
      </c>
      <c r="C821" t="s">
        <v>62</v>
      </c>
      <c r="D821" t="s">
        <v>49</v>
      </c>
      <c r="E821" s="1">
        <v>45826</v>
      </c>
      <c r="F821" s="1">
        <v>45831</v>
      </c>
      <c r="G821" t="s">
        <v>71</v>
      </c>
      <c r="H821" t="s">
        <v>50</v>
      </c>
      <c r="I821" t="s">
        <v>37</v>
      </c>
      <c r="J821">
        <v>80</v>
      </c>
      <c r="K821" t="s">
        <v>65</v>
      </c>
      <c r="L821" t="s">
        <v>26</v>
      </c>
      <c r="M821" t="s">
        <v>39</v>
      </c>
      <c r="N821">
        <v>4.4000000000000004</v>
      </c>
      <c r="O821" s="3">
        <v>6763.12</v>
      </c>
      <c r="P821">
        <v>0</v>
      </c>
      <c r="Q821">
        <v>4.5999999999999996</v>
      </c>
      <c r="R821">
        <v>0.87</v>
      </c>
      <c r="S821" t="str">
        <f t="shared" si="12"/>
        <v>June</v>
      </c>
    </row>
    <row r="822" spans="1:19" x14ac:dyDescent="0.2">
      <c r="A822" t="s">
        <v>1702</v>
      </c>
      <c r="B822" t="s">
        <v>1703</v>
      </c>
      <c r="C822" t="s">
        <v>58</v>
      </c>
      <c r="D822" t="s">
        <v>35</v>
      </c>
      <c r="E822" s="1">
        <v>45768</v>
      </c>
      <c r="F822" s="1">
        <v>45774</v>
      </c>
      <c r="G822" t="s">
        <v>59</v>
      </c>
      <c r="H822" t="s">
        <v>50</v>
      </c>
      <c r="I822" t="s">
        <v>24</v>
      </c>
      <c r="J822">
        <v>90</v>
      </c>
      <c r="K822" t="s">
        <v>65</v>
      </c>
      <c r="L822" t="s">
        <v>26</v>
      </c>
      <c r="M822" t="s">
        <v>27</v>
      </c>
      <c r="N822">
        <v>5.9</v>
      </c>
      <c r="O822" s="3">
        <v>6763.12</v>
      </c>
      <c r="P822">
        <v>0</v>
      </c>
      <c r="Q822">
        <v>3.3</v>
      </c>
      <c r="R822">
        <v>0.8</v>
      </c>
      <c r="S822" t="str">
        <f t="shared" si="12"/>
        <v>April</v>
      </c>
    </row>
    <row r="823" spans="1:19" x14ac:dyDescent="0.2">
      <c r="A823" t="s">
        <v>1704</v>
      </c>
      <c r="B823" t="s">
        <v>1705</v>
      </c>
      <c r="C823" t="s">
        <v>62</v>
      </c>
      <c r="D823" t="s">
        <v>35</v>
      </c>
      <c r="E823" s="1">
        <v>45898</v>
      </c>
      <c r="F823" s="1">
        <v>45899</v>
      </c>
      <c r="G823" t="s">
        <v>50</v>
      </c>
      <c r="H823" t="s">
        <v>23</v>
      </c>
      <c r="I823" t="s">
        <v>100</v>
      </c>
      <c r="J823">
        <v>74</v>
      </c>
      <c r="K823" t="s">
        <v>169</v>
      </c>
      <c r="L823" t="s">
        <v>26</v>
      </c>
      <c r="M823" t="s">
        <v>27</v>
      </c>
      <c r="N823">
        <v>0.5</v>
      </c>
      <c r="O823" s="3">
        <v>6763.12</v>
      </c>
      <c r="P823">
        <v>0</v>
      </c>
      <c r="Q823">
        <v>2.9</v>
      </c>
      <c r="R823">
        <v>0.93</v>
      </c>
      <c r="S823" t="str">
        <f t="shared" si="12"/>
        <v>August</v>
      </c>
    </row>
    <row r="824" spans="1:19" x14ac:dyDescent="0.2">
      <c r="A824" t="s">
        <v>1706</v>
      </c>
      <c r="B824" t="s">
        <v>1707</v>
      </c>
      <c r="C824" t="s">
        <v>20</v>
      </c>
      <c r="D824" t="s">
        <v>42</v>
      </c>
      <c r="E824" s="1">
        <v>45898</v>
      </c>
      <c r="F824" s="1">
        <v>45899</v>
      </c>
      <c r="G824" t="s">
        <v>50</v>
      </c>
      <c r="H824" t="s">
        <v>23</v>
      </c>
      <c r="I824" t="s">
        <v>55</v>
      </c>
      <c r="J824">
        <v>34</v>
      </c>
      <c r="K824" t="s">
        <v>78</v>
      </c>
      <c r="L824" t="s">
        <v>32</v>
      </c>
      <c r="M824" t="s">
        <v>39</v>
      </c>
      <c r="N824">
        <v>0.2</v>
      </c>
      <c r="O824" s="3">
        <v>6763.12</v>
      </c>
      <c r="P824">
        <v>0</v>
      </c>
      <c r="Q824">
        <v>3.6</v>
      </c>
      <c r="R824">
        <v>0.83</v>
      </c>
      <c r="S824" t="str">
        <f t="shared" si="12"/>
        <v>August</v>
      </c>
    </row>
    <row r="825" spans="1:19" x14ac:dyDescent="0.2">
      <c r="A825" t="s">
        <v>1708</v>
      </c>
      <c r="B825" t="s">
        <v>1709</v>
      </c>
      <c r="C825" t="s">
        <v>30</v>
      </c>
      <c r="D825" t="s">
        <v>21</v>
      </c>
      <c r="E825" s="1">
        <v>45876</v>
      </c>
      <c r="F825" s="1">
        <v>45878</v>
      </c>
      <c r="G825" t="s">
        <v>99</v>
      </c>
      <c r="H825" t="s">
        <v>23</v>
      </c>
      <c r="I825" t="s">
        <v>64</v>
      </c>
      <c r="J825">
        <v>90</v>
      </c>
      <c r="K825" t="s">
        <v>65</v>
      </c>
      <c r="L825" t="s">
        <v>32</v>
      </c>
      <c r="M825" t="s">
        <v>27</v>
      </c>
      <c r="N825">
        <v>1.1000000000000001</v>
      </c>
      <c r="O825" s="3">
        <v>6763.12</v>
      </c>
      <c r="P825">
        <v>0</v>
      </c>
      <c r="Q825">
        <v>3.7</v>
      </c>
      <c r="R825">
        <v>0.8</v>
      </c>
      <c r="S825" t="str">
        <f t="shared" si="12"/>
        <v>August</v>
      </c>
    </row>
    <row r="826" spans="1:19" x14ac:dyDescent="0.2">
      <c r="A826" t="s">
        <v>1710</v>
      </c>
      <c r="B826" t="s">
        <v>1711</v>
      </c>
      <c r="C826" t="s">
        <v>20</v>
      </c>
      <c r="D826" t="s">
        <v>35</v>
      </c>
      <c r="E826" s="1">
        <v>45684</v>
      </c>
      <c r="F826" s="1">
        <v>45690</v>
      </c>
      <c r="G826" t="s">
        <v>63</v>
      </c>
      <c r="H826" t="s">
        <v>50</v>
      </c>
      <c r="I826" t="s">
        <v>37</v>
      </c>
      <c r="J826">
        <v>31</v>
      </c>
      <c r="K826" t="s">
        <v>78</v>
      </c>
      <c r="L826" t="s">
        <v>32</v>
      </c>
      <c r="M826" t="s">
        <v>39</v>
      </c>
      <c r="N826">
        <v>6</v>
      </c>
      <c r="O826" s="3">
        <v>6763.12</v>
      </c>
      <c r="P826">
        <v>0</v>
      </c>
      <c r="Q826">
        <v>3.5</v>
      </c>
      <c r="R826">
        <v>0.75</v>
      </c>
      <c r="S826" t="str">
        <f t="shared" si="12"/>
        <v>January</v>
      </c>
    </row>
    <row r="827" spans="1:19" x14ac:dyDescent="0.2">
      <c r="A827" t="s">
        <v>1712</v>
      </c>
      <c r="B827" t="s">
        <v>1713</v>
      </c>
      <c r="C827" t="s">
        <v>20</v>
      </c>
      <c r="D827" t="s">
        <v>21</v>
      </c>
      <c r="E827" s="1">
        <v>45830</v>
      </c>
      <c r="F827" s="1">
        <v>45834</v>
      </c>
      <c r="G827" t="s">
        <v>71</v>
      </c>
      <c r="H827" t="s">
        <v>23</v>
      </c>
      <c r="I827" t="s">
        <v>64</v>
      </c>
      <c r="J827">
        <v>53</v>
      </c>
      <c r="K827" t="s">
        <v>38</v>
      </c>
      <c r="L827" t="s">
        <v>32</v>
      </c>
      <c r="M827" t="s">
        <v>27</v>
      </c>
      <c r="N827">
        <v>3.2</v>
      </c>
      <c r="O827" s="3">
        <v>6763.12</v>
      </c>
      <c r="P827">
        <v>0</v>
      </c>
      <c r="Q827">
        <v>3.2</v>
      </c>
      <c r="R827">
        <v>0.87</v>
      </c>
      <c r="S827" t="str">
        <f t="shared" si="12"/>
        <v>June</v>
      </c>
    </row>
    <row r="828" spans="1:19" x14ac:dyDescent="0.2">
      <c r="A828" t="s">
        <v>1714</v>
      </c>
      <c r="B828" t="s">
        <v>1715</v>
      </c>
      <c r="C828" t="s">
        <v>30</v>
      </c>
      <c r="D828" t="s">
        <v>21</v>
      </c>
      <c r="E828" s="1">
        <v>45882</v>
      </c>
      <c r="F828" s="1">
        <v>45884</v>
      </c>
      <c r="G828" t="s">
        <v>36</v>
      </c>
      <c r="H828" t="s">
        <v>23</v>
      </c>
      <c r="I828" t="s">
        <v>117</v>
      </c>
      <c r="J828">
        <v>0</v>
      </c>
      <c r="K828" t="s">
        <v>103</v>
      </c>
      <c r="L828" t="s">
        <v>26</v>
      </c>
      <c r="M828" t="s">
        <v>27</v>
      </c>
      <c r="N828">
        <v>1.3</v>
      </c>
      <c r="O828" s="3">
        <v>6763.12</v>
      </c>
      <c r="P828">
        <v>0</v>
      </c>
      <c r="Q828">
        <v>4.2</v>
      </c>
      <c r="R828">
        <v>0.85</v>
      </c>
      <c r="S828" t="str">
        <f t="shared" si="12"/>
        <v>August</v>
      </c>
    </row>
    <row r="829" spans="1:19" x14ac:dyDescent="0.2">
      <c r="A829" t="s">
        <v>1716</v>
      </c>
      <c r="B829" t="s">
        <v>1717</v>
      </c>
      <c r="C829" t="s">
        <v>62</v>
      </c>
      <c r="D829" t="s">
        <v>49</v>
      </c>
      <c r="E829" s="1">
        <v>46004</v>
      </c>
      <c r="F829" s="1">
        <v>46009</v>
      </c>
      <c r="G829" t="s">
        <v>71</v>
      </c>
      <c r="H829" t="s">
        <v>50</v>
      </c>
      <c r="I829" t="s">
        <v>117</v>
      </c>
      <c r="J829">
        <v>87</v>
      </c>
      <c r="K829" t="s">
        <v>65</v>
      </c>
      <c r="L829" t="s">
        <v>32</v>
      </c>
      <c r="M829" t="s">
        <v>27</v>
      </c>
      <c r="N829">
        <v>4.9000000000000004</v>
      </c>
      <c r="O829" s="3">
        <v>6763.12</v>
      </c>
      <c r="P829">
        <v>0</v>
      </c>
      <c r="Q829">
        <v>4.3</v>
      </c>
      <c r="R829">
        <v>0.84</v>
      </c>
      <c r="S829" t="str">
        <f t="shared" si="12"/>
        <v>December</v>
      </c>
    </row>
    <row r="830" spans="1:19" x14ac:dyDescent="0.2">
      <c r="A830" t="s">
        <v>1718</v>
      </c>
      <c r="B830" t="s">
        <v>1719</v>
      </c>
      <c r="C830" t="s">
        <v>58</v>
      </c>
      <c r="D830" t="s">
        <v>42</v>
      </c>
      <c r="E830" s="1">
        <v>45849</v>
      </c>
      <c r="F830" s="1">
        <v>45852</v>
      </c>
      <c r="G830" t="s">
        <v>22</v>
      </c>
      <c r="H830" t="s">
        <v>23</v>
      </c>
      <c r="I830" t="s">
        <v>37</v>
      </c>
      <c r="J830">
        <v>53</v>
      </c>
      <c r="K830" t="s">
        <v>38</v>
      </c>
      <c r="L830" t="s">
        <v>32</v>
      </c>
      <c r="M830" t="s">
        <v>27</v>
      </c>
      <c r="N830">
        <v>2.4</v>
      </c>
      <c r="O830" s="3">
        <v>6763.12</v>
      </c>
      <c r="P830">
        <v>0</v>
      </c>
      <c r="Q830">
        <v>3.3</v>
      </c>
      <c r="R830">
        <v>0.69</v>
      </c>
      <c r="S830" t="str">
        <f t="shared" si="12"/>
        <v>July</v>
      </c>
    </row>
    <row r="831" spans="1:19" x14ac:dyDescent="0.2">
      <c r="A831" t="s">
        <v>1720</v>
      </c>
      <c r="B831" t="s">
        <v>1721</v>
      </c>
      <c r="C831" t="s">
        <v>58</v>
      </c>
      <c r="D831" t="s">
        <v>49</v>
      </c>
      <c r="E831" s="1">
        <v>45783</v>
      </c>
      <c r="F831" s="1">
        <v>45791</v>
      </c>
      <c r="G831" t="s">
        <v>59</v>
      </c>
      <c r="H831" t="s">
        <v>50</v>
      </c>
      <c r="I831" t="s">
        <v>100</v>
      </c>
      <c r="J831">
        <v>86</v>
      </c>
      <c r="K831" t="s">
        <v>65</v>
      </c>
      <c r="L831" t="s">
        <v>32</v>
      </c>
      <c r="M831" t="s">
        <v>27</v>
      </c>
      <c r="N831">
        <v>8</v>
      </c>
      <c r="O831" s="3">
        <v>6763.12</v>
      </c>
      <c r="P831">
        <v>1</v>
      </c>
      <c r="Q831">
        <v>3</v>
      </c>
      <c r="R831">
        <v>0.71</v>
      </c>
      <c r="S831" t="str">
        <f t="shared" si="12"/>
        <v>May</v>
      </c>
    </row>
    <row r="832" spans="1:19" x14ac:dyDescent="0.2">
      <c r="A832" t="s">
        <v>1722</v>
      </c>
      <c r="B832" t="s">
        <v>1723</v>
      </c>
      <c r="C832" t="s">
        <v>20</v>
      </c>
      <c r="D832" t="s">
        <v>49</v>
      </c>
      <c r="E832" s="1">
        <v>45860</v>
      </c>
      <c r="F832" s="1">
        <v>45862</v>
      </c>
      <c r="G832" t="s">
        <v>50</v>
      </c>
      <c r="H832" t="s">
        <v>50</v>
      </c>
      <c r="I832" t="s">
        <v>24</v>
      </c>
      <c r="J832">
        <v>32</v>
      </c>
      <c r="K832" t="s">
        <v>78</v>
      </c>
      <c r="L832" t="s">
        <v>26</v>
      </c>
      <c r="M832" t="s">
        <v>27</v>
      </c>
      <c r="N832">
        <v>1.1000000000000001</v>
      </c>
      <c r="O832" s="3">
        <v>6763.12</v>
      </c>
      <c r="P832">
        <v>0</v>
      </c>
      <c r="Q832">
        <v>3.8</v>
      </c>
      <c r="R832">
        <v>0.83</v>
      </c>
      <c r="S832" t="str">
        <f t="shared" si="12"/>
        <v>July</v>
      </c>
    </row>
    <row r="833" spans="1:19" x14ac:dyDescent="0.2">
      <c r="A833" t="s">
        <v>1724</v>
      </c>
      <c r="B833" t="s">
        <v>1725</v>
      </c>
      <c r="C833" t="s">
        <v>58</v>
      </c>
      <c r="D833" t="s">
        <v>21</v>
      </c>
      <c r="E833" s="1">
        <v>45722</v>
      </c>
      <c r="F833" s="1">
        <v>45726</v>
      </c>
      <c r="G833" t="s">
        <v>63</v>
      </c>
      <c r="H833" t="s">
        <v>50</v>
      </c>
      <c r="I833" t="s">
        <v>31</v>
      </c>
      <c r="J833">
        <v>28</v>
      </c>
      <c r="K833" t="s">
        <v>78</v>
      </c>
      <c r="L833" t="s">
        <v>32</v>
      </c>
      <c r="M833" t="s">
        <v>82</v>
      </c>
      <c r="N833">
        <v>3.5</v>
      </c>
      <c r="O833" s="3">
        <v>6763.12</v>
      </c>
      <c r="P833">
        <v>0</v>
      </c>
      <c r="Q833">
        <v>3.3</v>
      </c>
      <c r="R833">
        <v>0.76</v>
      </c>
      <c r="S833" t="str">
        <f t="shared" si="12"/>
        <v>March</v>
      </c>
    </row>
    <row r="834" spans="1:19" x14ac:dyDescent="0.2">
      <c r="A834" t="s">
        <v>1726</v>
      </c>
      <c r="B834" t="s">
        <v>1727</v>
      </c>
      <c r="C834" t="s">
        <v>122</v>
      </c>
      <c r="D834" t="s">
        <v>49</v>
      </c>
      <c r="E834" s="1">
        <v>45691</v>
      </c>
      <c r="F834" s="1">
        <v>45698</v>
      </c>
      <c r="G834" t="s">
        <v>68</v>
      </c>
      <c r="H834" t="s">
        <v>50</v>
      </c>
      <c r="I834" t="s">
        <v>24</v>
      </c>
      <c r="J834">
        <v>47</v>
      </c>
      <c r="K834" t="s">
        <v>25</v>
      </c>
      <c r="L834" t="s">
        <v>26</v>
      </c>
      <c r="M834" t="s">
        <v>82</v>
      </c>
      <c r="N834">
        <v>6.3</v>
      </c>
      <c r="O834" s="3">
        <v>6763.12</v>
      </c>
      <c r="P834">
        <v>0</v>
      </c>
      <c r="Q834">
        <v>4</v>
      </c>
      <c r="R834">
        <v>0.7</v>
      </c>
      <c r="S834" t="str">
        <f t="shared" si="12"/>
        <v>February</v>
      </c>
    </row>
    <row r="835" spans="1:19" x14ac:dyDescent="0.2">
      <c r="A835" t="s">
        <v>1728</v>
      </c>
      <c r="B835" t="s">
        <v>1729</v>
      </c>
      <c r="C835" t="s">
        <v>62</v>
      </c>
      <c r="D835" t="s">
        <v>21</v>
      </c>
      <c r="E835" s="1">
        <v>45905</v>
      </c>
      <c r="F835" s="1">
        <v>45907</v>
      </c>
      <c r="G835" t="s">
        <v>71</v>
      </c>
      <c r="H835" t="s">
        <v>50</v>
      </c>
      <c r="I835" t="s">
        <v>37</v>
      </c>
      <c r="J835">
        <v>78</v>
      </c>
      <c r="K835" t="s">
        <v>65</v>
      </c>
      <c r="L835" t="s">
        <v>26</v>
      </c>
      <c r="M835" t="s">
        <v>27</v>
      </c>
      <c r="N835">
        <v>1.8</v>
      </c>
      <c r="O835" s="3">
        <v>6763.12</v>
      </c>
      <c r="P835">
        <v>0</v>
      </c>
      <c r="Q835">
        <v>4.8</v>
      </c>
      <c r="R835">
        <v>0.87</v>
      </c>
      <c r="S835" t="str">
        <f t="shared" ref="S835:S898" si="13">TEXT(E835, "mmmm")</f>
        <v>September</v>
      </c>
    </row>
    <row r="836" spans="1:19" x14ac:dyDescent="0.2">
      <c r="A836" t="s">
        <v>1730</v>
      </c>
      <c r="B836" t="s">
        <v>1731</v>
      </c>
      <c r="C836" t="s">
        <v>122</v>
      </c>
      <c r="D836" t="s">
        <v>35</v>
      </c>
      <c r="E836" s="1">
        <v>46017</v>
      </c>
      <c r="F836" s="1">
        <v>46018</v>
      </c>
      <c r="G836" t="s">
        <v>50</v>
      </c>
      <c r="H836" t="s">
        <v>50</v>
      </c>
      <c r="I836" t="s">
        <v>37</v>
      </c>
      <c r="J836">
        <v>49</v>
      </c>
      <c r="K836" t="s">
        <v>25</v>
      </c>
      <c r="L836" t="s">
        <v>26</v>
      </c>
      <c r="M836" t="s">
        <v>39</v>
      </c>
      <c r="N836">
        <v>0.9</v>
      </c>
      <c r="O836" s="3">
        <v>6763.12</v>
      </c>
      <c r="P836">
        <v>0</v>
      </c>
      <c r="Q836">
        <v>3.7</v>
      </c>
      <c r="R836">
        <v>0.72</v>
      </c>
      <c r="S836" t="str">
        <f t="shared" si="13"/>
        <v>December</v>
      </c>
    </row>
    <row r="837" spans="1:19" x14ac:dyDescent="0.2">
      <c r="A837" t="s">
        <v>1732</v>
      </c>
      <c r="B837" t="s">
        <v>1733</v>
      </c>
      <c r="C837" t="s">
        <v>30</v>
      </c>
      <c r="D837" t="s">
        <v>42</v>
      </c>
      <c r="E837" s="1">
        <v>45966</v>
      </c>
      <c r="F837" s="1">
        <v>45967</v>
      </c>
      <c r="G837" t="s">
        <v>43</v>
      </c>
      <c r="H837" t="s">
        <v>50</v>
      </c>
      <c r="I837" t="s">
        <v>55</v>
      </c>
      <c r="J837">
        <v>72</v>
      </c>
      <c r="K837" t="s">
        <v>169</v>
      </c>
      <c r="L837" t="s">
        <v>32</v>
      </c>
      <c r="M837" t="s">
        <v>39</v>
      </c>
      <c r="N837">
        <v>0.4</v>
      </c>
      <c r="O837" s="3">
        <v>6763.12</v>
      </c>
      <c r="P837">
        <v>0</v>
      </c>
      <c r="Q837">
        <v>3.2</v>
      </c>
      <c r="R837">
        <v>0.87</v>
      </c>
      <c r="S837" t="str">
        <f t="shared" si="13"/>
        <v>November</v>
      </c>
    </row>
    <row r="838" spans="1:19" x14ac:dyDescent="0.2">
      <c r="A838" t="s">
        <v>1734</v>
      </c>
      <c r="B838" t="s">
        <v>1735</v>
      </c>
      <c r="C838" t="s">
        <v>30</v>
      </c>
      <c r="D838" t="s">
        <v>21</v>
      </c>
      <c r="E838" s="1">
        <v>45871</v>
      </c>
      <c r="F838" s="1">
        <v>45873</v>
      </c>
      <c r="G838" t="s">
        <v>116</v>
      </c>
      <c r="H838" t="s">
        <v>44</v>
      </c>
      <c r="I838" t="s">
        <v>100</v>
      </c>
      <c r="J838">
        <v>19</v>
      </c>
      <c r="K838" t="s">
        <v>78</v>
      </c>
      <c r="L838" t="s">
        <v>32</v>
      </c>
      <c r="M838" t="s">
        <v>82</v>
      </c>
      <c r="N838">
        <v>1.6</v>
      </c>
      <c r="O838" s="3">
        <v>6763.12</v>
      </c>
      <c r="P838">
        <v>0</v>
      </c>
      <c r="Q838">
        <v>4.0999999999999996</v>
      </c>
      <c r="R838">
        <v>0.83</v>
      </c>
      <c r="S838" t="str">
        <f t="shared" si="13"/>
        <v>August</v>
      </c>
    </row>
    <row r="839" spans="1:19" x14ac:dyDescent="0.2">
      <c r="A839" t="s">
        <v>1736</v>
      </c>
      <c r="B839" t="s">
        <v>1737</v>
      </c>
      <c r="C839" t="s">
        <v>58</v>
      </c>
      <c r="D839" t="s">
        <v>21</v>
      </c>
      <c r="E839" s="1">
        <v>45672</v>
      </c>
      <c r="F839" s="1">
        <v>45674</v>
      </c>
      <c r="G839" t="s">
        <v>50</v>
      </c>
      <c r="H839" t="s">
        <v>50</v>
      </c>
      <c r="I839" t="s">
        <v>55</v>
      </c>
      <c r="J839">
        <v>70</v>
      </c>
      <c r="K839" t="s">
        <v>169</v>
      </c>
      <c r="L839" t="s">
        <v>32</v>
      </c>
      <c r="M839" t="s">
        <v>27</v>
      </c>
      <c r="N839">
        <v>1.2</v>
      </c>
      <c r="O839" s="3">
        <v>6763.12</v>
      </c>
      <c r="P839">
        <v>0</v>
      </c>
      <c r="Q839">
        <v>3.6</v>
      </c>
      <c r="R839">
        <v>0.73</v>
      </c>
      <c r="S839" t="str">
        <f t="shared" si="13"/>
        <v>January</v>
      </c>
    </row>
    <row r="840" spans="1:19" x14ac:dyDescent="0.2">
      <c r="A840" t="s">
        <v>1738</v>
      </c>
      <c r="B840" t="s">
        <v>1739</v>
      </c>
      <c r="C840" t="s">
        <v>62</v>
      </c>
      <c r="D840" t="s">
        <v>35</v>
      </c>
      <c r="E840" s="1">
        <v>46018</v>
      </c>
      <c r="F840" s="1">
        <v>46029</v>
      </c>
      <c r="G840" t="s">
        <v>59</v>
      </c>
      <c r="H840" t="s">
        <v>50</v>
      </c>
      <c r="I840" t="s">
        <v>37</v>
      </c>
      <c r="J840">
        <v>66</v>
      </c>
      <c r="K840" t="s">
        <v>169</v>
      </c>
      <c r="L840" t="s">
        <v>26</v>
      </c>
      <c r="M840" t="s">
        <v>27</v>
      </c>
      <c r="N840">
        <v>10.7</v>
      </c>
      <c r="O840" s="3">
        <v>6763.12</v>
      </c>
      <c r="P840">
        <v>1</v>
      </c>
      <c r="Q840">
        <v>3.5</v>
      </c>
      <c r="R840">
        <v>0.88</v>
      </c>
      <c r="S840" t="str">
        <f t="shared" si="13"/>
        <v>December</v>
      </c>
    </row>
    <row r="841" spans="1:19" x14ac:dyDescent="0.2">
      <c r="A841" t="s">
        <v>1740</v>
      </c>
      <c r="B841" t="s">
        <v>1741</v>
      </c>
      <c r="C841" t="s">
        <v>62</v>
      </c>
      <c r="D841" t="s">
        <v>42</v>
      </c>
      <c r="E841" s="1">
        <v>45822</v>
      </c>
      <c r="F841" s="1">
        <v>45823</v>
      </c>
      <c r="G841" t="s">
        <v>43</v>
      </c>
      <c r="H841" t="s">
        <v>50</v>
      </c>
      <c r="I841" t="s">
        <v>64</v>
      </c>
      <c r="J841">
        <v>81</v>
      </c>
      <c r="K841" t="s">
        <v>65</v>
      </c>
      <c r="L841" t="s">
        <v>26</v>
      </c>
      <c r="M841" t="s">
        <v>27</v>
      </c>
      <c r="N841">
        <v>0.4</v>
      </c>
      <c r="O841" s="3">
        <v>6763.12</v>
      </c>
      <c r="P841">
        <v>0</v>
      </c>
      <c r="Q841">
        <v>4.2</v>
      </c>
      <c r="R841">
        <v>0.85</v>
      </c>
      <c r="S841" t="str">
        <f t="shared" si="13"/>
        <v>June</v>
      </c>
    </row>
    <row r="842" spans="1:19" x14ac:dyDescent="0.2">
      <c r="A842" t="s">
        <v>1742</v>
      </c>
      <c r="B842" t="s">
        <v>1743</v>
      </c>
      <c r="C842" t="s">
        <v>58</v>
      </c>
      <c r="D842" t="s">
        <v>35</v>
      </c>
      <c r="E842" s="1">
        <v>45763</v>
      </c>
      <c r="F842" s="1">
        <v>45766</v>
      </c>
      <c r="G842" t="s">
        <v>68</v>
      </c>
      <c r="H842" t="s">
        <v>44</v>
      </c>
      <c r="I842" t="s">
        <v>24</v>
      </c>
      <c r="J842">
        <v>5</v>
      </c>
      <c r="K842" t="s">
        <v>103</v>
      </c>
      <c r="L842" t="s">
        <v>26</v>
      </c>
      <c r="M842" t="s">
        <v>27</v>
      </c>
      <c r="N842">
        <v>2.9</v>
      </c>
      <c r="O842" s="3">
        <v>6763.12</v>
      </c>
      <c r="P842">
        <v>0</v>
      </c>
      <c r="Q842">
        <v>4.3</v>
      </c>
      <c r="R842">
        <v>0.8</v>
      </c>
      <c r="S842" t="str">
        <f t="shared" si="13"/>
        <v>April</v>
      </c>
    </row>
    <row r="843" spans="1:19" x14ac:dyDescent="0.2">
      <c r="A843" t="s">
        <v>1744</v>
      </c>
      <c r="B843" t="s">
        <v>1745</v>
      </c>
      <c r="C843" t="s">
        <v>62</v>
      </c>
      <c r="D843" t="s">
        <v>21</v>
      </c>
      <c r="E843" s="1">
        <v>45983</v>
      </c>
      <c r="F843" s="1">
        <v>45993</v>
      </c>
      <c r="G843" t="s">
        <v>43</v>
      </c>
      <c r="H843" t="s">
        <v>23</v>
      </c>
      <c r="I843" t="s">
        <v>117</v>
      </c>
      <c r="J843">
        <v>34</v>
      </c>
      <c r="K843" t="s">
        <v>78</v>
      </c>
      <c r="L843" t="s">
        <v>32</v>
      </c>
      <c r="M843" t="s">
        <v>27</v>
      </c>
      <c r="N843">
        <v>9.1</v>
      </c>
      <c r="O843" s="3">
        <v>6763.12</v>
      </c>
      <c r="P843">
        <v>0</v>
      </c>
      <c r="Q843">
        <v>3.7</v>
      </c>
      <c r="R843">
        <v>0.84</v>
      </c>
      <c r="S843" t="str">
        <f t="shared" si="13"/>
        <v>November</v>
      </c>
    </row>
    <row r="844" spans="1:19" x14ac:dyDescent="0.2">
      <c r="A844" t="s">
        <v>1746</v>
      </c>
      <c r="B844" t="s">
        <v>1747</v>
      </c>
      <c r="C844" t="s">
        <v>58</v>
      </c>
      <c r="D844" t="s">
        <v>42</v>
      </c>
      <c r="E844" s="1">
        <v>45930</v>
      </c>
      <c r="F844" s="1">
        <v>45939</v>
      </c>
      <c r="G844" t="s">
        <v>59</v>
      </c>
      <c r="H844" t="s">
        <v>44</v>
      </c>
      <c r="I844" t="s">
        <v>117</v>
      </c>
      <c r="J844">
        <v>8</v>
      </c>
      <c r="K844" t="s">
        <v>103</v>
      </c>
      <c r="L844" t="s">
        <v>32</v>
      </c>
      <c r="M844" t="s">
        <v>82</v>
      </c>
      <c r="N844">
        <v>8.1</v>
      </c>
      <c r="O844" s="3">
        <v>6763.12</v>
      </c>
      <c r="P844">
        <v>0</v>
      </c>
      <c r="Q844">
        <v>3.6</v>
      </c>
      <c r="R844">
        <v>0.76</v>
      </c>
      <c r="S844" t="str">
        <f t="shared" si="13"/>
        <v>September</v>
      </c>
    </row>
    <row r="845" spans="1:19" x14ac:dyDescent="0.2">
      <c r="A845" t="s">
        <v>1748</v>
      </c>
      <c r="B845" t="s">
        <v>1749</v>
      </c>
      <c r="C845" t="s">
        <v>122</v>
      </c>
      <c r="D845" t="s">
        <v>21</v>
      </c>
      <c r="E845" s="1">
        <v>45931</v>
      </c>
      <c r="F845" s="1">
        <v>45932</v>
      </c>
      <c r="G845" t="s">
        <v>116</v>
      </c>
      <c r="H845" t="s">
        <v>50</v>
      </c>
      <c r="I845" t="s">
        <v>24</v>
      </c>
      <c r="J845">
        <v>36</v>
      </c>
      <c r="K845" t="s">
        <v>25</v>
      </c>
      <c r="L845" t="s">
        <v>26</v>
      </c>
      <c r="M845" t="s">
        <v>82</v>
      </c>
      <c r="N845">
        <v>0.7</v>
      </c>
      <c r="O845" s="3">
        <v>6763.12</v>
      </c>
      <c r="P845">
        <v>0</v>
      </c>
      <c r="Q845">
        <v>5</v>
      </c>
      <c r="R845">
        <v>0.77</v>
      </c>
      <c r="S845" t="str">
        <f t="shared" si="13"/>
        <v>October</v>
      </c>
    </row>
    <row r="846" spans="1:19" x14ac:dyDescent="0.2">
      <c r="A846" t="s">
        <v>1750</v>
      </c>
      <c r="B846" t="s">
        <v>1751</v>
      </c>
      <c r="C846" t="s">
        <v>58</v>
      </c>
      <c r="D846" t="s">
        <v>42</v>
      </c>
      <c r="E846" s="1">
        <v>45759</v>
      </c>
      <c r="F846" s="1">
        <v>45761</v>
      </c>
      <c r="G846" t="s">
        <v>116</v>
      </c>
      <c r="H846" t="s">
        <v>50</v>
      </c>
      <c r="I846" t="s">
        <v>64</v>
      </c>
      <c r="J846">
        <v>69</v>
      </c>
      <c r="K846" t="s">
        <v>169</v>
      </c>
      <c r="L846" t="s">
        <v>32</v>
      </c>
      <c r="M846" t="s">
        <v>27</v>
      </c>
      <c r="N846">
        <v>1.7</v>
      </c>
      <c r="O846" s="3">
        <v>6763.12</v>
      </c>
      <c r="P846">
        <v>0</v>
      </c>
      <c r="Q846">
        <v>4.5999999999999996</v>
      </c>
      <c r="R846">
        <v>0.76</v>
      </c>
      <c r="S846" t="str">
        <f t="shared" si="13"/>
        <v>April</v>
      </c>
    </row>
    <row r="847" spans="1:19" x14ac:dyDescent="0.2">
      <c r="A847" t="s">
        <v>1752</v>
      </c>
      <c r="B847" t="s">
        <v>1753</v>
      </c>
      <c r="C847" t="s">
        <v>30</v>
      </c>
      <c r="D847" t="s">
        <v>35</v>
      </c>
      <c r="E847" s="1">
        <v>46020</v>
      </c>
      <c r="F847" s="1">
        <v>46022</v>
      </c>
      <c r="G847" t="s">
        <v>50</v>
      </c>
      <c r="H847" t="s">
        <v>23</v>
      </c>
      <c r="I847" t="s">
        <v>31</v>
      </c>
      <c r="J847">
        <v>58</v>
      </c>
      <c r="K847" t="s">
        <v>38</v>
      </c>
      <c r="L847" t="s">
        <v>26</v>
      </c>
      <c r="M847" t="s">
        <v>39</v>
      </c>
      <c r="N847">
        <v>1.4</v>
      </c>
      <c r="O847" s="3">
        <v>6763.12</v>
      </c>
      <c r="P847">
        <v>0</v>
      </c>
      <c r="Q847">
        <v>4.2</v>
      </c>
      <c r="R847">
        <v>0.89</v>
      </c>
      <c r="S847" t="str">
        <f t="shared" si="13"/>
        <v>December</v>
      </c>
    </row>
    <row r="848" spans="1:19" x14ac:dyDescent="0.2">
      <c r="A848" t="s">
        <v>1754</v>
      </c>
      <c r="B848" t="s">
        <v>1755</v>
      </c>
      <c r="C848" t="s">
        <v>122</v>
      </c>
      <c r="D848" t="s">
        <v>49</v>
      </c>
      <c r="E848" s="1">
        <v>45823</v>
      </c>
      <c r="F848" s="1">
        <v>45826</v>
      </c>
      <c r="G848" t="s">
        <v>63</v>
      </c>
      <c r="H848" t="s">
        <v>50</v>
      </c>
      <c r="I848" t="s">
        <v>64</v>
      </c>
      <c r="J848">
        <v>68</v>
      </c>
      <c r="K848" t="s">
        <v>169</v>
      </c>
      <c r="L848" t="s">
        <v>26</v>
      </c>
      <c r="M848" t="s">
        <v>27</v>
      </c>
      <c r="N848">
        <v>2.2000000000000002</v>
      </c>
      <c r="O848" s="3">
        <v>6763.12</v>
      </c>
      <c r="P848">
        <v>0</v>
      </c>
      <c r="Q848">
        <v>4</v>
      </c>
      <c r="R848">
        <v>0.76</v>
      </c>
      <c r="S848" t="str">
        <f t="shared" si="13"/>
        <v>June</v>
      </c>
    </row>
    <row r="849" spans="1:19" x14ac:dyDescent="0.2">
      <c r="A849" t="s">
        <v>1756</v>
      </c>
      <c r="B849" t="s">
        <v>1757</v>
      </c>
      <c r="C849" t="s">
        <v>122</v>
      </c>
      <c r="D849" t="s">
        <v>42</v>
      </c>
      <c r="E849" s="1">
        <v>45851</v>
      </c>
      <c r="F849" s="1">
        <v>45854</v>
      </c>
      <c r="G849" t="s">
        <v>22</v>
      </c>
      <c r="H849" t="s">
        <v>23</v>
      </c>
      <c r="I849" t="s">
        <v>37</v>
      </c>
      <c r="J849">
        <v>67</v>
      </c>
      <c r="K849" t="s">
        <v>169</v>
      </c>
      <c r="L849" t="s">
        <v>32</v>
      </c>
      <c r="M849" t="s">
        <v>39</v>
      </c>
      <c r="N849">
        <v>2.2999999999999998</v>
      </c>
      <c r="O849" s="3">
        <v>6763.12</v>
      </c>
      <c r="P849">
        <v>0</v>
      </c>
      <c r="Q849">
        <v>3.3</v>
      </c>
      <c r="R849">
        <v>0.81</v>
      </c>
      <c r="S849" t="str">
        <f t="shared" si="13"/>
        <v>July</v>
      </c>
    </row>
    <row r="850" spans="1:19" x14ac:dyDescent="0.2">
      <c r="A850" t="s">
        <v>1758</v>
      </c>
      <c r="B850" t="s">
        <v>1759</v>
      </c>
      <c r="C850" t="s">
        <v>30</v>
      </c>
      <c r="D850" t="s">
        <v>49</v>
      </c>
      <c r="E850" s="1">
        <v>45932</v>
      </c>
      <c r="F850" s="1">
        <v>45934</v>
      </c>
      <c r="G850" t="s">
        <v>50</v>
      </c>
      <c r="H850" t="s">
        <v>44</v>
      </c>
      <c r="I850" t="s">
        <v>24</v>
      </c>
      <c r="J850">
        <v>90</v>
      </c>
      <c r="K850" t="s">
        <v>65</v>
      </c>
      <c r="L850" t="s">
        <v>32</v>
      </c>
      <c r="M850" t="s">
        <v>39</v>
      </c>
      <c r="N850">
        <v>1.2</v>
      </c>
      <c r="O850" s="3">
        <v>6763.12</v>
      </c>
      <c r="P850">
        <v>1</v>
      </c>
      <c r="Q850">
        <v>4.4000000000000004</v>
      </c>
      <c r="R850">
        <v>0.78</v>
      </c>
      <c r="S850" t="str">
        <f t="shared" si="13"/>
        <v>October</v>
      </c>
    </row>
    <row r="851" spans="1:19" x14ac:dyDescent="0.2">
      <c r="A851" t="s">
        <v>1760</v>
      </c>
      <c r="B851" t="s">
        <v>1761</v>
      </c>
      <c r="C851" t="s">
        <v>62</v>
      </c>
      <c r="D851" t="s">
        <v>49</v>
      </c>
      <c r="E851" s="1">
        <v>45898</v>
      </c>
      <c r="F851" s="1">
        <v>45901</v>
      </c>
      <c r="G851" t="s">
        <v>68</v>
      </c>
      <c r="H851" t="s">
        <v>50</v>
      </c>
      <c r="I851" t="s">
        <v>31</v>
      </c>
      <c r="J851">
        <v>80</v>
      </c>
      <c r="K851" t="s">
        <v>65</v>
      </c>
      <c r="L851" t="s">
        <v>32</v>
      </c>
      <c r="M851" t="s">
        <v>27</v>
      </c>
      <c r="N851">
        <v>2.6</v>
      </c>
      <c r="O851" s="3">
        <v>6763.12</v>
      </c>
      <c r="P851">
        <v>0</v>
      </c>
      <c r="Q851">
        <v>4</v>
      </c>
      <c r="R851">
        <v>0.76</v>
      </c>
      <c r="S851" t="str">
        <f t="shared" si="13"/>
        <v>August</v>
      </c>
    </row>
    <row r="852" spans="1:19" x14ac:dyDescent="0.2">
      <c r="A852" t="s">
        <v>1762</v>
      </c>
      <c r="B852" t="s">
        <v>1763</v>
      </c>
      <c r="C852" t="s">
        <v>62</v>
      </c>
      <c r="D852" t="s">
        <v>21</v>
      </c>
      <c r="E852" s="1">
        <v>45720</v>
      </c>
      <c r="F852" s="1">
        <v>45721</v>
      </c>
      <c r="G852" t="s">
        <v>116</v>
      </c>
      <c r="H852" t="s">
        <v>44</v>
      </c>
      <c r="I852" t="s">
        <v>81</v>
      </c>
      <c r="J852">
        <v>53</v>
      </c>
      <c r="K852" t="s">
        <v>38</v>
      </c>
      <c r="L852" t="s">
        <v>32</v>
      </c>
      <c r="M852" t="s">
        <v>82</v>
      </c>
      <c r="N852">
        <v>0.6</v>
      </c>
      <c r="O852" s="3">
        <v>6763.12</v>
      </c>
      <c r="P852">
        <v>1</v>
      </c>
      <c r="Q852">
        <v>3.6</v>
      </c>
      <c r="R852">
        <v>0.85</v>
      </c>
      <c r="S852" t="str">
        <f t="shared" si="13"/>
        <v>March</v>
      </c>
    </row>
    <row r="853" spans="1:19" x14ac:dyDescent="0.2">
      <c r="A853" t="s">
        <v>1764</v>
      </c>
      <c r="B853" t="s">
        <v>1765</v>
      </c>
      <c r="C853" t="s">
        <v>122</v>
      </c>
      <c r="D853" t="s">
        <v>49</v>
      </c>
      <c r="E853" s="1">
        <v>45768</v>
      </c>
      <c r="F853" s="1">
        <v>45769</v>
      </c>
      <c r="G853" t="s">
        <v>50</v>
      </c>
      <c r="H853" t="s">
        <v>23</v>
      </c>
      <c r="I853" t="s">
        <v>24</v>
      </c>
      <c r="J853">
        <v>79</v>
      </c>
      <c r="K853" t="s">
        <v>65</v>
      </c>
      <c r="L853" t="s">
        <v>26</v>
      </c>
      <c r="M853" t="s">
        <v>52</v>
      </c>
      <c r="N853">
        <v>0.5</v>
      </c>
      <c r="O853" s="3">
        <v>6763.12</v>
      </c>
      <c r="P853">
        <v>0</v>
      </c>
      <c r="Q853">
        <v>3.6</v>
      </c>
      <c r="R853">
        <v>0.79</v>
      </c>
      <c r="S853" t="str">
        <f t="shared" si="13"/>
        <v>April</v>
      </c>
    </row>
    <row r="854" spans="1:19" x14ac:dyDescent="0.2">
      <c r="A854" t="s">
        <v>1766</v>
      </c>
      <c r="B854" t="s">
        <v>1767</v>
      </c>
      <c r="C854" t="s">
        <v>58</v>
      </c>
      <c r="D854" t="s">
        <v>42</v>
      </c>
      <c r="E854" s="1">
        <v>45789</v>
      </c>
      <c r="F854" s="1">
        <v>45803</v>
      </c>
      <c r="G854" t="s">
        <v>63</v>
      </c>
      <c r="H854" t="s">
        <v>50</v>
      </c>
      <c r="I854" t="s">
        <v>64</v>
      </c>
      <c r="J854">
        <v>4</v>
      </c>
      <c r="K854" t="s">
        <v>103</v>
      </c>
      <c r="L854" t="s">
        <v>32</v>
      </c>
      <c r="M854" t="s">
        <v>39</v>
      </c>
      <c r="N854">
        <v>13.6</v>
      </c>
      <c r="O854" s="3">
        <v>6763.12</v>
      </c>
      <c r="P854">
        <v>0</v>
      </c>
      <c r="Q854">
        <v>3.1</v>
      </c>
      <c r="R854">
        <v>0.75</v>
      </c>
      <c r="S854" t="str">
        <f t="shared" si="13"/>
        <v>May</v>
      </c>
    </row>
    <row r="855" spans="1:19" x14ac:dyDescent="0.2">
      <c r="A855" t="s">
        <v>1768</v>
      </c>
      <c r="B855" t="s">
        <v>1769</v>
      </c>
      <c r="C855" t="s">
        <v>122</v>
      </c>
      <c r="D855" t="s">
        <v>49</v>
      </c>
      <c r="E855" s="1">
        <v>46003</v>
      </c>
      <c r="F855" s="1">
        <v>46006</v>
      </c>
      <c r="G855" t="s">
        <v>36</v>
      </c>
      <c r="H855" t="s">
        <v>50</v>
      </c>
      <c r="I855" t="s">
        <v>100</v>
      </c>
      <c r="J855">
        <v>65</v>
      </c>
      <c r="K855" t="s">
        <v>169</v>
      </c>
      <c r="L855" t="s">
        <v>32</v>
      </c>
      <c r="M855" t="s">
        <v>39</v>
      </c>
      <c r="N855">
        <v>2.5</v>
      </c>
      <c r="O855" s="3">
        <v>6763.12</v>
      </c>
      <c r="P855">
        <v>1</v>
      </c>
      <c r="Q855">
        <v>4.5</v>
      </c>
      <c r="R855">
        <v>0.72</v>
      </c>
      <c r="S855" t="str">
        <f t="shared" si="13"/>
        <v>December</v>
      </c>
    </row>
    <row r="856" spans="1:19" x14ac:dyDescent="0.2">
      <c r="A856" t="s">
        <v>1770</v>
      </c>
      <c r="B856" t="s">
        <v>1771</v>
      </c>
      <c r="C856" t="s">
        <v>30</v>
      </c>
      <c r="D856" t="s">
        <v>42</v>
      </c>
      <c r="E856" s="1">
        <v>45918</v>
      </c>
      <c r="F856" s="1">
        <v>45921</v>
      </c>
      <c r="G856" t="s">
        <v>68</v>
      </c>
      <c r="H856" t="s">
        <v>50</v>
      </c>
      <c r="I856" t="s">
        <v>100</v>
      </c>
      <c r="J856">
        <v>47</v>
      </c>
      <c r="K856" t="s">
        <v>25</v>
      </c>
      <c r="L856" t="s">
        <v>32</v>
      </c>
      <c r="M856" t="s">
        <v>39</v>
      </c>
      <c r="N856">
        <v>2.1</v>
      </c>
      <c r="O856" s="3">
        <v>6763.12</v>
      </c>
      <c r="P856">
        <v>0</v>
      </c>
      <c r="Q856">
        <v>4.3</v>
      </c>
      <c r="R856">
        <v>0.83</v>
      </c>
      <c r="S856" t="str">
        <f t="shared" si="13"/>
        <v>September</v>
      </c>
    </row>
    <row r="857" spans="1:19" x14ac:dyDescent="0.2">
      <c r="A857" t="s">
        <v>1772</v>
      </c>
      <c r="B857" t="s">
        <v>1773</v>
      </c>
      <c r="C857" t="s">
        <v>122</v>
      </c>
      <c r="D857" t="s">
        <v>49</v>
      </c>
      <c r="E857" s="1">
        <v>45791</v>
      </c>
      <c r="F857" s="1">
        <v>45794</v>
      </c>
      <c r="G857" t="s">
        <v>63</v>
      </c>
      <c r="H857" t="s">
        <v>23</v>
      </c>
      <c r="I857" t="s">
        <v>31</v>
      </c>
      <c r="J857">
        <v>87</v>
      </c>
      <c r="K857" t="s">
        <v>65</v>
      </c>
      <c r="L857" t="s">
        <v>32</v>
      </c>
      <c r="M857" t="s">
        <v>27</v>
      </c>
      <c r="N857">
        <v>2.7</v>
      </c>
      <c r="O857" s="3">
        <v>6763.12</v>
      </c>
      <c r="P857">
        <v>1</v>
      </c>
      <c r="Q857">
        <v>4</v>
      </c>
      <c r="R857">
        <v>0.79</v>
      </c>
      <c r="S857" t="str">
        <f t="shared" si="13"/>
        <v>May</v>
      </c>
    </row>
    <row r="858" spans="1:19" x14ac:dyDescent="0.2">
      <c r="A858" t="s">
        <v>1774</v>
      </c>
      <c r="B858" t="s">
        <v>1775</v>
      </c>
      <c r="C858" t="s">
        <v>122</v>
      </c>
      <c r="D858" t="s">
        <v>49</v>
      </c>
      <c r="E858" s="1">
        <v>45926</v>
      </c>
      <c r="F858" s="1">
        <v>45930</v>
      </c>
      <c r="G858" t="s">
        <v>116</v>
      </c>
      <c r="H858" t="s">
        <v>50</v>
      </c>
      <c r="I858" t="s">
        <v>81</v>
      </c>
      <c r="J858">
        <v>45</v>
      </c>
      <c r="K858" t="s">
        <v>25</v>
      </c>
      <c r="L858" t="s">
        <v>26</v>
      </c>
      <c r="M858" t="s">
        <v>27</v>
      </c>
      <c r="N858">
        <v>4</v>
      </c>
      <c r="O858" s="3">
        <v>6763.12</v>
      </c>
      <c r="P858">
        <v>0</v>
      </c>
      <c r="Q858">
        <v>3.9</v>
      </c>
      <c r="R858">
        <v>0.74</v>
      </c>
      <c r="S858" t="str">
        <f t="shared" si="13"/>
        <v>September</v>
      </c>
    </row>
    <row r="859" spans="1:19" x14ac:dyDescent="0.2">
      <c r="A859" t="s">
        <v>1776</v>
      </c>
      <c r="B859" t="s">
        <v>1777</v>
      </c>
      <c r="C859" t="s">
        <v>122</v>
      </c>
      <c r="D859" t="s">
        <v>21</v>
      </c>
      <c r="E859" s="1">
        <v>45927</v>
      </c>
      <c r="F859" s="1">
        <v>45931</v>
      </c>
      <c r="G859" t="s">
        <v>63</v>
      </c>
      <c r="H859" t="s">
        <v>50</v>
      </c>
      <c r="I859" t="s">
        <v>117</v>
      </c>
      <c r="J859">
        <v>16</v>
      </c>
      <c r="K859" t="s">
        <v>46</v>
      </c>
      <c r="L859" t="s">
        <v>26</v>
      </c>
      <c r="M859" t="s">
        <v>39</v>
      </c>
      <c r="N859">
        <v>3.1</v>
      </c>
      <c r="O859" s="3">
        <v>6763.12</v>
      </c>
      <c r="P859">
        <v>0</v>
      </c>
      <c r="Q859">
        <v>3.5</v>
      </c>
      <c r="R859">
        <v>0.73</v>
      </c>
      <c r="S859" t="str">
        <f t="shared" si="13"/>
        <v>September</v>
      </c>
    </row>
    <row r="860" spans="1:19" x14ac:dyDescent="0.2">
      <c r="A860" t="s">
        <v>1778</v>
      </c>
      <c r="B860" t="s">
        <v>1779</v>
      </c>
      <c r="C860" t="s">
        <v>30</v>
      </c>
      <c r="D860" t="s">
        <v>49</v>
      </c>
      <c r="E860" s="1">
        <v>45801</v>
      </c>
      <c r="F860" s="1">
        <v>45802</v>
      </c>
      <c r="G860" t="s">
        <v>50</v>
      </c>
      <c r="H860" t="s">
        <v>23</v>
      </c>
      <c r="I860" t="s">
        <v>31</v>
      </c>
      <c r="J860">
        <v>65</v>
      </c>
      <c r="K860" t="s">
        <v>169</v>
      </c>
      <c r="L860" t="s">
        <v>32</v>
      </c>
      <c r="M860" t="s">
        <v>27</v>
      </c>
      <c r="N860">
        <v>0.9</v>
      </c>
      <c r="O860" s="3">
        <v>6763.12</v>
      </c>
      <c r="P860">
        <v>1</v>
      </c>
      <c r="Q860">
        <v>2.4</v>
      </c>
      <c r="R860">
        <v>0.81</v>
      </c>
      <c r="S860" t="str">
        <f t="shared" si="13"/>
        <v>May</v>
      </c>
    </row>
    <row r="861" spans="1:19" x14ac:dyDescent="0.2">
      <c r="A861" t="s">
        <v>1780</v>
      </c>
      <c r="B861" t="s">
        <v>1781</v>
      </c>
      <c r="C861" t="s">
        <v>30</v>
      </c>
      <c r="D861" t="s">
        <v>42</v>
      </c>
      <c r="E861" s="1">
        <v>45805</v>
      </c>
      <c r="F861" s="1">
        <v>45807</v>
      </c>
      <c r="G861" t="s">
        <v>50</v>
      </c>
      <c r="H861" t="s">
        <v>50</v>
      </c>
      <c r="I861" t="s">
        <v>117</v>
      </c>
      <c r="J861">
        <v>86</v>
      </c>
      <c r="K861" t="s">
        <v>65</v>
      </c>
      <c r="L861" t="s">
        <v>32</v>
      </c>
      <c r="M861" t="s">
        <v>82</v>
      </c>
      <c r="N861">
        <v>1.2</v>
      </c>
      <c r="O861" s="3">
        <v>6763.12</v>
      </c>
      <c r="P861">
        <v>0</v>
      </c>
      <c r="Q861">
        <v>2.9</v>
      </c>
      <c r="R861">
        <v>0.85</v>
      </c>
      <c r="S861" t="str">
        <f t="shared" si="13"/>
        <v>May</v>
      </c>
    </row>
    <row r="862" spans="1:19" x14ac:dyDescent="0.2">
      <c r="A862" t="s">
        <v>1782</v>
      </c>
      <c r="B862" t="s">
        <v>1783</v>
      </c>
      <c r="C862" t="s">
        <v>30</v>
      </c>
      <c r="D862" t="s">
        <v>49</v>
      </c>
      <c r="E862" s="1">
        <v>45984</v>
      </c>
      <c r="F862" s="1">
        <v>45989</v>
      </c>
      <c r="G862" t="s">
        <v>116</v>
      </c>
      <c r="H862" t="s">
        <v>50</v>
      </c>
      <c r="I862" t="s">
        <v>24</v>
      </c>
      <c r="J862">
        <v>1</v>
      </c>
      <c r="K862" t="s">
        <v>103</v>
      </c>
      <c r="L862" t="s">
        <v>32</v>
      </c>
      <c r="M862" t="s">
        <v>39</v>
      </c>
      <c r="N862">
        <v>4.4000000000000004</v>
      </c>
      <c r="O862" s="3">
        <v>6763.12</v>
      </c>
      <c r="P862">
        <v>0</v>
      </c>
      <c r="Q862">
        <v>3.5</v>
      </c>
      <c r="R862">
        <v>0.84</v>
      </c>
      <c r="S862" t="str">
        <f t="shared" si="13"/>
        <v>November</v>
      </c>
    </row>
    <row r="863" spans="1:19" x14ac:dyDescent="0.2">
      <c r="A863" t="s">
        <v>1784</v>
      </c>
      <c r="B863" t="s">
        <v>1785</v>
      </c>
      <c r="C863" t="s">
        <v>62</v>
      </c>
      <c r="D863" t="s">
        <v>35</v>
      </c>
      <c r="E863" s="1">
        <v>45863</v>
      </c>
      <c r="F863" s="1">
        <v>45866</v>
      </c>
      <c r="G863" t="s">
        <v>68</v>
      </c>
      <c r="H863" t="s">
        <v>23</v>
      </c>
      <c r="I863" t="s">
        <v>37</v>
      </c>
      <c r="J863">
        <v>5</v>
      </c>
      <c r="K863" t="s">
        <v>103</v>
      </c>
      <c r="L863" t="s">
        <v>32</v>
      </c>
      <c r="M863" t="s">
        <v>27</v>
      </c>
      <c r="N863">
        <v>2.4</v>
      </c>
      <c r="O863" s="3">
        <v>6763.12</v>
      </c>
      <c r="P863">
        <v>0</v>
      </c>
      <c r="Q863">
        <v>3.4</v>
      </c>
      <c r="R863">
        <v>0.8</v>
      </c>
      <c r="S863" t="str">
        <f t="shared" si="13"/>
        <v>July</v>
      </c>
    </row>
    <row r="864" spans="1:19" x14ac:dyDescent="0.2">
      <c r="A864" t="s">
        <v>1786</v>
      </c>
      <c r="B864" t="s">
        <v>1787</v>
      </c>
      <c r="C864" t="s">
        <v>30</v>
      </c>
      <c r="D864" t="s">
        <v>49</v>
      </c>
      <c r="E864" s="1">
        <v>45712</v>
      </c>
      <c r="F864" s="1">
        <v>45716</v>
      </c>
      <c r="G864" t="s">
        <v>63</v>
      </c>
      <c r="H864" t="s">
        <v>50</v>
      </c>
      <c r="I864" t="s">
        <v>45</v>
      </c>
      <c r="J864">
        <v>60</v>
      </c>
      <c r="K864" t="s">
        <v>38</v>
      </c>
      <c r="L864" t="s">
        <v>32</v>
      </c>
      <c r="M864" t="s">
        <v>27</v>
      </c>
      <c r="N864">
        <v>3.9</v>
      </c>
      <c r="O864" s="3">
        <v>6763.12</v>
      </c>
      <c r="P864">
        <v>1</v>
      </c>
      <c r="Q864">
        <v>4.0999999999999996</v>
      </c>
      <c r="R864">
        <v>0.83</v>
      </c>
      <c r="S864" t="str">
        <f t="shared" si="13"/>
        <v>February</v>
      </c>
    </row>
    <row r="865" spans="1:19" x14ac:dyDescent="0.2">
      <c r="A865" t="s">
        <v>1788</v>
      </c>
      <c r="B865" t="s">
        <v>1789</v>
      </c>
      <c r="C865" t="s">
        <v>122</v>
      </c>
      <c r="D865" t="s">
        <v>49</v>
      </c>
      <c r="E865" s="1">
        <v>45920</v>
      </c>
      <c r="F865" s="1">
        <v>45921</v>
      </c>
      <c r="G865" t="s">
        <v>50</v>
      </c>
      <c r="H865" t="s">
        <v>50</v>
      </c>
      <c r="I865" t="s">
        <v>31</v>
      </c>
      <c r="J865">
        <v>50</v>
      </c>
      <c r="K865" t="s">
        <v>38</v>
      </c>
      <c r="L865" t="s">
        <v>26</v>
      </c>
      <c r="M865" t="s">
        <v>52</v>
      </c>
      <c r="N865">
        <v>0.6</v>
      </c>
      <c r="O865" s="3">
        <v>6763.12</v>
      </c>
      <c r="P865">
        <v>0</v>
      </c>
      <c r="Q865">
        <v>4.2</v>
      </c>
      <c r="R865">
        <v>0.82</v>
      </c>
      <c r="S865" t="str">
        <f t="shared" si="13"/>
        <v>September</v>
      </c>
    </row>
    <row r="866" spans="1:19" x14ac:dyDescent="0.2">
      <c r="A866" t="s">
        <v>1790</v>
      </c>
      <c r="B866" t="s">
        <v>1791</v>
      </c>
      <c r="C866" t="s">
        <v>20</v>
      </c>
      <c r="D866" t="s">
        <v>42</v>
      </c>
      <c r="E866" s="1">
        <v>45873</v>
      </c>
      <c r="F866" s="1">
        <v>45879</v>
      </c>
      <c r="G866" t="s">
        <v>71</v>
      </c>
      <c r="H866" t="s">
        <v>50</v>
      </c>
      <c r="I866" t="s">
        <v>31</v>
      </c>
      <c r="J866">
        <v>49</v>
      </c>
      <c r="K866" t="s">
        <v>25</v>
      </c>
      <c r="L866" t="s">
        <v>32</v>
      </c>
      <c r="M866" t="s">
        <v>27</v>
      </c>
      <c r="N866">
        <v>5.6</v>
      </c>
      <c r="O866" s="3">
        <v>6763.12</v>
      </c>
      <c r="P866">
        <v>0</v>
      </c>
      <c r="Q866">
        <v>3.8</v>
      </c>
      <c r="R866">
        <v>0.75</v>
      </c>
      <c r="S866" t="str">
        <f t="shared" si="13"/>
        <v>August</v>
      </c>
    </row>
    <row r="867" spans="1:19" x14ac:dyDescent="0.2">
      <c r="A867" t="s">
        <v>1792</v>
      </c>
      <c r="B867" t="s">
        <v>1793</v>
      </c>
      <c r="C867" t="s">
        <v>122</v>
      </c>
      <c r="D867" t="s">
        <v>35</v>
      </c>
      <c r="E867" s="1">
        <v>45843</v>
      </c>
      <c r="F867" s="1">
        <v>45847</v>
      </c>
      <c r="G867" t="s">
        <v>116</v>
      </c>
      <c r="H867" t="s">
        <v>50</v>
      </c>
      <c r="I867" t="s">
        <v>55</v>
      </c>
      <c r="J867">
        <v>8</v>
      </c>
      <c r="K867" t="s">
        <v>103</v>
      </c>
      <c r="L867" t="s">
        <v>32</v>
      </c>
      <c r="M867" t="s">
        <v>27</v>
      </c>
      <c r="N867">
        <v>3.4</v>
      </c>
      <c r="O867" s="3">
        <v>6763.12</v>
      </c>
      <c r="P867">
        <v>0</v>
      </c>
      <c r="Q867">
        <v>4.7</v>
      </c>
      <c r="R867">
        <v>0.78</v>
      </c>
      <c r="S867" t="str">
        <f t="shared" si="13"/>
        <v>July</v>
      </c>
    </row>
    <row r="868" spans="1:19" x14ac:dyDescent="0.2">
      <c r="A868" t="s">
        <v>1794</v>
      </c>
      <c r="B868" t="s">
        <v>1795</v>
      </c>
      <c r="C868" t="s">
        <v>20</v>
      </c>
      <c r="D868" t="s">
        <v>35</v>
      </c>
      <c r="E868" s="1">
        <v>45922</v>
      </c>
      <c r="F868" s="1">
        <v>45928</v>
      </c>
      <c r="G868" t="s">
        <v>63</v>
      </c>
      <c r="H868" t="s">
        <v>50</v>
      </c>
      <c r="I868" t="s">
        <v>100</v>
      </c>
      <c r="J868">
        <v>52</v>
      </c>
      <c r="K868" t="s">
        <v>38</v>
      </c>
      <c r="L868" t="s">
        <v>32</v>
      </c>
      <c r="M868" t="s">
        <v>27</v>
      </c>
      <c r="N868">
        <v>6</v>
      </c>
      <c r="O868" s="3">
        <v>6763.12</v>
      </c>
      <c r="P868">
        <v>0</v>
      </c>
      <c r="Q868">
        <v>3.4</v>
      </c>
      <c r="R868">
        <v>0.85</v>
      </c>
      <c r="S868" t="str">
        <f t="shared" si="13"/>
        <v>September</v>
      </c>
    </row>
    <row r="869" spans="1:19" x14ac:dyDescent="0.2">
      <c r="A869" t="s">
        <v>1796</v>
      </c>
      <c r="B869" t="s">
        <v>1797</v>
      </c>
      <c r="C869" t="s">
        <v>30</v>
      </c>
      <c r="D869" t="s">
        <v>21</v>
      </c>
      <c r="E869" s="1">
        <v>45989</v>
      </c>
      <c r="F869" s="1">
        <v>45996</v>
      </c>
      <c r="G869" t="s">
        <v>116</v>
      </c>
      <c r="H869" t="s">
        <v>23</v>
      </c>
      <c r="I869" t="s">
        <v>81</v>
      </c>
      <c r="J869">
        <v>51</v>
      </c>
      <c r="K869" t="s">
        <v>38</v>
      </c>
      <c r="L869" t="s">
        <v>26</v>
      </c>
      <c r="M869" t="s">
        <v>39</v>
      </c>
      <c r="N869">
        <v>6.7</v>
      </c>
      <c r="O869" s="3">
        <v>6763.12</v>
      </c>
      <c r="P869">
        <v>0</v>
      </c>
      <c r="Q869">
        <v>3.8</v>
      </c>
      <c r="R869">
        <v>0.77</v>
      </c>
      <c r="S869" t="str">
        <f t="shared" si="13"/>
        <v>November</v>
      </c>
    </row>
    <row r="870" spans="1:19" x14ac:dyDescent="0.2">
      <c r="A870" t="s">
        <v>1798</v>
      </c>
      <c r="B870" t="s">
        <v>1799</v>
      </c>
      <c r="C870" t="s">
        <v>58</v>
      </c>
      <c r="D870" t="s">
        <v>35</v>
      </c>
      <c r="E870" s="1">
        <v>45778</v>
      </c>
      <c r="F870" s="1">
        <v>45780</v>
      </c>
      <c r="G870" t="s">
        <v>99</v>
      </c>
      <c r="H870" t="s">
        <v>44</v>
      </c>
      <c r="I870" t="s">
        <v>55</v>
      </c>
      <c r="J870">
        <v>77</v>
      </c>
      <c r="K870" t="s">
        <v>65</v>
      </c>
      <c r="L870" t="s">
        <v>32</v>
      </c>
      <c r="M870" t="s">
        <v>52</v>
      </c>
      <c r="N870">
        <v>1.6</v>
      </c>
      <c r="O870" s="3">
        <v>6763.12</v>
      </c>
      <c r="P870">
        <v>0</v>
      </c>
      <c r="Q870">
        <v>3.9</v>
      </c>
      <c r="R870">
        <v>0.8</v>
      </c>
      <c r="S870" t="str">
        <f t="shared" si="13"/>
        <v>May</v>
      </c>
    </row>
    <row r="871" spans="1:19" x14ac:dyDescent="0.2">
      <c r="A871" t="s">
        <v>1800</v>
      </c>
      <c r="B871" t="s">
        <v>1801</v>
      </c>
      <c r="C871" t="s">
        <v>20</v>
      </c>
      <c r="D871" t="s">
        <v>42</v>
      </c>
      <c r="E871" s="1">
        <v>45811</v>
      </c>
      <c r="F871" s="1">
        <v>45815</v>
      </c>
      <c r="G871" t="s">
        <v>63</v>
      </c>
      <c r="H871" t="s">
        <v>50</v>
      </c>
      <c r="I871" t="s">
        <v>51</v>
      </c>
      <c r="J871">
        <v>35</v>
      </c>
      <c r="K871" t="s">
        <v>25</v>
      </c>
      <c r="L871" t="s">
        <v>26</v>
      </c>
      <c r="M871" t="s">
        <v>27</v>
      </c>
      <c r="N871">
        <v>3.8</v>
      </c>
      <c r="O871" s="3">
        <v>6763.12</v>
      </c>
      <c r="P871">
        <v>0</v>
      </c>
      <c r="Q871">
        <v>4.5999999999999996</v>
      </c>
      <c r="R871">
        <v>0.86</v>
      </c>
      <c r="S871" t="str">
        <f t="shared" si="13"/>
        <v>June</v>
      </c>
    </row>
    <row r="872" spans="1:19" x14ac:dyDescent="0.2">
      <c r="A872" t="s">
        <v>1802</v>
      </c>
      <c r="B872" t="s">
        <v>1803</v>
      </c>
      <c r="C872" t="s">
        <v>58</v>
      </c>
      <c r="D872" t="s">
        <v>21</v>
      </c>
      <c r="E872" s="1">
        <v>45727</v>
      </c>
      <c r="F872" s="1">
        <v>45730</v>
      </c>
      <c r="G872" t="s">
        <v>36</v>
      </c>
      <c r="H872" t="s">
        <v>44</v>
      </c>
      <c r="I872" t="s">
        <v>64</v>
      </c>
      <c r="J872">
        <v>31</v>
      </c>
      <c r="K872" t="s">
        <v>78</v>
      </c>
      <c r="L872" t="s">
        <v>32</v>
      </c>
      <c r="M872" t="s">
        <v>82</v>
      </c>
      <c r="N872">
        <v>2.7</v>
      </c>
      <c r="O872" s="3">
        <v>6763.12</v>
      </c>
      <c r="P872">
        <v>0</v>
      </c>
      <c r="Q872">
        <v>4</v>
      </c>
      <c r="R872">
        <v>0.74</v>
      </c>
      <c r="S872" t="str">
        <f t="shared" si="13"/>
        <v>March</v>
      </c>
    </row>
    <row r="873" spans="1:19" x14ac:dyDescent="0.2">
      <c r="A873" t="s">
        <v>1804</v>
      </c>
      <c r="B873" t="s">
        <v>1805</v>
      </c>
      <c r="C873" t="s">
        <v>20</v>
      </c>
      <c r="D873" t="s">
        <v>49</v>
      </c>
      <c r="E873" s="1">
        <v>45894</v>
      </c>
      <c r="F873" s="1">
        <v>45904</v>
      </c>
      <c r="G873" t="s">
        <v>63</v>
      </c>
      <c r="H873" t="s">
        <v>23</v>
      </c>
      <c r="I873" t="s">
        <v>51</v>
      </c>
      <c r="J873">
        <v>7</v>
      </c>
      <c r="K873" t="s">
        <v>103</v>
      </c>
      <c r="L873" t="s">
        <v>26</v>
      </c>
      <c r="M873" t="s">
        <v>27</v>
      </c>
      <c r="N873">
        <v>9.6999999999999993</v>
      </c>
      <c r="O873" s="3">
        <v>6763.12</v>
      </c>
      <c r="P873">
        <v>0</v>
      </c>
      <c r="Q873">
        <v>3.8</v>
      </c>
      <c r="R873">
        <v>0.79</v>
      </c>
      <c r="S873" t="str">
        <f t="shared" si="13"/>
        <v>August</v>
      </c>
    </row>
    <row r="874" spans="1:19" x14ac:dyDescent="0.2">
      <c r="A874" t="s">
        <v>1806</v>
      </c>
      <c r="B874" t="s">
        <v>1063</v>
      </c>
      <c r="C874" t="s">
        <v>20</v>
      </c>
      <c r="D874" t="s">
        <v>35</v>
      </c>
      <c r="E874" s="1">
        <v>45804</v>
      </c>
      <c r="F874" s="1">
        <v>45808</v>
      </c>
      <c r="G874" t="s">
        <v>68</v>
      </c>
      <c r="H874" t="s">
        <v>23</v>
      </c>
      <c r="I874" t="s">
        <v>100</v>
      </c>
      <c r="J874">
        <v>51</v>
      </c>
      <c r="K874" t="s">
        <v>38</v>
      </c>
      <c r="L874" t="s">
        <v>26</v>
      </c>
      <c r="M874" t="s">
        <v>39</v>
      </c>
      <c r="N874">
        <v>4</v>
      </c>
      <c r="O874" s="3">
        <v>6763.12</v>
      </c>
      <c r="P874">
        <v>0</v>
      </c>
      <c r="Q874">
        <v>2.9</v>
      </c>
      <c r="R874">
        <v>0.84</v>
      </c>
      <c r="S874" t="str">
        <f t="shared" si="13"/>
        <v>May</v>
      </c>
    </row>
    <row r="875" spans="1:19" x14ac:dyDescent="0.2">
      <c r="A875" t="s">
        <v>1807</v>
      </c>
      <c r="B875" t="s">
        <v>1808</v>
      </c>
      <c r="C875" t="s">
        <v>122</v>
      </c>
      <c r="D875" t="s">
        <v>21</v>
      </c>
      <c r="E875" s="1">
        <v>45782</v>
      </c>
      <c r="F875" s="1">
        <v>45783</v>
      </c>
      <c r="G875" t="s">
        <v>36</v>
      </c>
      <c r="H875" t="s">
        <v>23</v>
      </c>
      <c r="I875" t="s">
        <v>64</v>
      </c>
      <c r="J875">
        <v>58</v>
      </c>
      <c r="K875" t="s">
        <v>38</v>
      </c>
      <c r="L875" t="s">
        <v>32</v>
      </c>
      <c r="M875" t="s">
        <v>27</v>
      </c>
      <c r="N875">
        <v>0.7</v>
      </c>
      <c r="O875" s="3">
        <v>6763.12</v>
      </c>
      <c r="P875">
        <v>1</v>
      </c>
      <c r="Q875">
        <v>3.4</v>
      </c>
      <c r="R875">
        <v>0.77</v>
      </c>
      <c r="S875" t="str">
        <f t="shared" si="13"/>
        <v>May</v>
      </c>
    </row>
    <row r="876" spans="1:19" x14ac:dyDescent="0.2">
      <c r="A876" t="s">
        <v>1809</v>
      </c>
      <c r="B876" t="s">
        <v>61</v>
      </c>
      <c r="C876" t="s">
        <v>122</v>
      </c>
      <c r="D876" t="s">
        <v>42</v>
      </c>
      <c r="E876" s="1">
        <v>45912</v>
      </c>
      <c r="F876" s="1">
        <v>45915</v>
      </c>
      <c r="G876" t="s">
        <v>71</v>
      </c>
      <c r="H876" t="s">
        <v>23</v>
      </c>
      <c r="I876" t="s">
        <v>45</v>
      </c>
      <c r="J876">
        <v>25</v>
      </c>
      <c r="K876" t="s">
        <v>78</v>
      </c>
      <c r="L876" t="s">
        <v>32</v>
      </c>
      <c r="M876" t="s">
        <v>39</v>
      </c>
      <c r="N876">
        <v>2.2999999999999998</v>
      </c>
      <c r="O876" s="3">
        <v>6763.12</v>
      </c>
      <c r="P876">
        <v>1</v>
      </c>
      <c r="Q876">
        <v>4.5999999999999996</v>
      </c>
      <c r="R876">
        <v>0.69</v>
      </c>
      <c r="S876" t="str">
        <f t="shared" si="13"/>
        <v>September</v>
      </c>
    </row>
    <row r="877" spans="1:19" x14ac:dyDescent="0.2">
      <c r="A877" t="s">
        <v>1810</v>
      </c>
      <c r="B877" t="s">
        <v>1811</v>
      </c>
      <c r="C877" t="s">
        <v>20</v>
      </c>
      <c r="D877" t="s">
        <v>21</v>
      </c>
      <c r="E877" s="1">
        <v>45806</v>
      </c>
      <c r="F877" s="1">
        <v>45808</v>
      </c>
      <c r="G877" t="s">
        <v>22</v>
      </c>
      <c r="H877" t="s">
        <v>23</v>
      </c>
      <c r="I877" t="s">
        <v>81</v>
      </c>
      <c r="J877">
        <v>66</v>
      </c>
      <c r="K877" t="s">
        <v>169</v>
      </c>
      <c r="L877" t="s">
        <v>32</v>
      </c>
      <c r="M877" t="s">
        <v>39</v>
      </c>
      <c r="N877">
        <v>1.4</v>
      </c>
      <c r="O877" s="3">
        <v>6763.12</v>
      </c>
      <c r="P877">
        <v>0</v>
      </c>
      <c r="Q877">
        <v>2.7</v>
      </c>
      <c r="R877">
        <v>0.8</v>
      </c>
      <c r="S877" t="str">
        <f t="shared" si="13"/>
        <v>May</v>
      </c>
    </row>
    <row r="878" spans="1:19" x14ac:dyDescent="0.2">
      <c r="A878" t="s">
        <v>1812</v>
      </c>
      <c r="B878" t="s">
        <v>1813</v>
      </c>
      <c r="C878" t="s">
        <v>30</v>
      </c>
      <c r="D878" t="s">
        <v>35</v>
      </c>
      <c r="E878" s="1">
        <v>45827</v>
      </c>
      <c r="F878" s="1">
        <v>45828</v>
      </c>
      <c r="G878" t="s">
        <v>116</v>
      </c>
      <c r="H878" t="s">
        <v>50</v>
      </c>
      <c r="I878" t="s">
        <v>31</v>
      </c>
      <c r="J878">
        <v>85</v>
      </c>
      <c r="K878" t="s">
        <v>65</v>
      </c>
      <c r="L878" t="s">
        <v>26</v>
      </c>
      <c r="M878" t="s">
        <v>39</v>
      </c>
      <c r="N878">
        <v>0.6</v>
      </c>
      <c r="O878" s="3">
        <v>6763.12</v>
      </c>
      <c r="P878">
        <v>0</v>
      </c>
      <c r="Q878">
        <v>4.7</v>
      </c>
      <c r="R878">
        <v>0.84</v>
      </c>
      <c r="S878" t="str">
        <f t="shared" si="13"/>
        <v>June</v>
      </c>
    </row>
    <row r="879" spans="1:19" x14ac:dyDescent="0.2">
      <c r="A879" t="s">
        <v>1814</v>
      </c>
      <c r="B879" t="s">
        <v>1815</v>
      </c>
      <c r="C879" t="s">
        <v>122</v>
      </c>
      <c r="D879" t="s">
        <v>35</v>
      </c>
      <c r="E879" s="1">
        <v>45818</v>
      </c>
      <c r="F879" s="1">
        <v>45822</v>
      </c>
      <c r="G879" t="s">
        <v>99</v>
      </c>
      <c r="H879" t="s">
        <v>50</v>
      </c>
      <c r="I879" t="s">
        <v>64</v>
      </c>
      <c r="J879">
        <v>15</v>
      </c>
      <c r="K879" t="s">
        <v>46</v>
      </c>
      <c r="L879" t="s">
        <v>26</v>
      </c>
      <c r="M879" t="s">
        <v>27</v>
      </c>
      <c r="N879">
        <v>3.5</v>
      </c>
      <c r="O879" s="3">
        <v>6763.12</v>
      </c>
      <c r="P879">
        <v>0</v>
      </c>
      <c r="Q879">
        <v>4.2</v>
      </c>
      <c r="R879">
        <v>0.81</v>
      </c>
      <c r="S879" t="str">
        <f t="shared" si="13"/>
        <v>June</v>
      </c>
    </row>
    <row r="880" spans="1:19" x14ac:dyDescent="0.2">
      <c r="A880" t="s">
        <v>1816</v>
      </c>
      <c r="B880" t="s">
        <v>1817</v>
      </c>
      <c r="C880" t="s">
        <v>58</v>
      </c>
      <c r="D880" t="s">
        <v>42</v>
      </c>
      <c r="E880" s="1">
        <v>45752</v>
      </c>
      <c r="F880" s="1">
        <v>45754</v>
      </c>
      <c r="G880" t="s">
        <v>68</v>
      </c>
      <c r="H880" t="s">
        <v>50</v>
      </c>
      <c r="I880" t="s">
        <v>117</v>
      </c>
      <c r="J880">
        <v>52</v>
      </c>
      <c r="K880" t="s">
        <v>38</v>
      </c>
      <c r="L880" t="s">
        <v>32</v>
      </c>
      <c r="M880" t="s">
        <v>82</v>
      </c>
      <c r="N880">
        <v>1.7</v>
      </c>
      <c r="O880" s="3">
        <v>6763.12</v>
      </c>
      <c r="P880">
        <v>0</v>
      </c>
      <c r="Q880">
        <v>3.5</v>
      </c>
      <c r="R880">
        <v>0.71</v>
      </c>
      <c r="S880" t="str">
        <f t="shared" si="13"/>
        <v>April</v>
      </c>
    </row>
    <row r="881" spans="1:19" x14ac:dyDescent="0.2">
      <c r="A881" t="s">
        <v>1818</v>
      </c>
      <c r="B881" t="s">
        <v>1819</v>
      </c>
      <c r="C881" t="s">
        <v>30</v>
      </c>
      <c r="D881" t="s">
        <v>42</v>
      </c>
      <c r="E881" s="1">
        <v>45703</v>
      </c>
      <c r="F881" s="1">
        <v>45707</v>
      </c>
      <c r="G881" t="s">
        <v>50</v>
      </c>
      <c r="H881" t="s">
        <v>50</v>
      </c>
      <c r="I881" t="s">
        <v>24</v>
      </c>
      <c r="J881">
        <v>63</v>
      </c>
      <c r="K881" t="s">
        <v>38</v>
      </c>
      <c r="L881" t="s">
        <v>32</v>
      </c>
      <c r="M881" t="s">
        <v>52</v>
      </c>
      <c r="N881">
        <v>3.5</v>
      </c>
      <c r="O881" s="3">
        <v>6763.12</v>
      </c>
      <c r="P881">
        <v>0</v>
      </c>
      <c r="Q881">
        <v>3.2</v>
      </c>
      <c r="R881">
        <v>0.81</v>
      </c>
      <c r="S881" t="str">
        <f t="shared" si="13"/>
        <v>February</v>
      </c>
    </row>
    <row r="882" spans="1:19" x14ac:dyDescent="0.2">
      <c r="A882" t="s">
        <v>1820</v>
      </c>
      <c r="B882" t="s">
        <v>1821</v>
      </c>
      <c r="C882" t="s">
        <v>30</v>
      </c>
      <c r="D882" t="s">
        <v>35</v>
      </c>
      <c r="E882" s="1">
        <v>45959</v>
      </c>
      <c r="F882" s="1">
        <v>45965</v>
      </c>
      <c r="G882" t="s">
        <v>71</v>
      </c>
      <c r="H882" t="s">
        <v>23</v>
      </c>
      <c r="I882" t="s">
        <v>51</v>
      </c>
      <c r="J882">
        <v>1</v>
      </c>
      <c r="K882" t="s">
        <v>103</v>
      </c>
      <c r="L882" t="s">
        <v>32</v>
      </c>
      <c r="M882" t="s">
        <v>39</v>
      </c>
      <c r="N882">
        <v>5.0999999999999996</v>
      </c>
      <c r="O882" s="3">
        <v>6763.12</v>
      </c>
      <c r="P882">
        <v>0</v>
      </c>
      <c r="Q882">
        <v>5</v>
      </c>
      <c r="R882">
        <v>0.86</v>
      </c>
      <c r="S882" t="str">
        <f t="shared" si="13"/>
        <v>October</v>
      </c>
    </row>
    <row r="883" spans="1:19" x14ac:dyDescent="0.2">
      <c r="A883" t="s">
        <v>1822</v>
      </c>
      <c r="B883" t="s">
        <v>1181</v>
      </c>
      <c r="C883" t="s">
        <v>58</v>
      </c>
      <c r="D883" t="s">
        <v>49</v>
      </c>
      <c r="E883" s="1">
        <v>45691</v>
      </c>
      <c r="F883" s="1">
        <v>45694</v>
      </c>
      <c r="G883" t="s">
        <v>99</v>
      </c>
      <c r="H883" t="s">
        <v>50</v>
      </c>
      <c r="I883" t="s">
        <v>24</v>
      </c>
      <c r="J883">
        <v>16</v>
      </c>
      <c r="K883" t="s">
        <v>46</v>
      </c>
      <c r="L883" t="s">
        <v>32</v>
      </c>
      <c r="M883" t="s">
        <v>39</v>
      </c>
      <c r="N883">
        <v>2.4</v>
      </c>
      <c r="O883" s="3">
        <v>6763.12</v>
      </c>
      <c r="P883">
        <v>0</v>
      </c>
      <c r="Q883">
        <v>4.7</v>
      </c>
      <c r="R883">
        <v>0.75</v>
      </c>
      <c r="S883" t="str">
        <f t="shared" si="13"/>
        <v>February</v>
      </c>
    </row>
    <row r="884" spans="1:19" x14ac:dyDescent="0.2">
      <c r="A884" t="s">
        <v>1823</v>
      </c>
      <c r="B884" t="s">
        <v>1824</v>
      </c>
      <c r="C884" t="s">
        <v>122</v>
      </c>
      <c r="D884" t="s">
        <v>35</v>
      </c>
      <c r="E884" s="1">
        <v>45776</v>
      </c>
      <c r="F884" s="1">
        <v>45778</v>
      </c>
      <c r="G884" t="s">
        <v>43</v>
      </c>
      <c r="H884" t="s">
        <v>50</v>
      </c>
      <c r="I884" t="s">
        <v>31</v>
      </c>
      <c r="J884">
        <v>36</v>
      </c>
      <c r="K884" t="s">
        <v>25</v>
      </c>
      <c r="L884" t="s">
        <v>26</v>
      </c>
      <c r="M884" t="s">
        <v>82</v>
      </c>
      <c r="N884">
        <v>1.2</v>
      </c>
      <c r="O884" s="3">
        <v>6763.12</v>
      </c>
      <c r="P884">
        <v>0</v>
      </c>
      <c r="Q884">
        <v>3.8</v>
      </c>
      <c r="R884">
        <v>0.72</v>
      </c>
      <c r="S884" t="str">
        <f t="shared" si="13"/>
        <v>April</v>
      </c>
    </row>
    <row r="885" spans="1:19" x14ac:dyDescent="0.2">
      <c r="A885" t="s">
        <v>1825</v>
      </c>
      <c r="B885" t="s">
        <v>1826</v>
      </c>
      <c r="C885" t="s">
        <v>62</v>
      </c>
      <c r="D885" t="s">
        <v>49</v>
      </c>
      <c r="E885" s="1">
        <v>45901</v>
      </c>
      <c r="F885" s="1">
        <v>45905</v>
      </c>
      <c r="G885" t="s">
        <v>99</v>
      </c>
      <c r="H885" t="s">
        <v>50</v>
      </c>
      <c r="I885" t="s">
        <v>64</v>
      </c>
      <c r="J885">
        <v>12</v>
      </c>
      <c r="K885" t="s">
        <v>103</v>
      </c>
      <c r="L885" t="s">
        <v>32</v>
      </c>
      <c r="M885" t="s">
        <v>27</v>
      </c>
      <c r="N885">
        <v>3.1</v>
      </c>
      <c r="O885" s="3">
        <v>6763.12</v>
      </c>
      <c r="P885">
        <v>0</v>
      </c>
      <c r="Q885">
        <v>4</v>
      </c>
      <c r="R885">
        <v>0.89</v>
      </c>
      <c r="S885" t="str">
        <f t="shared" si="13"/>
        <v>September</v>
      </c>
    </row>
    <row r="886" spans="1:19" x14ac:dyDescent="0.2">
      <c r="A886" t="s">
        <v>1827</v>
      </c>
      <c r="B886" t="s">
        <v>1828</v>
      </c>
      <c r="C886" t="s">
        <v>62</v>
      </c>
      <c r="D886" t="s">
        <v>35</v>
      </c>
      <c r="E886" s="1">
        <v>45705</v>
      </c>
      <c r="F886" s="1">
        <v>45713</v>
      </c>
      <c r="G886" t="s">
        <v>43</v>
      </c>
      <c r="H886" t="s">
        <v>50</v>
      </c>
      <c r="I886" t="s">
        <v>24</v>
      </c>
      <c r="J886">
        <v>32</v>
      </c>
      <c r="K886" t="s">
        <v>78</v>
      </c>
      <c r="L886" t="s">
        <v>32</v>
      </c>
      <c r="M886" t="s">
        <v>82</v>
      </c>
      <c r="N886">
        <v>8</v>
      </c>
      <c r="O886" s="3">
        <v>6763.12</v>
      </c>
      <c r="P886">
        <v>0</v>
      </c>
      <c r="Q886">
        <v>3.3</v>
      </c>
      <c r="R886">
        <v>0.83</v>
      </c>
      <c r="S886" t="str">
        <f t="shared" si="13"/>
        <v>February</v>
      </c>
    </row>
    <row r="887" spans="1:19" x14ac:dyDescent="0.2">
      <c r="A887" t="s">
        <v>1829</v>
      </c>
      <c r="B887" t="s">
        <v>1830</v>
      </c>
      <c r="C887" t="s">
        <v>62</v>
      </c>
      <c r="D887" t="s">
        <v>42</v>
      </c>
      <c r="E887" s="1">
        <v>45897</v>
      </c>
      <c r="F887" s="1">
        <v>45899</v>
      </c>
      <c r="G887" t="s">
        <v>68</v>
      </c>
      <c r="H887" t="s">
        <v>23</v>
      </c>
      <c r="I887" t="s">
        <v>37</v>
      </c>
      <c r="J887">
        <v>13</v>
      </c>
      <c r="K887" t="s">
        <v>46</v>
      </c>
      <c r="L887" t="s">
        <v>26</v>
      </c>
      <c r="M887" t="s">
        <v>27</v>
      </c>
      <c r="N887">
        <v>2</v>
      </c>
      <c r="O887" s="3">
        <v>6763.12</v>
      </c>
      <c r="P887">
        <v>0</v>
      </c>
      <c r="Q887">
        <v>4</v>
      </c>
      <c r="R887">
        <v>0.88</v>
      </c>
      <c r="S887" t="str">
        <f t="shared" si="13"/>
        <v>August</v>
      </c>
    </row>
    <row r="888" spans="1:19" x14ac:dyDescent="0.2">
      <c r="A888" t="s">
        <v>1831</v>
      </c>
      <c r="B888" t="s">
        <v>1832</v>
      </c>
      <c r="C888" t="s">
        <v>20</v>
      </c>
      <c r="D888" t="s">
        <v>42</v>
      </c>
      <c r="E888" s="1">
        <v>45925</v>
      </c>
      <c r="F888" s="1">
        <v>45928</v>
      </c>
      <c r="G888" t="s">
        <v>68</v>
      </c>
      <c r="H888" t="s">
        <v>23</v>
      </c>
      <c r="I888" t="s">
        <v>37</v>
      </c>
      <c r="J888">
        <v>81</v>
      </c>
      <c r="K888" t="s">
        <v>65</v>
      </c>
      <c r="L888" t="s">
        <v>26</v>
      </c>
      <c r="M888" t="s">
        <v>82</v>
      </c>
      <c r="N888">
        <v>2.2999999999999998</v>
      </c>
      <c r="O888" s="3">
        <v>6763.12</v>
      </c>
      <c r="P888">
        <v>1</v>
      </c>
      <c r="Q888">
        <v>3.5</v>
      </c>
      <c r="R888">
        <v>0.74</v>
      </c>
      <c r="S888" t="str">
        <f t="shared" si="13"/>
        <v>September</v>
      </c>
    </row>
    <row r="889" spans="1:19" x14ac:dyDescent="0.2">
      <c r="A889" t="s">
        <v>1833</v>
      </c>
      <c r="B889" t="s">
        <v>1834</v>
      </c>
      <c r="C889" t="s">
        <v>122</v>
      </c>
      <c r="D889" t="s">
        <v>35</v>
      </c>
      <c r="E889" s="1">
        <v>45899</v>
      </c>
      <c r="F889" s="1">
        <v>45905</v>
      </c>
      <c r="G889" t="s">
        <v>68</v>
      </c>
      <c r="H889" t="s">
        <v>50</v>
      </c>
      <c r="I889" t="s">
        <v>31</v>
      </c>
      <c r="J889">
        <v>54</v>
      </c>
      <c r="K889" t="s">
        <v>38</v>
      </c>
      <c r="L889" t="s">
        <v>26</v>
      </c>
      <c r="M889" t="s">
        <v>27</v>
      </c>
      <c r="N889">
        <v>5.7</v>
      </c>
      <c r="O889" s="3">
        <v>6763.12</v>
      </c>
      <c r="P889">
        <v>0</v>
      </c>
      <c r="Q889">
        <v>3.9</v>
      </c>
      <c r="R889">
        <v>0.78</v>
      </c>
      <c r="S889" t="str">
        <f t="shared" si="13"/>
        <v>August</v>
      </c>
    </row>
    <row r="890" spans="1:19" x14ac:dyDescent="0.2">
      <c r="A890" t="s">
        <v>1835</v>
      </c>
      <c r="B890" t="s">
        <v>1836</v>
      </c>
      <c r="C890" t="s">
        <v>58</v>
      </c>
      <c r="D890" t="s">
        <v>21</v>
      </c>
      <c r="E890" s="1">
        <v>45769</v>
      </c>
      <c r="F890" s="1">
        <v>45773</v>
      </c>
      <c r="G890" t="s">
        <v>43</v>
      </c>
      <c r="H890" t="s">
        <v>50</v>
      </c>
      <c r="I890" t="s">
        <v>117</v>
      </c>
      <c r="J890">
        <v>29</v>
      </c>
      <c r="K890" t="s">
        <v>78</v>
      </c>
      <c r="L890" t="s">
        <v>32</v>
      </c>
      <c r="M890" t="s">
        <v>27</v>
      </c>
      <c r="N890">
        <v>3.6</v>
      </c>
      <c r="O890" s="3">
        <v>6763.12</v>
      </c>
      <c r="P890">
        <v>0</v>
      </c>
      <c r="Q890">
        <v>5</v>
      </c>
      <c r="R890">
        <v>0.77</v>
      </c>
      <c r="S890" t="str">
        <f t="shared" si="13"/>
        <v>April</v>
      </c>
    </row>
    <row r="891" spans="1:19" x14ac:dyDescent="0.2">
      <c r="A891" t="s">
        <v>1837</v>
      </c>
      <c r="B891" t="s">
        <v>1838</v>
      </c>
      <c r="C891" t="s">
        <v>58</v>
      </c>
      <c r="D891" t="s">
        <v>35</v>
      </c>
      <c r="E891" s="1">
        <v>45665</v>
      </c>
      <c r="F891" s="1">
        <v>45672</v>
      </c>
      <c r="G891" t="s">
        <v>63</v>
      </c>
      <c r="H891" t="s">
        <v>50</v>
      </c>
      <c r="I891" t="s">
        <v>81</v>
      </c>
      <c r="J891">
        <v>70</v>
      </c>
      <c r="K891" t="s">
        <v>169</v>
      </c>
      <c r="L891" t="s">
        <v>26</v>
      </c>
      <c r="M891" t="s">
        <v>39</v>
      </c>
      <c r="N891">
        <v>6.6</v>
      </c>
      <c r="O891" s="3">
        <v>6763.12</v>
      </c>
      <c r="P891">
        <v>0</v>
      </c>
      <c r="Q891">
        <v>3.8</v>
      </c>
      <c r="R891">
        <v>0.75</v>
      </c>
      <c r="S891" t="str">
        <f t="shared" si="13"/>
        <v>January</v>
      </c>
    </row>
    <row r="892" spans="1:19" x14ac:dyDescent="0.2">
      <c r="A892" t="s">
        <v>1839</v>
      </c>
      <c r="B892" t="s">
        <v>1840</v>
      </c>
      <c r="C892" t="s">
        <v>58</v>
      </c>
      <c r="D892" t="s">
        <v>21</v>
      </c>
      <c r="E892" s="1">
        <v>45981</v>
      </c>
      <c r="F892" s="1">
        <v>45987</v>
      </c>
      <c r="G892" t="s">
        <v>71</v>
      </c>
      <c r="H892" t="s">
        <v>50</v>
      </c>
      <c r="I892" t="s">
        <v>64</v>
      </c>
      <c r="J892">
        <v>1</v>
      </c>
      <c r="K892" t="s">
        <v>103</v>
      </c>
      <c r="L892" t="s">
        <v>26</v>
      </c>
      <c r="M892" t="s">
        <v>39</v>
      </c>
      <c r="N892">
        <v>5.9</v>
      </c>
      <c r="O892" s="3">
        <v>6763.12</v>
      </c>
      <c r="P892">
        <v>0</v>
      </c>
      <c r="Q892">
        <v>3.3</v>
      </c>
      <c r="R892">
        <v>0.7</v>
      </c>
      <c r="S892" t="str">
        <f t="shared" si="13"/>
        <v>November</v>
      </c>
    </row>
    <row r="893" spans="1:19" x14ac:dyDescent="0.2">
      <c r="A893" t="s">
        <v>1841</v>
      </c>
      <c r="B893" t="s">
        <v>1842</v>
      </c>
      <c r="C893" t="s">
        <v>122</v>
      </c>
      <c r="D893" t="s">
        <v>35</v>
      </c>
      <c r="E893" s="1">
        <v>45777</v>
      </c>
      <c r="F893" s="1">
        <v>45781</v>
      </c>
      <c r="G893" t="s">
        <v>36</v>
      </c>
      <c r="H893" t="s">
        <v>23</v>
      </c>
      <c r="I893" t="s">
        <v>37</v>
      </c>
      <c r="J893">
        <v>54</v>
      </c>
      <c r="K893" t="s">
        <v>38</v>
      </c>
      <c r="L893" t="s">
        <v>32</v>
      </c>
      <c r="M893" t="s">
        <v>82</v>
      </c>
      <c r="N893">
        <v>3.9</v>
      </c>
      <c r="O893" s="3">
        <v>6763.12</v>
      </c>
      <c r="P893">
        <v>0</v>
      </c>
      <c r="Q893">
        <v>3.1</v>
      </c>
      <c r="R893">
        <v>0.68</v>
      </c>
      <c r="S893" t="str">
        <f t="shared" si="13"/>
        <v>April</v>
      </c>
    </row>
    <row r="894" spans="1:19" x14ac:dyDescent="0.2">
      <c r="A894" t="s">
        <v>1843</v>
      </c>
      <c r="B894" t="s">
        <v>1844</v>
      </c>
      <c r="C894" t="s">
        <v>30</v>
      </c>
      <c r="D894" t="s">
        <v>35</v>
      </c>
      <c r="E894" s="1">
        <v>45951</v>
      </c>
      <c r="F894" s="1">
        <v>45952</v>
      </c>
      <c r="G894" t="s">
        <v>22</v>
      </c>
      <c r="H894" t="s">
        <v>23</v>
      </c>
      <c r="I894" t="s">
        <v>64</v>
      </c>
      <c r="J894">
        <v>62</v>
      </c>
      <c r="K894" t="s">
        <v>38</v>
      </c>
      <c r="L894" t="s">
        <v>32</v>
      </c>
      <c r="M894" t="s">
        <v>52</v>
      </c>
      <c r="N894">
        <v>0.4</v>
      </c>
      <c r="O894" s="3">
        <v>6763.12</v>
      </c>
      <c r="P894">
        <v>0</v>
      </c>
      <c r="Q894">
        <v>4</v>
      </c>
      <c r="R894">
        <v>0.88</v>
      </c>
      <c r="S894" t="str">
        <f t="shared" si="13"/>
        <v>October</v>
      </c>
    </row>
    <row r="895" spans="1:19" x14ac:dyDescent="0.2">
      <c r="A895" t="s">
        <v>1845</v>
      </c>
      <c r="B895" t="s">
        <v>1846</v>
      </c>
      <c r="C895" t="s">
        <v>30</v>
      </c>
      <c r="D895" t="s">
        <v>42</v>
      </c>
      <c r="E895" s="1">
        <v>45730</v>
      </c>
      <c r="F895" s="1">
        <v>45732</v>
      </c>
      <c r="G895" t="s">
        <v>99</v>
      </c>
      <c r="H895" t="s">
        <v>50</v>
      </c>
      <c r="I895" t="s">
        <v>51</v>
      </c>
      <c r="J895">
        <v>73</v>
      </c>
      <c r="K895" t="s">
        <v>169</v>
      </c>
      <c r="L895" t="s">
        <v>26</v>
      </c>
      <c r="M895" t="s">
        <v>27</v>
      </c>
      <c r="N895">
        <v>1.2</v>
      </c>
      <c r="O895" s="3">
        <v>6763.12</v>
      </c>
      <c r="P895">
        <v>0</v>
      </c>
      <c r="Q895">
        <v>3.4</v>
      </c>
      <c r="R895">
        <v>0.83</v>
      </c>
      <c r="S895" t="str">
        <f t="shared" si="13"/>
        <v>March</v>
      </c>
    </row>
    <row r="896" spans="1:19" x14ac:dyDescent="0.2">
      <c r="A896" t="s">
        <v>1847</v>
      </c>
      <c r="B896" t="s">
        <v>1848</v>
      </c>
      <c r="C896" t="s">
        <v>30</v>
      </c>
      <c r="D896" t="s">
        <v>35</v>
      </c>
      <c r="E896" s="1">
        <v>45717</v>
      </c>
      <c r="F896" s="1">
        <v>45721</v>
      </c>
      <c r="G896" t="s">
        <v>36</v>
      </c>
      <c r="H896" t="s">
        <v>50</v>
      </c>
      <c r="I896" t="s">
        <v>117</v>
      </c>
      <c r="J896">
        <v>20</v>
      </c>
      <c r="K896" t="s">
        <v>78</v>
      </c>
      <c r="L896" t="s">
        <v>26</v>
      </c>
      <c r="M896" t="s">
        <v>27</v>
      </c>
      <c r="N896">
        <v>3.9</v>
      </c>
      <c r="O896" s="3">
        <v>6763.12</v>
      </c>
      <c r="P896">
        <v>0</v>
      </c>
      <c r="Q896">
        <v>4</v>
      </c>
      <c r="R896">
        <v>0.87</v>
      </c>
      <c r="S896" t="str">
        <f t="shared" si="13"/>
        <v>March</v>
      </c>
    </row>
    <row r="897" spans="1:19" x14ac:dyDescent="0.2">
      <c r="A897" t="s">
        <v>1849</v>
      </c>
      <c r="B897" t="s">
        <v>1850</v>
      </c>
      <c r="C897" t="s">
        <v>30</v>
      </c>
      <c r="D897" t="s">
        <v>42</v>
      </c>
      <c r="E897" s="1">
        <v>45942</v>
      </c>
      <c r="F897" s="1">
        <v>45944</v>
      </c>
      <c r="G897" t="s">
        <v>68</v>
      </c>
      <c r="H897" t="s">
        <v>44</v>
      </c>
      <c r="I897" t="s">
        <v>100</v>
      </c>
      <c r="J897">
        <v>53</v>
      </c>
      <c r="K897" t="s">
        <v>38</v>
      </c>
      <c r="L897" t="s">
        <v>26</v>
      </c>
      <c r="M897" t="s">
        <v>27</v>
      </c>
      <c r="N897">
        <v>1.2</v>
      </c>
      <c r="O897" s="3">
        <v>6763.12</v>
      </c>
      <c r="P897">
        <v>0</v>
      </c>
      <c r="Q897">
        <v>2.9</v>
      </c>
      <c r="R897">
        <v>0.86</v>
      </c>
      <c r="S897" t="str">
        <f t="shared" si="13"/>
        <v>October</v>
      </c>
    </row>
    <row r="898" spans="1:19" x14ac:dyDescent="0.2">
      <c r="A898" t="s">
        <v>1851</v>
      </c>
      <c r="B898" t="s">
        <v>1852</v>
      </c>
      <c r="C898" t="s">
        <v>62</v>
      </c>
      <c r="D898" t="s">
        <v>35</v>
      </c>
      <c r="E898" s="1">
        <v>46001</v>
      </c>
      <c r="F898" s="1">
        <v>46002</v>
      </c>
      <c r="G898" t="s">
        <v>50</v>
      </c>
      <c r="H898" t="s">
        <v>23</v>
      </c>
      <c r="I898" t="s">
        <v>31</v>
      </c>
      <c r="J898">
        <v>69</v>
      </c>
      <c r="K898" t="s">
        <v>169</v>
      </c>
      <c r="L898" t="s">
        <v>26</v>
      </c>
      <c r="M898" t="s">
        <v>39</v>
      </c>
      <c r="N898">
        <v>0.9</v>
      </c>
      <c r="O898" s="3">
        <v>6763.12</v>
      </c>
      <c r="P898">
        <v>0</v>
      </c>
      <c r="Q898">
        <v>4.0999999999999996</v>
      </c>
      <c r="R898">
        <v>0.86</v>
      </c>
      <c r="S898" t="str">
        <f t="shared" si="13"/>
        <v>December</v>
      </c>
    </row>
    <row r="899" spans="1:19" x14ac:dyDescent="0.2">
      <c r="A899" t="s">
        <v>1853</v>
      </c>
      <c r="B899" t="s">
        <v>1854</v>
      </c>
      <c r="C899" t="s">
        <v>30</v>
      </c>
      <c r="D899" t="s">
        <v>49</v>
      </c>
      <c r="E899" s="1">
        <v>45972</v>
      </c>
      <c r="F899" s="1">
        <v>45974</v>
      </c>
      <c r="G899" t="s">
        <v>63</v>
      </c>
      <c r="H899" t="s">
        <v>50</v>
      </c>
      <c r="I899" t="s">
        <v>81</v>
      </c>
      <c r="J899">
        <v>72</v>
      </c>
      <c r="K899" t="s">
        <v>169</v>
      </c>
      <c r="L899" t="s">
        <v>26</v>
      </c>
      <c r="M899" t="s">
        <v>39</v>
      </c>
      <c r="N899">
        <v>1.2</v>
      </c>
      <c r="O899" s="3">
        <v>6763.12</v>
      </c>
      <c r="P899">
        <v>0</v>
      </c>
      <c r="Q899">
        <v>3.3</v>
      </c>
      <c r="R899">
        <v>0.81</v>
      </c>
      <c r="S899" t="str">
        <f t="shared" ref="S899:S962" si="14">TEXT(E899, "mmmm")</f>
        <v>November</v>
      </c>
    </row>
    <row r="900" spans="1:19" x14ac:dyDescent="0.2">
      <c r="A900" t="s">
        <v>1855</v>
      </c>
      <c r="B900" t="s">
        <v>1856</v>
      </c>
      <c r="C900" t="s">
        <v>58</v>
      </c>
      <c r="D900" t="s">
        <v>21</v>
      </c>
      <c r="E900" s="1">
        <v>45932</v>
      </c>
      <c r="F900" s="1">
        <v>45935</v>
      </c>
      <c r="G900" t="s">
        <v>50</v>
      </c>
      <c r="H900" t="s">
        <v>50</v>
      </c>
      <c r="I900" t="s">
        <v>51</v>
      </c>
      <c r="J900">
        <v>15</v>
      </c>
      <c r="K900" t="s">
        <v>46</v>
      </c>
      <c r="L900" t="s">
        <v>26</v>
      </c>
      <c r="M900" t="s">
        <v>82</v>
      </c>
      <c r="N900">
        <v>2.2000000000000002</v>
      </c>
      <c r="O900" s="3">
        <v>6763.12</v>
      </c>
      <c r="P900">
        <v>0</v>
      </c>
      <c r="Q900">
        <v>3.7</v>
      </c>
      <c r="R900">
        <v>0.77</v>
      </c>
      <c r="S900" t="str">
        <f t="shared" si="14"/>
        <v>October</v>
      </c>
    </row>
    <row r="901" spans="1:19" x14ac:dyDescent="0.2">
      <c r="A901" t="s">
        <v>1857</v>
      </c>
      <c r="B901" t="s">
        <v>1858</v>
      </c>
      <c r="C901" t="s">
        <v>62</v>
      </c>
      <c r="D901" t="s">
        <v>42</v>
      </c>
      <c r="E901" s="1">
        <v>45748</v>
      </c>
      <c r="F901" s="1">
        <v>45750</v>
      </c>
      <c r="G901" t="s">
        <v>99</v>
      </c>
      <c r="H901" t="s">
        <v>50</v>
      </c>
      <c r="I901" t="s">
        <v>37</v>
      </c>
      <c r="J901">
        <v>88</v>
      </c>
      <c r="K901" t="s">
        <v>65</v>
      </c>
      <c r="L901" t="s">
        <v>26</v>
      </c>
      <c r="M901" t="s">
        <v>82</v>
      </c>
      <c r="N901">
        <v>1.7</v>
      </c>
      <c r="O901" s="3">
        <v>6763.12</v>
      </c>
      <c r="P901">
        <v>0</v>
      </c>
      <c r="Q901">
        <v>3.7</v>
      </c>
      <c r="R901">
        <v>0.9</v>
      </c>
      <c r="S901" t="str">
        <f t="shared" si="14"/>
        <v>April</v>
      </c>
    </row>
    <row r="902" spans="1:19" x14ac:dyDescent="0.2">
      <c r="A902" t="s">
        <v>1859</v>
      </c>
      <c r="B902" t="s">
        <v>1860</v>
      </c>
      <c r="C902" t="s">
        <v>122</v>
      </c>
      <c r="D902" t="s">
        <v>35</v>
      </c>
      <c r="E902" s="1">
        <v>45991</v>
      </c>
      <c r="F902" s="1">
        <v>45993</v>
      </c>
      <c r="G902" t="s">
        <v>43</v>
      </c>
      <c r="H902" t="s">
        <v>44</v>
      </c>
      <c r="I902" t="s">
        <v>51</v>
      </c>
      <c r="J902">
        <v>24</v>
      </c>
      <c r="K902" t="s">
        <v>78</v>
      </c>
      <c r="L902" t="s">
        <v>32</v>
      </c>
      <c r="M902" t="s">
        <v>27</v>
      </c>
      <c r="N902">
        <v>1.2</v>
      </c>
      <c r="O902" s="3">
        <v>6763.12</v>
      </c>
      <c r="P902">
        <v>0</v>
      </c>
      <c r="Q902">
        <v>4.9000000000000004</v>
      </c>
      <c r="R902">
        <v>0.78</v>
      </c>
      <c r="S902" t="str">
        <f t="shared" si="14"/>
        <v>November</v>
      </c>
    </row>
    <row r="903" spans="1:19" x14ac:dyDescent="0.2">
      <c r="A903" t="s">
        <v>1861</v>
      </c>
      <c r="B903" t="s">
        <v>1862</v>
      </c>
      <c r="C903" t="s">
        <v>20</v>
      </c>
      <c r="D903" t="s">
        <v>35</v>
      </c>
      <c r="E903" s="1">
        <v>45901</v>
      </c>
      <c r="F903" s="1">
        <v>45902</v>
      </c>
      <c r="G903" t="s">
        <v>50</v>
      </c>
      <c r="H903" t="s">
        <v>50</v>
      </c>
      <c r="I903" t="s">
        <v>37</v>
      </c>
      <c r="J903">
        <v>35</v>
      </c>
      <c r="K903" t="s">
        <v>25</v>
      </c>
      <c r="L903" t="s">
        <v>32</v>
      </c>
      <c r="M903" t="s">
        <v>39</v>
      </c>
      <c r="N903">
        <v>0.3</v>
      </c>
      <c r="O903" s="3">
        <v>6763.12</v>
      </c>
      <c r="P903">
        <v>0</v>
      </c>
      <c r="Q903">
        <v>3.8</v>
      </c>
      <c r="R903">
        <v>0.88</v>
      </c>
      <c r="S903" t="str">
        <f t="shared" si="14"/>
        <v>September</v>
      </c>
    </row>
    <row r="904" spans="1:19" x14ac:dyDescent="0.2">
      <c r="A904" t="s">
        <v>1863</v>
      </c>
      <c r="B904" t="s">
        <v>1864</v>
      </c>
      <c r="C904" t="s">
        <v>58</v>
      </c>
      <c r="D904" t="s">
        <v>49</v>
      </c>
      <c r="E904" s="1">
        <v>45720</v>
      </c>
      <c r="F904" s="1">
        <v>45726</v>
      </c>
      <c r="G904" t="s">
        <v>36</v>
      </c>
      <c r="H904" t="s">
        <v>50</v>
      </c>
      <c r="I904" t="s">
        <v>37</v>
      </c>
      <c r="J904">
        <v>17</v>
      </c>
      <c r="K904" t="s">
        <v>46</v>
      </c>
      <c r="L904" t="s">
        <v>26</v>
      </c>
      <c r="M904" t="s">
        <v>39</v>
      </c>
      <c r="N904">
        <v>5.5</v>
      </c>
      <c r="O904" s="3">
        <v>6763.12</v>
      </c>
      <c r="P904">
        <v>0</v>
      </c>
      <c r="Q904">
        <v>5</v>
      </c>
      <c r="R904">
        <v>0.69</v>
      </c>
      <c r="S904" t="str">
        <f t="shared" si="14"/>
        <v>March</v>
      </c>
    </row>
    <row r="905" spans="1:19" x14ac:dyDescent="0.2">
      <c r="A905" t="s">
        <v>1865</v>
      </c>
      <c r="B905" t="s">
        <v>1866</v>
      </c>
      <c r="C905" t="s">
        <v>122</v>
      </c>
      <c r="D905" t="s">
        <v>49</v>
      </c>
      <c r="E905" s="1">
        <v>45705</v>
      </c>
      <c r="F905" s="1">
        <v>45707</v>
      </c>
      <c r="G905" t="s">
        <v>116</v>
      </c>
      <c r="H905" t="s">
        <v>44</v>
      </c>
      <c r="I905" t="s">
        <v>117</v>
      </c>
      <c r="J905">
        <v>13</v>
      </c>
      <c r="K905" t="s">
        <v>46</v>
      </c>
      <c r="L905" t="s">
        <v>32</v>
      </c>
      <c r="M905" t="s">
        <v>39</v>
      </c>
      <c r="N905">
        <v>2</v>
      </c>
      <c r="O905" s="3">
        <v>6763.12</v>
      </c>
      <c r="P905">
        <v>0</v>
      </c>
      <c r="Q905">
        <v>4.2</v>
      </c>
      <c r="R905">
        <v>0.72</v>
      </c>
      <c r="S905" t="str">
        <f t="shared" si="14"/>
        <v>February</v>
      </c>
    </row>
    <row r="906" spans="1:19" x14ac:dyDescent="0.2">
      <c r="A906" t="s">
        <v>1867</v>
      </c>
      <c r="B906" t="s">
        <v>1868</v>
      </c>
      <c r="C906" t="s">
        <v>20</v>
      </c>
      <c r="D906" t="s">
        <v>49</v>
      </c>
      <c r="E906" s="1">
        <v>45975</v>
      </c>
      <c r="F906" s="1">
        <v>45987</v>
      </c>
      <c r="G906" t="s">
        <v>59</v>
      </c>
      <c r="H906" t="s">
        <v>23</v>
      </c>
      <c r="I906" t="s">
        <v>64</v>
      </c>
      <c r="J906">
        <v>23</v>
      </c>
      <c r="K906" t="s">
        <v>78</v>
      </c>
      <c r="L906" t="s">
        <v>26</v>
      </c>
      <c r="M906" t="s">
        <v>27</v>
      </c>
      <c r="N906">
        <v>11.1</v>
      </c>
      <c r="O906" s="3">
        <v>6763.12</v>
      </c>
      <c r="P906">
        <v>0</v>
      </c>
      <c r="Q906">
        <v>4.5</v>
      </c>
      <c r="R906">
        <v>0.84</v>
      </c>
      <c r="S906" t="str">
        <f t="shared" si="14"/>
        <v>November</v>
      </c>
    </row>
    <row r="907" spans="1:19" x14ac:dyDescent="0.2">
      <c r="A907" t="s">
        <v>1869</v>
      </c>
      <c r="B907" t="s">
        <v>1870</v>
      </c>
      <c r="C907" t="s">
        <v>62</v>
      </c>
      <c r="D907" t="s">
        <v>35</v>
      </c>
      <c r="E907" s="1">
        <v>45758</v>
      </c>
      <c r="F907" s="1">
        <v>45760</v>
      </c>
      <c r="G907" t="s">
        <v>43</v>
      </c>
      <c r="H907" t="s">
        <v>50</v>
      </c>
      <c r="I907" t="s">
        <v>24</v>
      </c>
      <c r="J907">
        <v>12</v>
      </c>
      <c r="K907" t="s">
        <v>103</v>
      </c>
      <c r="L907" t="s">
        <v>26</v>
      </c>
      <c r="M907" t="s">
        <v>27</v>
      </c>
      <c r="N907">
        <v>1.8</v>
      </c>
      <c r="O907" s="3">
        <v>6763.12</v>
      </c>
      <c r="P907">
        <v>0</v>
      </c>
      <c r="Q907">
        <v>3.8</v>
      </c>
      <c r="R907">
        <v>0.81</v>
      </c>
      <c r="S907" t="str">
        <f t="shared" si="14"/>
        <v>April</v>
      </c>
    </row>
    <row r="908" spans="1:19" x14ac:dyDescent="0.2">
      <c r="A908" t="s">
        <v>1871</v>
      </c>
      <c r="B908" t="s">
        <v>1872</v>
      </c>
      <c r="C908" t="s">
        <v>58</v>
      </c>
      <c r="D908" t="s">
        <v>35</v>
      </c>
      <c r="E908" s="1">
        <v>45937</v>
      </c>
      <c r="F908" s="1">
        <v>45938</v>
      </c>
      <c r="G908" t="s">
        <v>43</v>
      </c>
      <c r="H908" t="s">
        <v>50</v>
      </c>
      <c r="I908" t="s">
        <v>81</v>
      </c>
      <c r="J908">
        <v>66</v>
      </c>
      <c r="K908" t="s">
        <v>169</v>
      </c>
      <c r="L908" t="s">
        <v>26</v>
      </c>
      <c r="M908" t="s">
        <v>27</v>
      </c>
      <c r="N908">
        <v>1</v>
      </c>
      <c r="O908" s="3">
        <v>6763.12</v>
      </c>
      <c r="P908">
        <v>0</v>
      </c>
      <c r="Q908">
        <v>4.0999999999999996</v>
      </c>
      <c r="R908">
        <v>0.83</v>
      </c>
      <c r="S908" t="str">
        <f t="shared" si="14"/>
        <v>October</v>
      </c>
    </row>
    <row r="909" spans="1:19" x14ac:dyDescent="0.2">
      <c r="A909" t="s">
        <v>1873</v>
      </c>
      <c r="B909" t="s">
        <v>1874</v>
      </c>
      <c r="C909" t="s">
        <v>62</v>
      </c>
      <c r="D909" t="s">
        <v>42</v>
      </c>
      <c r="E909" s="1">
        <v>45708</v>
      </c>
      <c r="F909" s="1">
        <v>45710</v>
      </c>
      <c r="G909" t="s">
        <v>116</v>
      </c>
      <c r="H909" t="s">
        <v>50</v>
      </c>
      <c r="I909" t="s">
        <v>51</v>
      </c>
      <c r="J909">
        <v>54</v>
      </c>
      <c r="K909" t="s">
        <v>38</v>
      </c>
      <c r="L909" t="s">
        <v>26</v>
      </c>
      <c r="M909" t="s">
        <v>27</v>
      </c>
      <c r="N909">
        <v>2</v>
      </c>
      <c r="O909" s="3">
        <v>6763.12</v>
      </c>
      <c r="P909">
        <v>0</v>
      </c>
      <c r="Q909">
        <v>4.5999999999999996</v>
      </c>
      <c r="R909">
        <v>0.89</v>
      </c>
      <c r="S909" t="str">
        <f t="shared" si="14"/>
        <v>February</v>
      </c>
    </row>
    <row r="910" spans="1:19" x14ac:dyDescent="0.2">
      <c r="A910" t="s">
        <v>1875</v>
      </c>
      <c r="B910" t="s">
        <v>1876</v>
      </c>
      <c r="C910" t="s">
        <v>62</v>
      </c>
      <c r="D910" t="s">
        <v>49</v>
      </c>
      <c r="E910" s="1">
        <v>45760</v>
      </c>
      <c r="F910" s="1">
        <v>45766</v>
      </c>
      <c r="G910" t="s">
        <v>68</v>
      </c>
      <c r="H910" t="s">
        <v>23</v>
      </c>
      <c r="I910" t="s">
        <v>37</v>
      </c>
      <c r="J910">
        <v>35</v>
      </c>
      <c r="K910" t="s">
        <v>25</v>
      </c>
      <c r="L910" t="s">
        <v>32</v>
      </c>
      <c r="M910" t="s">
        <v>82</v>
      </c>
      <c r="N910">
        <v>5.8</v>
      </c>
      <c r="O910" s="3">
        <v>6763.12</v>
      </c>
      <c r="P910">
        <v>0</v>
      </c>
      <c r="Q910">
        <v>4.4000000000000004</v>
      </c>
      <c r="R910">
        <v>0.9</v>
      </c>
      <c r="S910" t="str">
        <f t="shared" si="14"/>
        <v>April</v>
      </c>
    </row>
    <row r="911" spans="1:19" x14ac:dyDescent="0.2">
      <c r="A911" t="s">
        <v>1877</v>
      </c>
      <c r="B911" t="s">
        <v>1878</v>
      </c>
      <c r="C911" t="s">
        <v>122</v>
      </c>
      <c r="D911" t="s">
        <v>49</v>
      </c>
      <c r="E911" s="1">
        <v>45761</v>
      </c>
      <c r="F911" s="1">
        <v>45762</v>
      </c>
      <c r="G911" t="s">
        <v>99</v>
      </c>
      <c r="H911" t="s">
        <v>50</v>
      </c>
      <c r="I911" t="s">
        <v>64</v>
      </c>
      <c r="J911">
        <v>49</v>
      </c>
      <c r="K911" t="s">
        <v>25</v>
      </c>
      <c r="L911" t="s">
        <v>26</v>
      </c>
      <c r="M911" t="s">
        <v>27</v>
      </c>
      <c r="N911">
        <v>0.6</v>
      </c>
      <c r="O911" s="3">
        <v>6763.12</v>
      </c>
      <c r="P911">
        <v>1</v>
      </c>
      <c r="Q911">
        <v>4.2</v>
      </c>
      <c r="R911">
        <v>0.82</v>
      </c>
      <c r="S911" t="str">
        <f t="shared" si="14"/>
        <v>April</v>
      </c>
    </row>
    <row r="912" spans="1:19" x14ac:dyDescent="0.2">
      <c r="A912" t="s">
        <v>1879</v>
      </c>
      <c r="B912" t="s">
        <v>1880</v>
      </c>
      <c r="C912" t="s">
        <v>58</v>
      </c>
      <c r="D912" t="s">
        <v>35</v>
      </c>
      <c r="E912" s="1">
        <v>45760</v>
      </c>
      <c r="F912" s="1">
        <v>45765</v>
      </c>
      <c r="G912" t="s">
        <v>63</v>
      </c>
      <c r="H912" t="s">
        <v>44</v>
      </c>
      <c r="I912" t="s">
        <v>117</v>
      </c>
      <c r="J912">
        <v>54</v>
      </c>
      <c r="K912" t="s">
        <v>38</v>
      </c>
      <c r="L912" t="s">
        <v>32</v>
      </c>
      <c r="M912" t="s">
        <v>39</v>
      </c>
      <c r="N912">
        <v>4.2</v>
      </c>
      <c r="O912" s="3">
        <v>6763.12</v>
      </c>
      <c r="P912">
        <v>0</v>
      </c>
      <c r="Q912">
        <v>3.7</v>
      </c>
      <c r="R912">
        <v>0.71</v>
      </c>
      <c r="S912" t="str">
        <f t="shared" si="14"/>
        <v>April</v>
      </c>
    </row>
    <row r="913" spans="1:19" x14ac:dyDescent="0.2">
      <c r="A913" t="s">
        <v>1881</v>
      </c>
      <c r="B913" t="s">
        <v>1882</v>
      </c>
      <c r="C913" t="s">
        <v>58</v>
      </c>
      <c r="D913" t="s">
        <v>35</v>
      </c>
      <c r="E913" s="1">
        <v>45904</v>
      </c>
      <c r="F913" s="1">
        <v>45907</v>
      </c>
      <c r="G913" t="s">
        <v>22</v>
      </c>
      <c r="H913" t="s">
        <v>44</v>
      </c>
      <c r="I913" t="s">
        <v>64</v>
      </c>
      <c r="J913">
        <v>16</v>
      </c>
      <c r="K913" t="s">
        <v>46</v>
      </c>
      <c r="L913" t="s">
        <v>26</v>
      </c>
      <c r="M913" t="s">
        <v>39</v>
      </c>
      <c r="N913">
        <v>2.6</v>
      </c>
      <c r="O913" s="3">
        <v>6763.12</v>
      </c>
      <c r="P913">
        <v>0</v>
      </c>
      <c r="Q913">
        <v>3.8</v>
      </c>
      <c r="R913">
        <v>0.68</v>
      </c>
      <c r="S913" t="str">
        <f t="shared" si="14"/>
        <v>September</v>
      </c>
    </row>
    <row r="914" spans="1:19" x14ac:dyDescent="0.2">
      <c r="A914" t="s">
        <v>1883</v>
      </c>
      <c r="B914" t="s">
        <v>1884</v>
      </c>
      <c r="C914" t="s">
        <v>58</v>
      </c>
      <c r="D914" t="s">
        <v>42</v>
      </c>
      <c r="E914" s="1">
        <v>45991</v>
      </c>
      <c r="F914" s="1">
        <v>46000</v>
      </c>
      <c r="G914" t="s">
        <v>99</v>
      </c>
      <c r="H914" t="s">
        <v>50</v>
      </c>
      <c r="I914" t="s">
        <v>81</v>
      </c>
      <c r="J914">
        <v>27</v>
      </c>
      <c r="K914" t="s">
        <v>78</v>
      </c>
      <c r="L914" t="s">
        <v>26</v>
      </c>
      <c r="M914" t="s">
        <v>82</v>
      </c>
      <c r="N914">
        <v>8.6999999999999993</v>
      </c>
      <c r="O914" s="3">
        <v>6763.12</v>
      </c>
      <c r="P914">
        <v>0</v>
      </c>
      <c r="Q914">
        <v>4.4000000000000004</v>
      </c>
      <c r="R914">
        <v>0.81</v>
      </c>
      <c r="S914" t="str">
        <f t="shared" si="14"/>
        <v>November</v>
      </c>
    </row>
    <row r="915" spans="1:19" x14ac:dyDescent="0.2">
      <c r="A915" t="s">
        <v>1885</v>
      </c>
      <c r="B915" t="s">
        <v>1886</v>
      </c>
      <c r="C915" t="s">
        <v>58</v>
      </c>
      <c r="D915" t="s">
        <v>49</v>
      </c>
      <c r="E915" s="1">
        <v>45990</v>
      </c>
      <c r="F915" s="1">
        <v>45993</v>
      </c>
      <c r="G915" t="s">
        <v>59</v>
      </c>
      <c r="H915" t="s">
        <v>23</v>
      </c>
      <c r="I915" t="s">
        <v>55</v>
      </c>
      <c r="J915">
        <v>80</v>
      </c>
      <c r="K915" t="s">
        <v>65</v>
      </c>
      <c r="L915" t="s">
        <v>32</v>
      </c>
      <c r="M915" t="s">
        <v>27</v>
      </c>
      <c r="N915">
        <v>2.5</v>
      </c>
      <c r="O915" s="3">
        <v>6763.12</v>
      </c>
      <c r="P915">
        <v>0</v>
      </c>
      <c r="Q915">
        <v>4.5999999999999996</v>
      </c>
      <c r="R915">
        <v>0.69</v>
      </c>
      <c r="S915" t="str">
        <f t="shared" si="14"/>
        <v>November</v>
      </c>
    </row>
    <row r="916" spans="1:19" x14ac:dyDescent="0.2">
      <c r="A916" t="s">
        <v>1887</v>
      </c>
      <c r="B916" t="s">
        <v>1888</v>
      </c>
      <c r="C916" t="s">
        <v>58</v>
      </c>
      <c r="D916" t="s">
        <v>35</v>
      </c>
      <c r="E916" s="1">
        <v>45928</v>
      </c>
      <c r="F916" s="1">
        <v>45929</v>
      </c>
      <c r="G916" t="s">
        <v>50</v>
      </c>
      <c r="H916" t="s">
        <v>50</v>
      </c>
      <c r="I916" t="s">
        <v>37</v>
      </c>
      <c r="J916">
        <v>1</v>
      </c>
      <c r="K916" t="s">
        <v>103</v>
      </c>
      <c r="L916" t="s">
        <v>32</v>
      </c>
      <c r="M916" t="s">
        <v>27</v>
      </c>
      <c r="N916">
        <v>0.2</v>
      </c>
      <c r="O916" s="3">
        <v>6763.12</v>
      </c>
      <c r="P916">
        <v>0</v>
      </c>
      <c r="Q916">
        <v>3.3</v>
      </c>
      <c r="R916">
        <v>0.81</v>
      </c>
      <c r="S916" t="str">
        <f t="shared" si="14"/>
        <v>September</v>
      </c>
    </row>
    <row r="917" spans="1:19" x14ac:dyDescent="0.2">
      <c r="A917" t="s">
        <v>1889</v>
      </c>
      <c r="B917" t="s">
        <v>1890</v>
      </c>
      <c r="C917" t="s">
        <v>62</v>
      </c>
      <c r="D917" t="s">
        <v>42</v>
      </c>
      <c r="E917" s="1">
        <v>45731</v>
      </c>
      <c r="F917" s="1">
        <v>45733</v>
      </c>
      <c r="G917" t="s">
        <v>116</v>
      </c>
      <c r="H917" t="s">
        <v>50</v>
      </c>
      <c r="I917" t="s">
        <v>31</v>
      </c>
      <c r="J917">
        <v>87</v>
      </c>
      <c r="K917" t="s">
        <v>65</v>
      </c>
      <c r="L917" t="s">
        <v>32</v>
      </c>
      <c r="M917" t="s">
        <v>27</v>
      </c>
      <c r="N917">
        <v>1.5</v>
      </c>
      <c r="O917" s="3">
        <v>6763.12</v>
      </c>
      <c r="P917">
        <v>0</v>
      </c>
      <c r="Q917">
        <v>3.5</v>
      </c>
      <c r="R917">
        <v>0.87</v>
      </c>
      <c r="S917" t="str">
        <f t="shared" si="14"/>
        <v>March</v>
      </c>
    </row>
    <row r="918" spans="1:19" x14ac:dyDescent="0.2">
      <c r="A918" t="s">
        <v>1891</v>
      </c>
      <c r="B918" t="s">
        <v>1892</v>
      </c>
      <c r="C918" t="s">
        <v>122</v>
      </c>
      <c r="D918" t="s">
        <v>49</v>
      </c>
      <c r="E918" s="1">
        <v>46008</v>
      </c>
      <c r="F918" s="1">
        <v>46013</v>
      </c>
      <c r="G918" t="s">
        <v>68</v>
      </c>
      <c r="H918" t="s">
        <v>23</v>
      </c>
      <c r="I918" t="s">
        <v>51</v>
      </c>
      <c r="J918">
        <v>87</v>
      </c>
      <c r="K918" t="s">
        <v>65</v>
      </c>
      <c r="L918" t="s">
        <v>26</v>
      </c>
      <c r="M918" t="s">
        <v>39</v>
      </c>
      <c r="N918">
        <v>4.2</v>
      </c>
      <c r="O918" s="3">
        <v>6763.12</v>
      </c>
      <c r="P918">
        <v>0</v>
      </c>
      <c r="Q918">
        <v>3.4</v>
      </c>
      <c r="R918">
        <v>0.78</v>
      </c>
      <c r="S918" t="str">
        <f t="shared" si="14"/>
        <v>December</v>
      </c>
    </row>
    <row r="919" spans="1:19" x14ac:dyDescent="0.2">
      <c r="A919" t="s">
        <v>1893</v>
      </c>
      <c r="B919" t="s">
        <v>1894</v>
      </c>
      <c r="C919" t="s">
        <v>58</v>
      </c>
      <c r="D919" t="s">
        <v>21</v>
      </c>
      <c r="E919" s="1">
        <v>45855</v>
      </c>
      <c r="F919" s="1">
        <v>45856</v>
      </c>
      <c r="G919" t="s">
        <v>50</v>
      </c>
      <c r="H919" t="s">
        <v>50</v>
      </c>
      <c r="I919" t="s">
        <v>81</v>
      </c>
      <c r="J919">
        <v>23</v>
      </c>
      <c r="K919" t="s">
        <v>78</v>
      </c>
      <c r="L919" t="s">
        <v>32</v>
      </c>
      <c r="M919" t="s">
        <v>27</v>
      </c>
      <c r="N919">
        <v>1</v>
      </c>
      <c r="O919" s="3">
        <v>6763.12</v>
      </c>
      <c r="P919">
        <v>0</v>
      </c>
      <c r="Q919">
        <v>4.2</v>
      </c>
      <c r="R919">
        <v>0.77</v>
      </c>
      <c r="S919" t="str">
        <f t="shared" si="14"/>
        <v>July</v>
      </c>
    </row>
    <row r="920" spans="1:19" x14ac:dyDescent="0.2">
      <c r="A920" t="s">
        <v>1895</v>
      </c>
      <c r="B920" t="s">
        <v>1896</v>
      </c>
      <c r="C920" t="s">
        <v>122</v>
      </c>
      <c r="D920" t="s">
        <v>21</v>
      </c>
      <c r="E920" s="1">
        <v>45857</v>
      </c>
      <c r="F920" s="1">
        <v>45859</v>
      </c>
      <c r="G920" t="s">
        <v>50</v>
      </c>
      <c r="H920" t="s">
        <v>50</v>
      </c>
      <c r="I920" t="s">
        <v>37</v>
      </c>
      <c r="J920">
        <v>29</v>
      </c>
      <c r="K920" t="s">
        <v>78</v>
      </c>
      <c r="L920" t="s">
        <v>32</v>
      </c>
      <c r="M920" t="s">
        <v>82</v>
      </c>
      <c r="N920">
        <v>1.4</v>
      </c>
      <c r="O920" s="3">
        <v>6763.12</v>
      </c>
      <c r="P920">
        <v>0</v>
      </c>
      <c r="Q920">
        <v>3.1</v>
      </c>
      <c r="R920">
        <v>0.8</v>
      </c>
      <c r="S920" t="str">
        <f t="shared" si="14"/>
        <v>July</v>
      </c>
    </row>
    <row r="921" spans="1:19" x14ac:dyDescent="0.2">
      <c r="A921" t="s">
        <v>1897</v>
      </c>
      <c r="B921" t="s">
        <v>1898</v>
      </c>
      <c r="C921" t="s">
        <v>20</v>
      </c>
      <c r="D921" t="s">
        <v>49</v>
      </c>
      <c r="E921" s="1">
        <v>45914</v>
      </c>
      <c r="F921" s="1">
        <v>45916</v>
      </c>
      <c r="G921" t="s">
        <v>99</v>
      </c>
      <c r="H921" t="s">
        <v>50</v>
      </c>
      <c r="I921" t="s">
        <v>37</v>
      </c>
      <c r="J921">
        <v>18</v>
      </c>
      <c r="K921" t="s">
        <v>78</v>
      </c>
      <c r="L921" t="s">
        <v>26</v>
      </c>
      <c r="M921" t="s">
        <v>27</v>
      </c>
      <c r="N921">
        <v>1.2</v>
      </c>
      <c r="O921" s="3">
        <v>6763.12</v>
      </c>
      <c r="P921">
        <v>0</v>
      </c>
      <c r="Q921">
        <v>4.4000000000000004</v>
      </c>
      <c r="R921">
        <v>0.79</v>
      </c>
      <c r="S921" t="str">
        <f t="shared" si="14"/>
        <v>September</v>
      </c>
    </row>
    <row r="922" spans="1:19" x14ac:dyDescent="0.2">
      <c r="A922" t="s">
        <v>1899</v>
      </c>
      <c r="B922" t="s">
        <v>1900</v>
      </c>
      <c r="C922" t="s">
        <v>58</v>
      </c>
      <c r="D922" t="s">
        <v>21</v>
      </c>
      <c r="E922" s="1">
        <v>45938</v>
      </c>
      <c r="F922" s="1">
        <v>45941</v>
      </c>
      <c r="G922" t="s">
        <v>68</v>
      </c>
      <c r="H922" t="s">
        <v>50</v>
      </c>
      <c r="I922" t="s">
        <v>117</v>
      </c>
      <c r="J922">
        <v>51</v>
      </c>
      <c r="K922" t="s">
        <v>38</v>
      </c>
      <c r="L922" t="s">
        <v>32</v>
      </c>
      <c r="M922" t="s">
        <v>27</v>
      </c>
      <c r="N922">
        <v>2.1</v>
      </c>
      <c r="O922" s="3">
        <v>6763.12</v>
      </c>
      <c r="P922">
        <v>0</v>
      </c>
      <c r="Q922">
        <v>4.2</v>
      </c>
      <c r="R922">
        <v>0.81</v>
      </c>
      <c r="S922" t="str">
        <f t="shared" si="14"/>
        <v>October</v>
      </c>
    </row>
    <row r="923" spans="1:19" x14ac:dyDescent="0.2">
      <c r="A923" t="s">
        <v>1901</v>
      </c>
      <c r="B923" t="s">
        <v>1902</v>
      </c>
      <c r="C923" t="s">
        <v>62</v>
      </c>
      <c r="D923" t="s">
        <v>49</v>
      </c>
      <c r="E923" s="1">
        <v>46005</v>
      </c>
      <c r="F923" s="1">
        <v>46007</v>
      </c>
      <c r="G923" t="s">
        <v>50</v>
      </c>
      <c r="H923" t="s">
        <v>50</v>
      </c>
      <c r="I923" t="s">
        <v>37</v>
      </c>
      <c r="J923">
        <v>19</v>
      </c>
      <c r="K923" t="s">
        <v>78</v>
      </c>
      <c r="L923" t="s">
        <v>32</v>
      </c>
      <c r="M923" t="s">
        <v>27</v>
      </c>
      <c r="N923">
        <v>1.1000000000000001</v>
      </c>
      <c r="O923" s="3">
        <v>6763.12</v>
      </c>
      <c r="P923">
        <v>0</v>
      </c>
      <c r="Q923">
        <v>3.4</v>
      </c>
      <c r="R923">
        <v>0.9</v>
      </c>
      <c r="S923" t="str">
        <f t="shared" si="14"/>
        <v>December</v>
      </c>
    </row>
    <row r="924" spans="1:19" x14ac:dyDescent="0.2">
      <c r="A924" t="s">
        <v>1903</v>
      </c>
      <c r="B924" t="s">
        <v>1904</v>
      </c>
      <c r="C924" t="s">
        <v>20</v>
      </c>
      <c r="D924" t="s">
        <v>49</v>
      </c>
      <c r="E924" s="1">
        <v>45870</v>
      </c>
      <c r="F924" s="1">
        <v>45871</v>
      </c>
      <c r="G924" t="s">
        <v>68</v>
      </c>
      <c r="H924" t="s">
        <v>23</v>
      </c>
      <c r="I924" t="s">
        <v>37</v>
      </c>
      <c r="J924">
        <v>71</v>
      </c>
      <c r="K924" t="s">
        <v>169</v>
      </c>
      <c r="L924" t="s">
        <v>26</v>
      </c>
      <c r="M924" t="s">
        <v>82</v>
      </c>
      <c r="N924">
        <v>0.5</v>
      </c>
      <c r="O924" s="3">
        <v>6763.12</v>
      </c>
      <c r="P924">
        <v>0</v>
      </c>
      <c r="Q924">
        <v>4.8</v>
      </c>
      <c r="R924">
        <v>0.81</v>
      </c>
      <c r="S924" t="str">
        <f t="shared" si="14"/>
        <v>August</v>
      </c>
    </row>
    <row r="925" spans="1:19" x14ac:dyDescent="0.2">
      <c r="A925" t="s">
        <v>1905</v>
      </c>
      <c r="B925" t="s">
        <v>1906</v>
      </c>
      <c r="C925" t="s">
        <v>20</v>
      </c>
      <c r="D925" t="s">
        <v>35</v>
      </c>
      <c r="E925" s="1">
        <v>45880</v>
      </c>
      <c r="F925" s="1">
        <v>45883</v>
      </c>
      <c r="G925" t="s">
        <v>99</v>
      </c>
      <c r="H925" t="s">
        <v>23</v>
      </c>
      <c r="I925" t="s">
        <v>81</v>
      </c>
      <c r="J925">
        <v>35</v>
      </c>
      <c r="K925" t="s">
        <v>25</v>
      </c>
      <c r="L925" t="s">
        <v>32</v>
      </c>
      <c r="M925" t="s">
        <v>82</v>
      </c>
      <c r="N925">
        <v>3</v>
      </c>
      <c r="O925" s="3">
        <v>6763.12</v>
      </c>
      <c r="P925">
        <v>0</v>
      </c>
      <c r="Q925">
        <v>3</v>
      </c>
      <c r="R925">
        <v>0.78</v>
      </c>
      <c r="S925" t="str">
        <f t="shared" si="14"/>
        <v>August</v>
      </c>
    </row>
    <row r="926" spans="1:19" x14ac:dyDescent="0.2">
      <c r="A926" t="s">
        <v>1907</v>
      </c>
      <c r="B926" t="s">
        <v>1908</v>
      </c>
      <c r="C926" t="s">
        <v>122</v>
      </c>
      <c r="D926" t="s">
        <v>42</v>
      </c>
      <c r="E926" s="1">
        <v>45930</v>
      </c>
      <c r="F926" s="1">
        <v>45933</v>
      </c>
      <c r="G926" t="s">
        <v>71</v>
      </c>
      <c r="H926" t="s">
        <v>23</v>
      </c>
      <c r="I926" t="s">
        <v>51</v>
      </c>
      <c r="J926">
        <v>88</v>
      </c>
      <c r="K926" t="s">
        <v>65</v>
      </c>
      <c r="L926" t="s">
        <v>32</v>
      </c>
      <c r="M926" t="s">
        <v>82</v>
      </c>
      <c r="N926">
        <v>3</v>
      </c>
      <c r="O926" s="3">
        <v>6763.12</v>
      </c>
      <c r="P926">
        <v>0</v>
      </c>
      <c r="Q926">
        <v>4.9000000000000004</v>
      </c>
      <c r="R926">
        <v>0.83</v>
      </c>
      <c r="S926" t="str">
        <f t="shared" si="14"/>
        <v>September</v>
      </c>
    </row>
    <row r="927" spans="1:19" x14ac:dyDescent="0.2">
      <c r="A927" t="s">
        <v>1909</v>
      </c>
      <c r="B927" t="s">
        <v>1449</v>
      </c>
      <c r="C927" t="s">
        <v>30</v>
      </c>
      <c r="D927" t="s">
        <v>21</v>
      </c>
      <c r="E927" s="1">
        <v>45751</v>
      </c>
      <c r="F927" s="1">
        <v>45772</v>
      </c>
      <c r="G927" t="s">
        <v>71</v>
      </c>
      <c r="H927" t="s">
        <v>23</v>
      </c>
      <c r="I927" t="s">
        <v>81</v>
      </c>
      <c r="J927">
        <v>77</v>
      </c>
      <c r="K927" t="s">
        <v>65</v>
      </c>
      <c r="L927" t="s">
        <v>26</v>
      </c>
      <c r="M927" t="s">
        <v>39</v>
      </c>
      <c r="N927">
        <v>21</v>
      </c>
      <c r="O927" s="3">
        <v>6763.12</v>
      </c>
      <c r="P927">
        <v>0</v>
      </c>
      <c r="Q927">
        <v>3.9</v>
      </c>
      <c r="R927">
        <v>0.74</v>
      </c>
      <c r="S927" t="str">
        <f t="shared" si="14"/>
        <v>April</v>
      </c>
    </row>
    <row r="928" spans="1:19" x14ac:dyDescent="0.2">
      <c r="A928" t="s">
        <v>1910</v>
      </c>
      <c r="B928" t="s">
        <v>1911</v>
      </c>
      <c r="C928" t="s">
        <v>122</v>
      </c>
      <c r="D928" t="s">
        <v>21</v>
      </c>
      <c r="E928" s="1">
        <v>45770</v>
      </c>
      <c r="F928" s="1">
        <v>45773</v>
      </c>
      <c r="G928" t="s">
        <v>68</v>
      </c>
      <c r="H928" t="s">
        <v>50</v>
      </c>
      <c r="I928" t="s">
        <v>55</v>
      </c>
      <c r="J928">
        <v>36</v>
      </c>
      <c r="K928" t="s">
        <v>25</v>
      </c>
      <c r="L928" t="s">
        <v>26</v>
      </c>
      <c r="M928" t="s">
        <v>82</v>
      </c>
      <c r="N928">
        <v>2.6</v>
      </c>
      <c r="O928" s="3">
        <v>6763.12</v>
      </c>
      <c r="P928">
        <v>0</v>
      </c>
      <c r="Q928">
        <v>2.7</v>
      </c>
      <c r="R928">
        <v>0.8</v>
      </c>
      <c r="S928" t="str">
        <f t="shared" si="14"/>
        <v>April</v>
      </c>
    </row>
    <row r="929" spans="1:19" x14ac:dyDescent="0.2">
      <c r="A929" t="s">
        <v>1912</v>
      </c>
      <c r="B929" t="s">
        <v>1913</v>
      </c>
      <c r="C929" t="s">
        <v>62</v>
      </c>
      <c r="D929" t="s">
        <v>49</v>
      </c>
      <c r="E929" s="1">
        <v>45886</v>
      </c>
      <c r="F929" s="1">
        <v>45893</v>
      </c>
      <c r="G929" t="s">
        <v>68</v>
      </c>
      <c r="H929" t="s">
        <v>23</v>
      </c>
      <c r="I929" t="s">
        <v>100</v>
      </c>
      <c r="J929">
        <v>54</v>
      </c>
      <c r="K929" t="s">
        <v>38</v>
      </c>
      <c r="L929" t="s">
        <v>32</v>
      </c>
      <c r="M929" t="s">
        <v>39</v>
      </c>
      <c r="N929">
        <v>6.7</v>
      </c>
      <c r="O929" s="3">
        <v>6763.12</v>
      </c>
      <c r="P929">
        <v>0</v>
      </c>
      <c r="Q929">
        <v>4.9000000000000004</v>
      </c>
      <c r="R929">
        <v>0.87</v>
      </c>
      <c r="S929" t="str">
        <f t="shared" si="14"/>
        <v>August</v>
      </c>
    </row>
    <row r="930" spans="1:19" x14ac:dyDescent="0.2">
      <c r="A930" t="s">
        <v>1914</v>
      </c>
      <c r="B930" t="s">
        <v>1915</v>
      </c>
      <c r="C930" t="s">
        <v>122</v>
      </c>
      <c r="D930" t="s">
        <v>49</v>
      </c>
      <c r="E930" s="1">
        <v>45681</v>
      </c>
      <c r="F930" s="1">
        <v>45683</v>
      </c>
      <c r="G930" t="s">
        <v>50</v>
      </c>
      <c r="H930" t="s">
        <v>50</v>
      </c>
      <c r="I930" t="s">
        <v>81</v>
      </c>
      <c r="J930">
        <v>2</v>
      </c>
      <c r="K930" t="s">
        <v>103</v>
      </c>
      <c r="L930" t="s">
        <v>26</v>
      </c>
      <c r="M930" t="s">
        <v>27</v>
      </c>
      <c r="N930">
        <v>1.4</v>
      </c>
      <c r="O930" s="3">
        <v>6763.12</v>
      </c>
      <c r="P930">
        <v>0</v>
      </c>
      <c r="Q930">
        <v>4.3</v>
      </c>
      <c r="R930">
        <v>0.75</v>
      </c>
      <c r="S930" t="str">
        <f t="shared" si="14"/>
        <v>January</v>
      </c>
    </row>
    <row r="931" spans="1:19" x14ac:dyDescent="0.2">
      <c r="A931" t="s">
        <v>1916</v>
      </c>
      <c r="B931" t="s">
        <v>1917</v>
      </c>
      <c r="C931" t="s">
        <v>62</v>
      </c>
      <c r="D931" t="s">
        <v>21</v>
      </c>
      <c r="E931" s="1">
        <v>45774</v>
      </c>
      <c r="F931" s="1">
        <v>45775</v>
      </c>
      <c r="G931" t="s">
        <v>50</v>
      </c>
      <c r="H931" t="s">
        <v>50</v>
      </c>
      <c r="I931" t="s">
        <v>100</v>
      </c>
      <c r="J931">
        <v>6</v>
      </c>
      <c r="K931" t="s">
        <v>103</v>
      </c>
      <c r="L931" t="s">
        <v>32</v>
      </c>
      <c r="M931" t="s">
        <v>39</v>
      </c>
      <c r="N931">
        <v>0.9</v>
      </c>
      <c r="O931" s="3">
        <v>6763.12</v>
      </c>
      <c r="P931">
        <v>0</v>
      </c>
      <c r="Q931">
        <v>3.4</v>
      </c>
      <c r="R931">
        <v>0.88</v>
      </c>
      <c r="S931" t="str">
        <f t="shared" si="14"/>
        <v>April</v>
      </c>
    </row>
    <row r="932" spans="1:19" x14ac:dyDescent="0.2">
      <c r="A932" t="s">
        <v>1918</v>
      </c>
      <c r="B932" t="s">
        <v>1919</v>
      </c>
      <c r="C932" t="s">
        <v>122</v>
      </c>
      <c r="D932" t="s">
        <v>49</v>
      </c>
      <c r="E932" s="1">
        <v>45920</v>
      </c>
      <c r="F932" s="1">
        <v>45928</v>
      </c>
      <c r="G932" t="s">
        <v>99</v>
      </c>
      <c r="H932" t="s">
        <v>44</v>
      </c>
      <c r="I932" t="s">
        <v>100</v>
      </c>
      <c r="J932">
        <v>46</v>
      </c>
      <c r="K932" t="s">
        <v>25</v>
      </c>
      <c r="L932" t="s">
        <v>32</v>
      </c>
      <c r="M932" t="s">
        <v>82</v>
      </c>
      <c r="N932">
        <v>7.7</v>
      </c>
      <c r="O932" s="3">
        <v>6763.12</v>
      </c>
      <c r="P932">
        <v>0</v>
      </c>
      <c r="Q932">
        <v>3.1</v>
      </c>
      <c r="R932">
        <v>0.78</v>
      </c>
      <c r="S932" t="str">
        <f t="shared" si="14"/>
        <v>September</v>
      </c>
    </row>
    <row r="933" spans="1:19" x14ac:dyDescent="0.2">
      <c r="A933" t="s">
        <v>1920</v>
      </c>
      <c r="B933" t="s">
        <v>1921</v>
      </c>
      <c r="C933" t="s">
        <v>58</v>
      </c>
      <c r="D933" t="s">
        <v>42</v>
      </c>
      <c r="E933" s="1">
        <v>46014</v>
      </c>
      <c r="F933" s="1">
        <v>46015</v>
      </c>
      <c r="G933" t="s">
        <v>43</v>
      </c>
      <c r="H933" t="s">
        <v>50</v>
      </c>
      <c r="I933" t="s">
        <v>81</v>
      </c>
      <c r="J933">
        <v>43</v>
      </c>
      <c r="K933" t="s">
        <v>25</v>
      </c>
      <c r="L933" t="s">
        <v>26</v>
      </c>
      <c r="M933" t="s">
        <v>27</v>
      </c>
      <c r="N933">
        <v>1</v>
      </c>
      <c r="O933" s="3">
        <v>6763.12</v>
      </c>
      <c r="P933">
        <v>0</v>
      </c>
      <c r="Q933">
        <v>3</v>
      </c>
      <c r="R933">
        <v>0.73</v>
      </c>
      <c r="S933" t="str">
        <f t="shared" si="14"/>
        <v>December</v>
      </c>
    </row>
    <row r="934" spans="1:19" x14ac:dyDescent="0.2">
      <c r="A934" t="s">
        <v>1922</v>
      </c>
      <c r="B934" t="s">
        <v>1923</v>
      </c>
      <c r="C934" t="s">
        <v>20</v>
      </c>
      <c r="D934" t="s">
        <v>42</v>
      </c>
      <c r="E934" s="1">
        <v>45847</v>
      </c>
      <c r="F934" s="1">
        <v>45849</v>
      </c>
      <c r="G934" t="s">
        <v>116</v>
      </c>
      <c r="H934" t="s">
        <v>50</v>
      </c>
      <c r="I934" t="s">
        <v>55</v>
      </c>
      <c r="J934">
        <v>36</v>
      </c>
      <c r="K934" t="s">
        <v>25</v>
      </c>
      <c r="L934" t="s">
        <v>32</v>
      </c>
      <c r="M934" t="s">
        <v>39</v>
      </c>
      <c r="N934">
        <v>1.5</v>
      </c>
      <c r="O934" s="3">
        <v>6763.12</v>
      </c>
      <c r="P934">
        <v>0</v>
      </c>
      <c r="Q934">
        <v>5</v>
      </c>
      <c r="R934">
        <v>0.84</v>
      </c>
      <c r="S934" t="str">
        <f t="shared" si="14"/>
        <v>July</v>
      </c>
    </row>
    <row r="935" spans="1:19" x14ac:dyDescent="0.2">
      <c r="A935" t="s">
        <v>1924</v>
      </c>
      <c r="B935" t="s">
        <v>1925</v>
      </c>
      <c r="C935" t="s">
        <v>58</v>
      </c>
      <c r="D935" t="s">
        <v>42</v>
      </c>
      <c r="E935" s="1">
        <v>45803</v>
      </c>
      <c r="F935" s="1">
        <v>45808</v>
      </c>
      <c r="G935" t="s">
        <v>116</v>
      </c>
      <c r="H935" t="s">
        <v>50</v>
      </c>
      <c r="I935" t="s">
        <v>81</v>
      </c>
      <c r="J935">
        <v>8</v>
      </c>
      <c r="K935" t="s">
        <v>103</v>
      </c>
      <c r="L935" t="s">
        <v>32</v>
      </c>
      <c r="M935" t="s">
        <v>39</v>
      </c>
      <c r="N935">
        <v>4.0999999999999996</v>
      </c>
      <c r="O935" s="3">
        <v>6763.12</v>
      </c>
      <c r="P935">
        <v>0</v>
      </c>
      <c r="Q935">
        <v>3.3</v>
      </c>
      <c r="R935">
        <v>0.71</v>
      </c>
      <c r="S935" t="str">
        <f t="shared" si="14"/>
        <v>May</v>
      </c>
    </row>
    <row r="936" spans="1:19" x14ac:dyDescent="0.2">
      <c r="A936" t="s">
        <v>1926</v>
      </c>
      <c r="B936" t="s">
        <v>1927</v>
      </c>
      <c r="C936" t="s">
        <v>58</v>
      </c>
      <c r="D936" t="s">
        <v>35</v>
      </c>
      <c r="E936" s="1">
        <v>45818</v>
      </c>
      <c r="F936" s="1">
        <v>45819</v>
      </c>
      <c r="G936" t="s">
        <v>63</v>
      </c>
      <c r="H936" t="s">
        <v>50</v>
      </c>
      <c r="I936" t="s">
        <v>31</v>
      </c>
      <c r="J936">
        <v>76</v>
      </c>
      <c r="K936" t="s">
        <v>65</v>
      </c>
      <c r="L936" t="s">
        <v>26</v>
      </c>
      <c r="M936" t="s">
        <v>39</v>
      </c>
      <c r="N936">
        <v>0.3</v>
      </c>
      <c r="O936" s="3">
        <v>6763.12</v>
      </c>
      <c r="P936">
        <v>0</v>
      </c>
      <c r="Q936">
        <v>3.1</v>
      </c>
      <c r="R936">
        <v>0.78</v>
      </c>
      <c r="S936" t="str">
        <f t="shared" si="14"/>
        <v>June</v>
      </c>
    </row>
    <row r="937" spans="1:19" x14ac:dyDescent="0.2">
      <c r="A937" t="s">
        <v>1928</v>
      </c>
      <c r="B937" t="s">
        <v>1929</v>
      </c>
      <c r="C937" t="s">
        <v>58</v>
      </c>
      <c r="D937" t="s">
        <v>21</v>
      </c>
      <c r="E937" s="1">
        <v>45908</v>
      </c>
      <c r="F937" s="1">
        <v>45910</v>
      </c>
      <c r="G937" t="s">
        <v>22</v>
      </c>
      <c r="H937" t="s">
        <v>50</v>
      </c>
      <c r="I937" t="s">
        <v>81</v>
      </c>
      <c r="J937">
        <v>36</v>
      </c>
      <c r="K937" t="s">
        <v>25</v>
      </c>
      <c r="L937" t="s">
        <v>32</v>
      </c>
      <c r="M937" t="s">
        <v>27</v>
      </c>
      <c r="N937">
        <v>1.9</v>
      </c>
      <c r="O937" s="3">
        <v>6763.12</v>
      </c>
      <c r="P937">
        <v>0</v>
      </c>
      <c r="Q937">
        <v>4.0999999999999996</v>
      </c>
      <c r="R937">
        <v>0.67</v>
      </c>
      <c r="S937" t="str">
        <f t="shared" si="14"/>
        <v>September</v>
      </c>
    </row>
    <row r="938" spans="1:19" x14ac:dyDescent="0.2">
      <c r="A938" t="s">
        <v>1930</v>
      </c>
      <c r="B938" t="s">
        <v>1931</v>
      </c>
      <c r="C938" t="s">
        <v>62</v>
      </c>
      <c r="D938" t="s">
        <v>49</v>
      </c>
      <c r="E938" s="1">
        <v>45856</v>
      </c>
      <c r="F938" s="1">
        <v>45859</v>
      </c>
      <c r="G938" t="s">
        <v>68</v>
      </c>
      <c r="H938" t="s">
        <v>50</v>
      </c>
      <c r="I938" t="s">
        <v>64</v>
      </c>
      <c r="J938">
        <v>42</v>
      </c>
      <c r="K938" t="s">
        <v>25</v>
      </c>
      <c r="L938" t="s">
        <v>32</v>
      </c>
      <c r="M938" t="s">
        <v>39</v>
      </c>
      <c r="N938">
        <v>2.5</v>
      </c>
      <c r="O938" s="3">
        <v>6763.12</v>
      </c>
      <c r="P938">
        <v>0</v>
      </c>
      <c r="Q938">
        <v>2.9</v>
      </c>
      <c r="R938">
        <v>0.85</v>
      </c>
      <c r="S938" t="str">
        <f t="shared" si="14"/>
        <v>July</v>
      </c>
    </row>
    <row r="939" spans="1:19" x14ac:dyDescent="0.2">
      <c r="A939" t="s">
        <v>1932</v>
      </c>
      <c r="B939" t="s">
        <v>1933</v>
      </c>
      <c r="C939" t="s">
        <v>20</v>
      </c>
      <c r="D939" t="s">
        <v>35</v>
      </c>
      <c r="E939" s="1">
        <v>45666</v>
      </c>
      <c r="F939" s="1">
        <v>45670</v>
      </c>
      <c r="G939" t="s">
        <v>43</v>
      </c>
      <c r="H939" t="s">
        <v>44</v>
      </c>
      <c r="I939" t="s">
        <v>55</v>
      </c>
      <c r="J939">
        <v>36</v>
      </c>
      <c r="K939" t="s">
        <v>25</v>
      </c>
      <c r="L939" t="s">
        <v>32</v>
      </c>
      <c r="M939" t="s">
        <v>82</v>
      </c>
      <c r="N939">
        <v>3.3</v>
      </c>
      <c r="O939" s="3">
        <v>6763.12</v>
      </c>
      <c r="P939">
        <v>0</v>
      </c>
      <c r="Q939">
        <v>3.3</v>
      </c>
      <c r="R939">
        <v>0.8</v>
      </c>
      <c r="S939" t="str">
        <f t="shared" si="14"/>
        <v>January</v>
      </c>
    </row>
    <row r="940" spans="1:19" x14ac:dyDescent="0.2">
      <c r="A940" t="s">
        <v>1934</v>
      </c>
      <c r="B940" t="s">
        <v>1935</v>
      </c>
      <c r="C940" t="s">
        <v>30</v>
      </c>
      <c r="D940" t="s">
        <v>49</v>
      </c>
      <c r="E940" s="1">
        <v>45854</v>
      </c>
      <c r="F940" s="1">
        <v>45857</v>
      </c>
      <c r="G940" t="s">
        <v>43</v>
      </c>
      <c r="H940" t="s">
        <v>50</v>
      </c>
      <c r="I940" t="s">
        <v>81</v>
      </c>
      <c r="J940">
        <v>45</v>
      </c>
      <c r="K940" t="s">
        <v>25</v>
      </c>
      <c r="L940" t="s">
        <v>26</v>
      </c>
      <c r="M940" t="s">
        <v>27</v>
      </c>
      <c r="N940">
        <v>2.4</v>
      </c>
      <c r="O940" s="3">
        <v>6763.12</v>
      </c>
      <c r="P940">
        <v>0</v>
      </c>
      <c r="Q940">
        <v>4.5</v>
      </c>
      <c r="R940">
        <v>0.8</v>
      </c>
      <c r="S940" t="str">
        <f t="shared" si="14"/>
        <v>July</v>
      </c>
    </row>
    <row r="941" spans="1:19" x14ac:dyDescent="0.2">
      <c r="A941" t="s">
        <v>1936</v>
      </c>
      <c r="B941" t="s">
        <v>1937</v>
      </c>
      <c r="C941" t="s">
        <v>122</v>
      </c>
      <c r="D941" t="s">
        <v>21</v>
      </c>
      <c r="E941" s="1">
        <v>45804</v>
      </c>
      <c r="F941" s="1">
        <v>45811</v>
      </c>
      <c r="G941" t="s">
        <v>36</v>
      </c>
      <c r="H941" t="s">
        <v>50</v>
      </c>
      <c r="I941" t="s">
        <v>24</v>
      </c>
      <c r="J941">
        <v>59</v>
      </c>
      <c r="K941" t="s">
        <v>38</v>
      </c>
      <c r="L941" t="s">
        <v>26</v>
      </c>
      <c r="M941" t="s">
        <v>27</v>
      </c>
      <c r="N941">
        <v>6.1</v>
      </c>
      <c r="O941" s="3">
        <v>6763.12</v>
      </c>
      <c r="P941">
        <v>1</v>
      </c>
      <c r="Q941">
        <v>4.2</v>
      </c>
      <c r="R941">
        <v>0.8</v>
      </c>
      <c r="S941" t="str">
        <f t="shared" si="14"/>
        <v>May</v>
      </c>
    </row>
    <row r="942" spans="1:19" x14ac:dyDescent="0.2">
      <c r="A942" t="s">
        <v>1938</v>
      </c>
      <c r="B942" t="s">
        <v>1939</v>
      </c>
      <c r="C942" t="s">
        <v>58</v>
      </c>
      <c r="D942" t="s">
        <v>35</v>
      </c>
      <c r="E942" s="1">
        <v>45913</v>
      </c>
      <c r="F942" s="1">
        <v>45915</v>
      </c>
      <c r="G942" t="s">
        <v>36</v>
      </c>
      <c r="H942" t="s">
        <v>50</v>
      </c>
      <c r="I942" t="s">
        <v>55</v>
      </c>
      <c r="J942">
        <v>69</v>
      </c>
      <c r="K942" t="s">
        <v>169</v>
      </c>
      <c r="L942" t="s">
        <v>26</v>
      </c>
      <c r="M942" t="s">
        <v>27</v>
      </c>
      <c r="N942">
        <v>1.7</v>
      </c>
      <c r="O942" s="3">
        <v>6763.12</v>
      </c>
      <c r="P942">
        <v>1</v>
      </c>
      <c r="Q942">
        <v>3.7</v>
      </c>
      <c r="R942">
        <v>0.75</v>
      </c>
      <c r="S942" t="str">
        <f t="shared" si="14"/>
        <v>September</v>
      </c>
    </row>
    <row r="943" spans="1:19" x14ac:dyDescent="0.2">
      <c r="A943" t="s">
        <v>1940</v>
      </c>
      <c r="B943" t="s">
        <v>1941</v>
      </c>
      <c r="C943" t="s">
        <v>20</v>
      </c>
      <c r="D943" t="s">
        <v>35</v>
      </c>
      <c r="E943" s="1">
        <v>45977</v>
      </c>
      <c r="F943" s="1">
        <v>45985</v>
      </c>
      <c r="G943" t="s">
        <v>71</v>
      </c>
      <c r="H943" t="s">
        <v>23</v>
      </c>
      <c r="I943" t="s">
        <v>55</v>
      </c>
      <c r="J943">
        <v>50</v>
      </c>
      <c r="K943" t="s">
        <v>38</v>
      </c>
      <c r="L943" t="s">
        <v>32</v>
      </c>
      <c r="M943" t="s">
        <v>27</v>
      </c>
      <c r="N943">
        <v>7.9</v>
      </c>
      <c r="O943" s="3">
        <v>6763.12</v>
      </c>
      <c r="P943">
        <v>0</v>
      </c>
      <c r="Q943">
        <v>3.7</v>
      </c>
      <c r="R943">
        <v>0.84</v>
      </c>
      <c r="S943" t="str">
        <f t="shared" si="14"/>
        <v>November</v>
      </c>
    </row>
    <row r="944" spans="1:19" x14ac:dyDescent="0.2">
      <c r="A944" t="s">
        <v>1942</v>
      </c>
      <c r="B944" t="s">
        <v>1943</v>
      </c>
      <c r="C944" t="s">
        <v>20</v>
      </c>
      <c r="D944" t="s">
        <v>35</v>
      </c>
      <c r="E944" s="1">
        <v>46009</v>
      </c>
      <c r="F944" s="1">
        <v>46011</v>
      </c>
      <c r="G944" t="s">
        <v>43</v>
      </c>
      <c r="H944" t="s">
        <v>50</v>
      </c>
      <c r="I944" t="s">
        <v>117</v>
      </c>
      <c r="J944">
        <v>15</v>
      </c>
      <c r="K944" t="s">
        <v>46</v>
      </c>
      <c r="L944" t="s">
        <v>26</v>
      </c>
      <c r="M944" t="s">
        <v>52</v>
      </c>
      <c r="N944">
        <v>1.1000000000000001</v>
      </c>
      <c r="O944" s="3">
        <v>6763.12</v>
      </c>
      <c r="P944">
        <v>0</v>
      </c>
      <c r="Q944">
        <v>3.6</v>
      </c>
      <c r="R944">
        <v>0.82</v>
      </c>
      <c r="S944" t="str">
        <f t="shared" si="14"/>
        <v>December</v>
      </c>
    </row>
    <row r="945" spans="1:19" x14ac:dyDescent="0.2">
      <c r="A945" t="s">
        <v>1944</v>
      </c>
      <c r="B945" t="s">
        <v>1945</v>
      </c>
      <c r="C945" t="s">
        <v>20</v>
      </c>
      <c r="D945" t="s">
        <v>21</v>
      </c>
      <c r="E945" s="1">
        <v>45880</v>
      </c>
      <c r="F945" s="1">
        <v>45885</v>
      </c>
      <c r="G945" t="s">
        <v>36</v>
      </c>
      <c r="H945" t="s">
        <v>50</v>
      </c>
      <c r="I945" t="s">
        <v>81</v>
      </c>
      <c r="J945">
        <v>79</v>
      </c>
      <c r="K945" t="s">
        <v>65</v>
      </c>
      <c r="L945" t="s">
        <v>26</v>
      </c>
      <c r="M945" t="s">
        <v>39</v>
      </c>
      <c r="N945">
        <v>4.3</v>
      </c>
      <c r="O945" s="3">
        <v>6763.12</v>
      </c>
      <c r="P945">
        <v>0</v>
      </c>
      <c r="Q945">
        <v>3.9</v>
      </c>
      <c r="R945">
        <v>0.82</v>
      </c>
      <c r="S945" t="str">
        <f t="shared" si="14"/>
        <v>August</v>
      </c>
    </row>
    <row r="946" spans="1:19" x14ac:dyDescent="0.2">
      <c r="A946" t="s">
        <v>1946</v>
      </c>
      <c r="B946" t="s">
        <v>1471</v>
      </c>
      <c r="C946" t="s">
        <v>122</v>
      </c>
      <c r="D946" t="s">
        <v>49</v>
      </c>
      <c r="E946" s="1">
        <v>45790</v>
      </c>
      <c r="F946" s="1">
        <v>45797</v>
      </c>
      <c r="G946" t="s">
        <v>68</v>
      </c>
      <c r="H946" t="s">
        <v>50</v>
      </c>
      <c r="I946" t="s">
        <v>55</v>
      </c>
      <c r="J946">
        <v>25</v>
      </c>
      <c r="K946" t="s">
        <v>78</v>
      </c>
      <c r="L946" t="s">
        <v>32</v>
      </c>
      <c r="M946" t="s">
        <v>27</v>
      </c>
      <c r="N946">
        <v>6.1</v>
      </c>
      <c r="O946" s="3">
        <v>6763.12</v>
      </c>
      <c r="P946">
        <v>0</v>
      </c>
      <c r="Q946">
        <v>3.4</v>
      </c>
      <c r="R946">
        <v>0.79</v>
      </c>
      <c r="S946" t="str">
        <f t="shared" si="14"/>
        <v>May</v>
      </c>
    </row>
    <row r="947" spans="1:19" x14ac:dyDescent="0.2">
      <c r="A947" t="s">
        <v>1947</v>
      </c>
      <c r="B947" t="s">
        <v>1948</v>
      </c>
      <c r="C947" t="s">
        <v>58</v>
      </c>
      <c r="D947" t="s">
        <v>49</v>
      </c>
      <c r="E947" s="1">
        <v>45820</v>
      </c>
      <c r="F947" s="1">
        <v>45821</v>
      </c>
      <c r="G947" t="s">
        <v>116</v>
      </c>
      <c r="H947" t="s">
        <v>23</v>
      </c>
      <c r="I947" t="s">
        <v>37</v>
      </c>
      <c r="J947">
        <v>1</v>
      </c>
      <c r="K947" t="s">
        <v>103</v>
      </c>
      <c r="L947" t="s">
        <v>32</v>
      </c>
      <c r="M947" t="s">
        <v>27</v>
      </c>
      <c r="N947">
        <v>0.9</v>
      </c>
      <c r="O947" s="3">
        <v>6763.12</v>
      </c>
      <c r="P947">
        <v>0</v>
      </c>
      <c r="Q947">
        <v>3.6</v>
      </c>
      <c r="R947">
        <v>0.73</v>
      </c>
      <c r="S947" t="str">
        <f t="shared" si="14"/>
        <v>June</v>
      </c>
    </row>
    <row r="948" spans="1:19" x14ac:dyDescent="0.2">
      <c r="A948" t="s">
        <v>1949</v>
      </c>
      <c r="B948" t="s">
        <v>1950</v>
      </c>
      <c r="C948" t="s">
        <v>58</v>
      </c>
      <c r="D948" t="s">
        <v>35</v>
      </c>
      <c r="E948" s="1">
        <v>45722</v>
      </c>
      <c r="F948" s="1">
        <v>45723</v>
      </c>
      <c r="G948" t="s">
        <v>50</v>
      </c>
      <c r="H948" t="s">
        <v>23</v>
      </c>
      <c r="I948" t="s">
        <v>31</v>
      </c>
      <c r="J948">
        <v>3</v>
      </c>
      <c r="K948" t="s">
        <v>103</v>
      </c>
      <c r="L948" t="s">
        <v>26</v>
      </c>
      <c r="M948" t="s">
        <v>52</v>
      </c>
      <c r="N948">
        <v>0.5</v>
      </c>
      <c r="O948" s="3">
        <v>6763.12</v>
      </c>
      <c r="P948">
        <v>1</v>
      </c>
      <c r="Q948">
        <v>3.3</v>
      </c>
      <c r="R948">
        <v>0.74</v>
      </c>
      <c r="S948" t="str">
        <f t="shared" si="14"/>
        <v>March</v>
      </c>
    </row>
    <row r="949" spans="1:19" x14ac:dyDescent="0.2">
      <c r="A949" t="s">
        <v>1951</v>
      </c>
      <c r="B949" t="s">
        <v>1952</v>
      </c>
      <c r="C949" t="s">
        <v>58</v>
      </c>
      <c r="D949" t="s">
        <v>35</v>
      </c>
      <c r="E949" s="1">
        <v>45999</v>
      </c>
      <c r="F949" s="1">
        <v>46004</v>
      </c>
      <c r="G949" t="s">
        <v>116</v>
      </c>
      <c r="H949" t="s">
        <v>23</v>
      </c>
      <c r="I949" t="s">
        <v>81</v>
      </c>
      <c r="J949">
        <v>70</v>
      </c>
      <c r="K949" t="s">
        <v>169</v>
      </c>
      <c r="L949" t="s">
        <v>32</v>
      </c>
      <c r="M949" t="s">
        <v>27</v>
      </c>
      <c r="N949">
        <v>4.0999999999999996</v>
      </c>
      <c r="O949" s="3">
        <v>6763.12</v>
      </c>
      <c r="P949">
        <v>0</v>
      </c>
      <c r="Q949">
        <v>3.5</v>
      </c>
      <c r="R949">
        <v>0.76</v>
      </c>
      <c r="S949" t="str">
        <f t="shared" si="14"/>
        <v>December</v>
      </c>
    </row>
    <row r="950" spans="1:19" x14ac:dyDescent="0.2">
      <c r="A950" t="s">
        <v>1953</v>
      </c>
      <c r="B950" t="s">
        <v>1954</v>
      </c>
      <c r="C950" t="s">
        <v>58</v>
      </c>
      <c r="D950" t="s">
        <v>42</v>
      </c>
      <c r="E950" s="1">
        <v>45967</v>
      </c>
      <c r="F950" s="1">
        <v>45970</v>
      </c>
      <c r="G950" t="s">
        <v>43</v>
      </c>
      <c r="H950" t="s">
        <v>23</v>
      </c>
      <c r="I950" t="s">
        <v>81</v>
      </c>
      <c r="J950">
        <v>35</v>
      </c>
      <c r="K950" t="s">
        <v>25</v>
      </c>
      <c r="L950" t="s">
        <v>26</v>
      </c>
      <c r="M950" t="s">
        <v>82</v>
      </c>
      <c r="N950">
        <v>3</v>
      </c>
      <c r="O950" s="3">
        <v>6763.12</v>
      </c>
      <c r="P950">
        <v>1</v>
      </c>
      <c r="Q950">
        <v>4.5</v>
      </c>
      <c r="R950">
        <v>0.74</v>
      </c>
      <c r="S950" t="str">
        <f t="shared" si="14"/>
        <v>November</v>
      </c>
    </row>
    <row r="951" spans="1:19" x14ac:dyDescent="0.2">
      <c r="A951" t="s">
        <v>1955</v>
      </c>
      <c r="B951" t="s">
        <v>1956</v>
      </c>
      <c r="C951" t="s">
        <v>62</v>
      </c>
      <c r="D951" t="s">
        <v>35</v>
      </c>
      <c r="E951" s="1">
        <v>45969</v>
      </c>
      <c r="F951" s="1">
        <v>45970</v>
      </c>
      <c r="G951" t="s">
        <v>50</v>
      </c>
      <c r="H951" t="s">
        <v>50</v>
      </c>
      <c r="I951" t="s">
        <v>81</v>
      </c>
      <c r="J951">
        <v>2</v>
      </c>
      <c r="K951" t="s">
        <v>103</v>
      </c>
      <c r="L951" t="s">
        <v>26</v>
      </c>
      <c r="M951" t="s">
        <v>27</v>
      </c>
      <c r="N951">
        <v>0.2</v>
      </c>
      <c r="O951" s="3">
        <v>6763.12</v>
      </c>
      <c r="P951">
        <v>1</v>
      </c>
      <c r="Q951">
        <v>4.2</v>
      </c>
      <c r="R951">
        <v>0.88</v>
      </c>
      <c r="S951" t="str">
        <f t="shared" si="14"/>
        <v>November</v>
      </c>
    </row>
    <row r="952" spans="1:19" x14ac:dyDescent="0.2">
      <c r="A952" t="s">
        <v>1957</v>
      </c>
      <c r="B952" t="s">
        <v>1958</v>
      </c>
      <c r="C952" t="s">
        <v>20</v>
      </c>
      <c r="D952" t="s">
        <v>21</v>
      </c>
      <c r="E952" s="1">
        <v>45777</v>
      </c>
      <c r="F952" s="1">
        <v>45784</v>
      </c>
      <c r="G952" t="s">
        <v>59</v>
      </c>
      <c r="H952" t="s">
        <v>50</v>
      </c>
      <c r="I952" t="s">
        <v>37</v>
      </c>
      <c r="J952">
        <v>73</v>
      </c>
      <c r="K952" t="s">
        <v>169</v>
      </c>
      <c r="L952" t="s">
        <v>32</v>
      </c>
      <c r="M952" t="s">
        <v>27</v>
      </c>
      <c r="N952">
        <v>6.7</v>
      </c>
      <c r="O952" s="3">
        <v>6763.12</v>
      </c>
      <c r="P952">
        <v>0</v>
      </c>
      <c r="Q952">
        <v>3.2</v>
      </c>
      <c r="R952">
        <v>0.8</v>
      </c>
      <c r="S952" t="str">
        <f t="shared" si="14"/>
        <v>April</v>
      </c>
    </row>
    <row r="953" spans="1:19" x14ac:dyDescent="0.2">
      <c r="A953" t="s">
        <v>1959</v>
      </c>
      <c r="B953" t="s">
        <v>1960</v>
      </c>
      <c r="C953" t="s">
        <v>62</v>
      </c>
      <c r="D953" t="s">
        <v>49</v>
      </c>
      <c r="E953" s="1">
        <v>45775</v>
      </c>
      <c r="F953" s="1">
        <v>45777</v>
      </c>
      <c r="G953" t="s">
        <v>50</v>
      </c>
      <c r="H953" t="s">
        <v>50</v>
      </c>
      <c r="I953" t="s">
        <v>24</v>
      </c>
      <c r="J953">
        <v>27</v>
      </c>
      <c r="K953" t="s">
        <v>78</v>
      </c>
      <c r="L953" t="s">
        <v>26</v>
      </c>
      <c r="M953" t="s">
        <v>39</v>
      </c>
      <c r="N953">
        <v>1.6</v>
      </c>
      <c r="O953" s="3">
        <v>6763.12</v>
      </c>
      <c r="P953">
        <v>0</v>
      </c>
      <c r="Q953">
        <v>3</v>
      </c>
      <c r="R953">
        <v>0.86</v>
      </c>
      <c r="S953" t="str">
        <f t="shared" si="14"/>
        <v>April</v>
      </c>
    </row>
    <row r="954" spans="1:19" x14ac:dyDescent="0.2">
      <c r="A954" t="s">
        <v>1961</v>
      </c>
      <c r="B954" t="s">
        <v>1962</v>
      </c>
      <c r="C954" t="s">
        <v>30</v>
      </c>
      <c r="D954" t="s">
        <v>49</v>
      </c>
      <c r="E954" s="1">
        <v>45970</v>
      </c>
      <c r="F954" s="1">
        <v>45976</v>
      </c>
      <c r="G954" t="s">
        <v>43</v>
      </c>
      <c r="H954" t="s">
        <v>50</v>
      </c>
      <c r="I954" t="s">
        <v>117</v>
      </c>
      <c r="J954">
        <v>88</v>
      </c>
      <c r="K954" t="s">
        <v>65</v>
      </c>
      <c r="L954" t="s">
        <v>26</v>
      </c>
      <c r="M954" t="s">
        <v>27</v>
      </c>
      <c r="N954">
        <v>6</v>
      </c>
      <c r="O954" s="3">
        <v>6763.12</v>
      </c>
      <c r="P954">
        <v>0</v>
      </c>
      <c r="Q954">
        <v>3.8</v>
      </c>
      <c r="R954">
        <v>0.76</v>
      </c>
      <c r="S954" t="str">
        <f t="shared" si="14"/>
        <v>November</v>
      </c>
    </row>
    <row r="955" spans="1:19" x14ac:dyDescent="0.2">
      <c r="A955" t="s">
        <v>1963</v>
      </c>
      <c r="B955" t="s">
        <v>1964</v>
      </c>
      <c r="C955" t="s">
        <v>58</v>
      </c>
      <c r="D955" t="s">
        <v>42</v>
      </c>
      <c r="E955" s="1">
        <v>45856</v>
      </c>
      <c r="F955" s="1">
        <v>45860</v>
      </c>
      <c r="G955" t="s">
        <v>43</v>
      </c>
      <c r="H955" t="s">
        <v>50</v>
      </c>
      <c r="I955" t="s">
        <v>117</v>
      </c>
      <c r="J955">
        <v>80</v>
      </c>
      <c r="K955" t="s">
        <v>65</v>
      </c>
      <c r="L955" t="s">
        <v>32</v>
      </c>
      <c r="M955" t="s">
        <v>39</v>
      </c>
      <c r="N955">
        <v>3.6</v>
      </c>
      <c r="O955" s="3">
        <v>6763.12</v>
      </c>
      <c r="P955">
        <v>0</v>
      </c>
      <c r="Q955">
        <v>5</v>
      </c>
      <c r="R955">
        <v>0.79</v>
      </c>
      <c r="S955" t="str">
        <f t="shared" si="14"/>
        <v>July</v>
      </c>
    </row>
    <row r="956" spans="1:19" x14ac:dyDescent="0.2">
      <c r="A956" t="s">
        <v>1965</v>
      </c>
      <c r="B956" t="s">
        <v>1966</v>
      </c>
      <c r="C956" t="s">
        <v>58</v>
      </c>
      <c r="D956" t="s">
        <v>49</v>
      </c>
      <c r="E956" s="1">
        <v>45915</v>
      </c>
      <c r="F956" s="1">
        <v>45924</v>
      </c>
      <c r="G956" t="s">
        <v>59</v>
      </c>
      <c r="H956" t="s">
        <v>50</v>
      </c>
      <c r="I956" t="s">
        <v>37</v>
      </c>
      <c r="J956">
        <v>4</v>
      </c>
      <c r="K956" t="s">
        <v>103</v>
      </c>
      <c r="L956" t="s">
        <v>26</v>
      </c>
      <c r="M956" t="s">
        <v>27</v>
      </c>
      <c r="N956">
        <v>8.3000000000000007</v>
      </c>
      <c r="O956" s="3">
        <v>6763.12</v>
      </c>
      <c r="P956">
        <v>0</v>
      </c>
      <c r="Q956">
        <v>3</v>
      </c>
      <c r="R956">
        <v>0.73</v>
      </c>
      <c r="S956" t="str">
        <f t="shared" si="14"/>
        <v>September</v>
      </c>
    </row>
    <row r="957" spans="1:19" x14ac:dyDescent="0.2">
      <c r="A957" t="s">
        <v>1967</v>
      </c>
      <c r="B957" t="s">
        <v>1968</v>
      </c>
      <c r="C957" t="s">
        <v>20</v>
      </c>
      <c r="D957" t="s">
        <v>42</v>
      </c>
      <c r="E957" s="1">
        <v>45836</v>
      </c>
      <c r="F957" s="1">
        <v>45847</v>
      </c>
      <c r="G957" t="s">
        <v>36</v>
      </c>
      <c r="H957" t="s">
        <v>50</v>
      </c>
      <c r="I957" t="s">
        <v>64</v>
      </c>
      <c r="J957">
        <v>62</v>
      </c>
      <c r="K957" t="s">
        <v>38</v>
      </c>
      <c r="L957" t="s">
        <v>32</v>
      </c>
      <c r="M957" t="s">
        <v>82</v>
      </c>
      <c r="N957">
        <v>10.1</v>
      </c>
      <c r="O957" s="3">
        <v>6763.12</v>
      </c>
      <c r="P957">
        <v>0</v>
      </c>
      <c r="Q957">
        <v>3.6</v>
      </c>
      <c r="R957">
        <v>0.76</v>
      </c>
      <c r="S957" t="str">
        <f t="shared" si="14"/>
        <v>June</v>
      </c>
    </row>
    <row r="958" spans="1:19" x14ac:dyDescent="0.2">
      <c r="A958" t="s">
        <v>1969</v>
      </c>
      <c r="B958" t="s">
        <v>1970</v>
      </c>
      <c r="C958" t="s">
        <v>122</v>
      </c>
      <c r="D958" t="s">
        <v>42</v>
      </c>
      <c r="E958" s="1">
        <v>45819</v>
      </c>
      <c r="F958" s="1">
        <v>45821</v>
      </c>
      <c r="G958" t="s">
        <v>50</v>
      </c>
      <c r="H958" t="s">
        <v>23</v>
      </c>
      <c r="I958" t="s">
        <v>31</v>
      </c>
      <c r="J958">
        <v>54</v>
      </c>
      <c r="K958" t="s">
        <v>38</v>
      </c>
      <c r="L958" t="s">
        <v>26</v>
      </c>
      <c r="M958" t="s">
        <v>82</v>
      </c>
      <c r="N958">
        <v>1.7</v>
      </c>
      <c r="O958" s="3">
        <v>6763.12</v>
      </c>
      <c r="P958">
        <v>0</v>
      </c>
      <c r="Q958">
        <v>3.8</v>
      </c>
      <c r="R958">
        <v>0.85</v>
      </c>
      <c r="S958" t="str">
        <f t="shared" si="14"/>
        <v>June</v>
      </c>
    </row>
    <row r="959" spans="1:19" x14ac:dyDescent="0.2">
      <c r="A959" t="s">
        <v>1971</v>
      </c>
      <c r="B959" t="s">
        <v>1972</v>
      </c>
      <c r="C959" t="s">
        <v>20</v>
      </c>
      <c r="D959" t="s">
        <v>35</v>
      </c>
      <c r="E959" s="1">
        <v>45888</v>
      </c>
      <c r="F959" s="1">
        <v>45891</v>
      </c>
      <c r="G959" t="s">
        <v>68</v>
      </c>
      <c r="H959" t="s">
        <v>50</v>
      </c>
      <c r="I959" t="s">
        <v>45</v>
      </c>
      <c r="J959">
        <v>15</v>
      </c>
      <c r="K959" t="s">
        <v>46</v>
      </c>
      <c r="L959" t="s">
        <v>32</v>
      </c>
      <c r="M959" t="s">
        <v>82</v>
      </c>
      <c r="N959">
        <v>2.1</v>
      </c>
      <c r="O959" s="3">
        <v>6763.12</v>
      </c>
      <c r="P959">
        <v>1</v>
      </c>
      <c r="Q959">
        <v>3.8</v>
      </c>
      <c r="R959">
        <v>0.83</v>
      </c>
      <c r="S959" t="str">
        <f t="shared" si="14"/>
        <v>August</v>
      </c>
    </row>
    <row r="960" spans="1:19" x14ac:dyDescent="0.2">
      <c r="A960" t="s">
        <v>1973</v>
      </c>
      <c r="B960" t="s">
        <v>1974</v>
      </c>
      <c r="C960" t="s">
        <v>122</v>
      </c>
      <c r="D960" t="s">
        <v>35</v>
      </c>
      <c r="E960" s="1">
        <v>45954</v>
      </c>
      <c r="F960" s="1">
        <v>45958</v>
      </c>
      <c r="G960" t="s">
        <v>71</v>
      </c>
      <c r="H960" t="s">
        <v>23</v>
      </c>
      <c r="I960" t="s">
        <v>31</v>
      </c>
      <c r="J960">
        <v>31</v>
      </c>
      <c r="K960" t="s">
        <v>78</v>
      </c>
      <c r="L960" t="s">
        <v>32</v>
      </c>
      <c r="M960" t="s">
        <v>27</v>
      </c>
      <c r="N960">
        <v>3.5</v>
      </c>
      <c r="O960" s="3">
        <v>6763.12</v>
      </c>
      <c r="P960">
        <v>0</v>
      </c>
      <c r="Q960">
        <v>3.6</v>
      </c>
      <c r="R960">
        <v>0.82</v>
      </c>
      <c r="S960" t="str">
        <f t="shared" si="14"/>
        <v>October</v>
      </c>
    </row>
    <row r="961" spans="1:19" x14ac:dyDescent="0.2">
      <c r="A961" t="s">
        <v>1975</v>
      </c>
      <c r="B961" t="s">
        <v>1976</v>
      </c>
      <c r="C961" t="s">
        <v>62</v>
      </c>
      <c r="D961" t="s">
        <v>21</v>
      </c>
      <c r="E961" s="1">
        <v>45779</v>
      </c>
      <c r="F961" s="1">
        <v>45782</v>
      </c>
      <c r="G961" t="s">
        <v>50</v>
      </c>
      <c r="H961" t="s">
        <v>23</v>
      </c>
      <c r="I961" t="s">
        <v>37</v>
      </c>
      <c r="J961">
        <v>44</v>
      </c>
      <c r="K961" t="s">
        <v>25</v>
      </c>
      <c r="L961" t="s">
        <v>32</v>
      </c>
      <c r="M961" t="s">
        <v>39</v>
      </c>
      <c r="N961">
        <v>2.1</v>
      </c>
      <c r="O961" s="3">
        <v>6763.12</v>
      </c>
      <c r="P961">
        <v>0</v>
      </c>
      <c r="Q961">
        <v>4.4000000000000004</v>
      </c>
      <c r="R961">
        <v>0.86</v>
      </c>
      <c r="S961" t="str">
        <f t="shared" si="14"/>
        <v>May</v>
      </c>
    </row>
    <row r="962" spans="1:19" x14ac:dyDescent="0.2">
      <c r="A962" t="s">
        <v>1977</v>
      </c>
      <c r="B962" t="s">
        <v>1978</v>
      </c>
      <c r="C962" t="s">
        <v>122</v>
      </c>
      <c r="D962" t="s">
        <v>21</v>
      </c>
      <c r="E962" s="1">
        <v>45953</v>
      </c>
      <c r="F962" s="1">
        <v>45958</v>
      </c>
      <c r="G962" t="s">
        <v>63</v>
      </c>
      <c r="H962" t="s">
        <v>50</v>
      </c>
      <c r="I962" t="s">
        <v>37</v>
      </c>
      <c r="J962">
        <v>13</v>
      </c>
      <c r="K962" t="s">
        <v>46</v>
      </c>
      <c r="L962" t="s">
        <v>32</v>
      </c>
      <c r="M962" t="s">
        <v>52</v>
      </c>
      <c r="N962">
        <v>4.5</v>
      </c>
      <c r="O962" s="3">
        <v>6763.12</v>
      </c>
      <c r="P962">
        <v>0</v>
      </c>
      <c r="Q962">
        <v>4.2</v>
      </c>
      <c r="R962">
        <v>0.78</v>
      </c>
      <c r="S962" t="str">
        <f t="shared" si="14"/>
        <v>October</v>
      </c>
    </row>
    <row r="963" spans="1:19" x14ac:dyDescent="0.2">
      <c r="A963" t="s">
        <v>1979</v>
      </c>
      <c r="B963" t="s">
        <v>1980</v>
      </c>
      <c r="C963" t="s">
        <v>30</v>
      </c>
      <c r="D963" t="s">
        <v>49</v>
      </c>
      <c r="E963" s="1">
        <v>45747</v>
      </c>
      <c r="F963" s="1">
        <v>45750</v>
      </c>
      <c r="G963" t="s">
        <v>68</v>
      </c>
      <c r="H963" t="s">
        <v>50</v>
      </c>
      <c r="I963" t="s">
        <v>81</v>
      </c>
      <c r="J963">
        <v>65</v>
      </c>
      <c r="K963" t="s">
        <v>169</v>
      </c>
      <c r="L963" t="s">
        <v>32</v>
      </c>
      <c r="M963" t="s">
        <v>27</v>
      </c>
      <c r="N963">
        <v>2.9</v>
      </c>
      <c r="O963" s="3">
        <v>6763.12</v>
      </c>
      <c r="P963">
        <v>0</v>
      </c>
      <c r="Q963">
        <v>4.4000000000000004</v>
      </c>
      <c r="R963">
        <v>0.81</v>
      </c>
      <c r="S963" t="str">
        <f t="shared" ref="S963:S1026" si="15">TEXT(E963, "mmmm")</f>
        <v>March</v>
      </c>
    </row>
    <row r="964" spans="1:19" x14ac:dyDescent="0.2">
      <c r="A964" t="s">
        <v>1981</v>
      </c>
      <c r="B964" t="s">
        <v>1982</v>
      </c>
      <c r="C964" t="s">
        <v>20</v>
      </c>
      <c r="D964" t="s">
        <v>35</v>
      </c>
      <c r="E964" s="1">
        <v>45805</v>
      </c>
      <c r="F964" s="1">
        <v>45809</v>
      </c>
      <c r="G964" t="s">
        <v>71</v>
      </c>
      <c r="H964" t="s">
        <v>23</v>
      </c>
      <c r="I964" t="s">
        <v>117</v>
      </c>
      <c r="J964">
        <v>25</v>
      </c>
      <c r="K964" t="s">
        <v>78</v>
      </c>
      <c r="L964" t="s">
        <v>32</v>
      </c>
      <c r="M964" t="s">
        <v>27</v>
      </c>
      <c r="N964">
        <v>3.1</v>
      </c>
      <c r="O964" s="3">
        <v>6763.12</v>
      </c>
      <c r="P964">
        <v>0</v>
      </c>
      <c r="Q964">
        <v>4.3</v>
      </c>
      <c r="R964">
        <v>0.83</v>
      </c>
      <c r="S964" t="str">
        <f t="shared" si="15"/>
        <v>May</v>
      </c>
    </row>
    <row r="965" spans="1:19" x14ac:dyDescent="0.2">
      <c r="A965" t="s">
        <v>1983</v>
      </c>
      <c r="B965" t="s">
        <v>1984</v>
      </c>
      <c r="C965" t="s">
        <v>122</v>
      </c>
      <c r="D965" t="s">
        <v>35</v>
      </c>
      <c r="E965" s="1">
        <v>45991</v>
      </c>
      <c r="F965" s="1">
        <v>46000</v>
      </c>
      <c r="G965" t="s">
        <v>71</v>
      </c>
      <c r="H965" t="s">
        <v>23</v>
      </c>
      <c r="I965" t="s">
        <v>81</v>
      </c>
      <c r="J965">
        <v>85</v>
      </c>
      <c r="K965" t="s">
        <v>65</v>
      </c>
      <c r="L965" t="s">
        <v>26</v>
      </c>
      <c r="M965" t="s">
        <v>82</v>
      </c>
      <c r="N965">
        <v>8.8000000000000007</v>
      </c>
      <c r="O965" s="3">
        <v>6763.12</v>
      </c>
      <c r="P965">
        <v>1</v>
      </c>
      <c r="Q965">
        <v>4.2</v>
      </c>
      <c r="R965">
        <v>0.83</v>
      </c>
      <c r="S965" t="str">
        <f t="shared" si="15"/>
        <v>November</v>
      </c>
    </row>
    <row r="966" spans="1:19" x14ac:dyDescent="0.2">
      <c r="A966" t="s">
        <v>1985</v>
      </c>
      <c r="B966" t="s">
        <v>1986</v>
      </c>
      <c r="C966" t="s">
        <v>30</v>
      </c>
      <c r="D966" t="s">
        <v>21</v>
      </c>
      <c r="E966" s="1">
        <v>46006</v>
      </c>
      <c r="F966" s="1">
        <v>46008</v>
      </c>
      <c r="G966" t="s">
        <v>36</v>
      </c>
      <c r="H966" t="s">
        <v>50</v>
      </c>
      <c r="I966" t="s">
        <v>45</v>
      </c>
      <c r="J966">
        <v>72</v>
      </c>
      <c r="K966" t="s">
        <v>169</v>
      </c>
      <c r="L966" t="s">
        <v>32</v>
      </c>
      <c r="M966" t="s">
        <v>27</v>
      </c>
      <c r="N966">
        <v>1.7</v>
      </c>
      <c r="O966" s="3">
        <v>6763.12</v>
      </c>
      <c r="P966">
        <v>0</v>
      </c>
      <c r="Q966">
        <v>4.9000000000000004</v>
      </c>
      <c r="R966">
        <v>0.82</v>
      </c>
      <c r="S966" t="str">
        <f t="shared" si="15"/>
        <v>December</v>
      </c>
    </row>
    <row r="967" spans="1:19" x14ac:dyDescent="0.2">
      <c r="A967" t="s">
        <v>1987</v>
      </c>
      <c r="B967" t="s">
        <v>1988</v>
      </c>
      <c r="C967" t="s">
        <v>20</v>
      </c>
      <c r="D967" t="s">
        <v>49</v>
      </c>
      <c r="E967" s="1">
        <v>45995</v>
      </c>
      <c r="F967" s="1">
        <v>45997</v>
      </c>
      <c r="G967" t="s">
        <v>68</v>
      </c>
      <c r="H967" t="s">
        <v>50</v>
      </c>
      <c r="I967" t="s">
        <v>24</v>
      </c>
      <c r="J967">
        <v>57</v>
      </c>
      <c r="K967" t="s">
        <v>38</v>
      </c>
      <c r="L967" t="s">
        <v>32</v>
      </c>
      <c r="M967" t="s">
        <v>39</v>
      </c>
      <c r="N967">
        <v>1.8</v>
      </c>
      <c r="O967" s="3">
        <v>6763.12</v>
      </c>
      <c r="P967">
        <v>0</v>
      </c>
      <c r="Q967">
        <v>4.7</v>
      </c>
      <c r="R967">
        <v>0.88</v>
      </c>
      <c r="S967" t="str">
        <f t="shared" si="15"/>
        <v>December</v>
      </c>
    </row>
    <row r="968" spans="1:19" x14ac:dyDescent="0.2">
      <c r="A968" t="s">
        <v>1989</v>
      </c>
      <c r="B968" t="s">
        <v>1990</v>
      </c>
      <c r="C968" t="s">
        <v>20</v>
      </c>
      <c r="D968" t="s">
        <v>49</v>
      </c>
      <c r="E968" s="1">
        <v>45773</v>
      </c>
      <c r="F968" s="1">
        <v>45780</v>
      </c>
      <c r="G968" t="s">
        <v>36</v>
      </c>
      <c r="H968" t="s">
        <v>23</v>
      </c>
      <c r="I968" t="s">
        <v>100</v>
      </c>
      <c r="J968">
        <v>10</v>
      </c>
      <c r="K968" t="s">
        <v>103</v>
      </c>
      <c r="L968" t="s">
        <v>32</v>
      </c>
      <c r="M968" t="s">
        <v>82</v>
      </c>
      <c r="N968">
        <v>6.7</v>
      </c>
      <c r="O968" s="3">
        <v>6763.12</v>
      </c>
      <c r="P968">
        <v>0</v>
      </c>
      <c r="Q968">
        <v>5</v>
      </c>
      <c r="R968">
        <v>0.79</v>
      </c>
      <c r="S968" t="str">
        <f t="shared" si="15"/>
        <v>April</v>
      </c>
    </row>
    <row r="969" spans="1:19" x14ac:dyDescent="0.2">
      <c r="A969" t="s">
        <v>1991</v>
      </c>
      <c r="B969" t="s">
        <v>1992</v>
      </c>
      <c r="C969" t="s">
        <v>30</v>
      </c>
      <c r="D969" t="s">
        <v>42</v>
      </c>
      <c r="E969" s="1">
        <v>45965</v>
      </c>
      <c r="F969" s="1">
        <v>45974</v>
      </c>
      <c r="G969" t="s">
        <v>71</v>
      </c>
      <c r="H969" t="s">
        <v>23</v>
      </c>
      <c r="I969" t="s">
        <v>64</v>
      </c>
      <c r="J969">
        <v>2</v>
      </c>
      <c r="K969" t="s">
        <v>103</v>
      </c>
      <c r="L969" t="s">
        <v>26</v>
      </c>
      <c r="M969" t="s">
        <v>27</v>
      </c>
      <c r="N969">
        <v>8.6999999999999993</v>
      </c>
      <c r="O969" s="3">
        <v>6763.12</v>
      </c>
      <c r="P969">
        <v>1</v>
      </c>
      <c r="Q969">
        <v>4.4000000000000004</v>
      </c>
      <c r="R969">
        <v>0.76</v>
      </c>
      <c r="S969" t="str">
        <f t="shared" si="15"/>
        <v>November</v>
      </c>
    </row>
    <row r="970" spans="1:19" x14ac:dyDescent="0.2">
      <c r="A970" t="s">
        <v>1993</v>
      </c>
      <c r="B970" t="s">
        <v>1994</v>
      </c>
      <c r="C970" t="s">
        <v>20</v>
      </c>
      <c r="D970" t="s">
        <v>35</v>
      </c>
      <c r="E970" s="1">
        <v>45999</v>
      </c>
      <c r="F970" s="1">
        <v>46011</v>
      </c>
      <c r="G970" t="s">
        <v>68</v>
      </c>
      <c r="H970" t="s">
        <v>50</v>
      </c>
      <c r="I970" t="s">
        <v>100</v>
      </c>
      <c r="J970">
        <v>13</v>
      </c>
      <c r="K970" t="s">
        <v>46</v>
      </c>
      <c r="L970" t="s">
        <v>32</v>
      </c>
      <c r="M970" t="s">
        <v>39</v>
      </c>
      <c r="N970">
        <v>11.1</v>
      </c>
      <c r="O970" s="3">
        <v>6763.12</v>
      </c>
      <c r="P970">
        <v>0</v>
      </c>
      <c r="Q970">
        <v>3.3</v>
      </c>
      <c r="R970">
        <v>0.73</v>
      </c>
      <c r="S970" t="str">
        <f t="shared" si="15"/>
        <v>December</v>
      </c>
    </row>
    <row r="971" spans="1:19" x14ac:dyDescent="0.2">
      <c r="A971" t="s">
        <v>1995</v>
      </c>
      <c r="B971" t="s">
        <v>1996</v>
      </c>
      <c r="C971" t="s">
        <v>20</v>
      </c>
      <c r="D971" t="s">
        <v>21</v>
      </c>
      <c r="E971" s="1">
        <v>46015</v>
      </c>
      <c r="F971" s="1">
        <v>46019</v>
      </c>
      <c r="G971" t="s">
        <v>63</v>
      </c>
      <c r="H971" t="s">
        <v>50</v>
      </c>
      <c r="I971" t="s">
        <v>117</v>
      </c>
      <c r="J971">
        <v>45</v>
      </c>
      <c r="K971" t="s">
        <v>25</v>
      </c>
      <c r="L971" t="s">
        <v>32</v>
      </c>
      <c r="M971" t="s">
        <v>39</v>
      </c>
      <c r="N971">
        <v>3.5</v>
      </c>
      <c r="O971" s="3">
        <v>6763.12</v>
      </c>
      <c r="P971">
        <v>0</v>
      </c>
      <c r="Q971">
        <v>4.4000000000000004</v>
      </c>
      <c r="R971">
        <v>0.73</v>
      </c>
      <c r="S971" t="str">
        <f t="shared" si="15"/>
        <v>December</v>
      </c>
    </row>
    <row r="972" spans="1:19" x14ac:dyDescent="0.2">
      <c r="A972" t="s">
        <v>1997</v>
      </c>
      <c r="B972" t="s">
        <v>1998</v>
      </c>
      <c r="C972" t="s">
        <v>58</v>
      </c>
      <c r="D972" t="s">
        <v>42</v>
      </c>
      <c r="E972" s="1">
        <v>45665</v>
      </c>
      <c r="F972" s="1">
        <v>45669</v>
      </c>
      <c r="G972" t="s">
        <v>71</v>
      </c>
      <c r="H972" t="s">
        <v>44</v>
      </c>
      <c r="I972" t="s">
        <v>51</v>
      </c>
      <c r="J972">
        <v>71</v>
      </c>
      <c r="K972" t="s">
        <v>169</v>
      </c>
      <c r="L972" t="s">
        <v>26</v>
      </c>
      <c r="M972" t="s">
        <v>27</v>
      </c>
      <c r="N972">
        <v>3.3</v>
      </c>
      <c r="O972" s="3">
        <v>6763.12</v>
      </c>
      <c r="P972">
        <v>0</v>
      </c>
      <c r="Q972">
        <v>4.3</v>
      </c>
      <c r="R972">
        <v>0.73</v>
      </c>
      <c r="S972" t="str">
        <f t="shared" si="15"/>
        <v>January</v>
      </c>
    </row>
    <row r="973" spans="1:19" x14ac:dyDescent="0.2">
      <c r="A973" t="s">
        <v>1999</v>
      </c>
      <c r="B973" t="s">
        <v>2000</v>
      </c>
      <c r="C973" t="s">
        <v>122</v>
      </c>
      <c r="D973" t="s">
        <v>49</v>
      </c>
      <c r="E973" s="1">
        <v>45929</v>
      </c>
      <c r="F973" s="1">
        <v>45932</v>
      </c>
      <c r="G973" t="s">
        <v>99</v>
      </c>
      <c r="H973" t="s">
        <v>50</v>
      </c>
      <c r="I973" t="s">
        <v>81</v>
      </c>
      <c r="J973">
        <v>13</v>
      </c>
      <c r="K973" t="s">
        <v>46</v>
      </c>
      <c r="L973" t="s">
        <v>32</v>
      </c>
      <c r="M973" t="s">
        <v>82</v>
      </c>
      <c r="N973">
        <v>2.7</v>
      </c>
      <c r="O973" s="3">
        <v>6763.12</v>
      </c>
      <c r="P973">
        <v>0</v>
      </c>
      <c r="Q973">
        <v>5</v>
      </c>
      <c r="R973">
        <v>0.77</v>
      </c>
      <c r="S973" t="str">
        <f t="shared" si="15"/>
        <v>September</v>
      </c>
    </row>
    <row r="974" spans="1:19" x14ac:dyDescent="0.2">
      <c r="A974" t="s">
        <v>2001</v>
      </c>
      <c r="B974" t="s">
        <v>2002</v>
      </c>
      <c r="C974" t="s">
        <v>122</v>
      </c>
      <c r="D974" t="s">
        <v>49</v>
      </c>
      <c r="E974" s="1">
        <v>46021</v>
      </c>
      <c r="F974" s="1">
        <v>46022</v>
      </c>
      <c r="G974" t="s">
        <v>63</v>
      </c>
      <c r="H974" t="s">
        <v>44</v>
      </c>
      <c r="I974" t="s">
        <v>31</v>
      </c>
      <c r="J974">
        <v>64</v>
      </c>
      <c r="K974" t="s">
        <v>38</v>
      </c>
      <c r="L974" t="s">
        <v>26</v>
      </c>
      <c r="M974" t="s">
        <v>27</v>
      </c>
      <c r="N974">
        <v>0.7</v>
      </c>
      <c r="O974" s="3">
        <v>6763.12</v>
      </c>
      <c r="P974">
        <v>0</v>
      </c>
      <c r="Q974">
        <v>3.3</v>
      </c>
      <c r="R974">
        <v>0.81</v>
      </c>
      <c r="S974" t="str">
        <f t="shared" si="15"/>
        <v>December</v>
      </c>
    </row>
    <row r="975" spans="1:19" x14ac:dyDescent="0.2">
      <c r="A975" t="s">
        <v>2003</v>
      </c>
      <c r="B975" t="s">
        <v>2004</v>
      </c>
      <c r="C975" t="s">
        <v>62</v>
      </c>
      <c r="D975" t="s">
        <v>49</v>
      </c>
      <c r="E975" s="1">
        <v>45937</v>
      </c>
      <c r="F975" s="1">
        <v>45938</v>
      </c>
      <c r="G975" t="s">
        <v>50</v>
      </c>
      <c r="H975" t="s">
        <v>50</v>
      </c>
      <c r="I975" t="s">
        <v>45</v>
      </c>
      <c r="J975">
        <v>4</v>
      </c>
      <c r="K975" t="s">
        <v>103</v>
      </c>
      <c r="L975" t="s">
        <v>32</v>
      </c>
      <c r="M975" t="s">
        <v>27</v>
      </c>
      <c r="N975">
        <v>0.2</v>
      </c>
      <c r="O975" s="3">
        <v>6763.12</v>
      </c>
      <c r="P975">
        <v>0</v>
      </c>
      <c r="Q975">
        <v>4</v>
      </c>
      <c r="R975">
        <v>0.84</v>
      </c>
      <c r="S975" t="str">
        <f t="shared" si="15"/>
        <v>October</v>
      </c>
    </row>
    <row r="976" spans="1:19" x14ac:dyDescent="0.2">
      <c r="A976" t="s">
        <v>2005</v>
      </c>
      <c r="B976" t="s">
        <v>2006</v>
      </c>
      <c r="C976" t="s">
        <v>20</v>
      </c>
      <c r="D976" t="s">
        <v>35</v>
      </c>
      <c r="E976" s="1">
        <v>45743</v>
      </c>
      <c r="F976" s="1">
        <v>45747</v>
      </c>
      <c r="G976" t="s">
        <v>68</v>
      </c>
      <c r="H976" t="s">
        <v>50</v>
      </c>
      <c r="I976" t="s">
        <v>31</v>
      </c>
      <c r="J976">
        <v>24</v>
      </c>
      <c r="K976" t="s">
        <v>78</v>
      </c>
      <c r="L976" t="s">
        <v>26</v>
      </c>
      <c r="M976" t="s">
        <v>82</v>
      </c>
      <c r="N976">
        <v>3.3</v>
      </c>
      <c r="O976" s="3">
        <v>6763.12</v>
      </c>
      <c r="P976">
        <v>0</v>
      </c>
      <c r="Q976">
        <v>3.5</v>
      </c>
      <c r="R976">
        <v>0.83</v>
      </c>
      <c r="S976" t="str">
        <f t="shared" si="15"/>
        <v>March</v>
      </c>
    </row>
    <row r="977" spans="1:19" x14ac:dyDescent="0.2">
      <c r="A977" t="s">
        <v>2007</v>
      </c>
      <c r="B977" t="s">
        <v>2008</v>
      </c>
      <c r="C977" t="s">
        <v>30</v>
      </c>
      <c r="D977" t="s">
        <v>42</v>
      </c>
      <c r="E977" s="1">
        <v>45936</v>
      </c>
      <c r="F977" s="1">
        <v>45938</v>
      </c>
      <c r="G977" t="s">
        <v>22</v>
      </c>
      <c r="H977" t="s">
        <v>50</v>
      </c>
      <c r="I977" t="s">
        <v>37</v>
      </c>
      <c r="J977">
        <v>54</v>
      </c>
      <c r="K977" t="s">
        <v>38</v>
      </c>
      <c r="L977" t="s">
        <v>32</v>
      </c>
      <c r="M977" t="s">
        <v>27</v>
      </c>
      <c r="N977">
        <v>1.5</v>
      </c>
      <c r="O977" s="3">
        <v>6763.12</v>
      </c>
      <c r="P977">
        <v>0</v>
      </c>
      <c r="Q977">
        <v>4.2</v>
      </c>
      <c r="R977">
        <v>0.82</v>
      </c>
      <c r="S977" t="str">
        <f t="shared" si="15"/>
        <v>October</v>
      </c>
    </row>
    <row r="978" spans="1:19" x14ac:dyDescent="0.2">
      <c r="A978" t="s">
        <v>2009</v>
      </c>
      <c r="B978" t="s">
        <v>2010</v>
      </c>
      <c r="C978" t="s">
        <v>62</v>
      </c>
      <c r="D978" t="s">
        <v>49</v>
      </c>
      <c r="E978" s="1">
        <v>45696</v>
      </c>
      <c r="F978" s="1">
        <v>45699</v>
      </c>
      <c r="G978" t="s">
        <v>71</v>
      </c>
      <c r="H978" t="s">
        <v>50</v>
      </c>
      <c r="I978" t="s">
        <v>55</v>
      </c>
      <c r="J978">
        <v>75</v>
      </c>
      <c r="K978" t="s">
        <v>65</v>
      </c>
      <c r="L978" t="s">
        <v>26</v>
      </c>
      <c r="M978" t="s">
        <v>82</v>
      </c>
      <c r="N978">
        <v>2.2999999999999998</v>
      </c>
      <c r="O978" s="3">
        <v>6763.12</v>
      </c>
      <c r="P978">
        <v>0</v>
      </c>
      <c r="Q978">
        <v>3.8</v>
      </c>
      <c r="R978">
        <v>0.84</v>
      </c>
      <c r="S978" t="str">
        <f t="shared" si="15"/>
        <v>February</v>
      </c>
    </row>
    <row r="979" spans="1:19" x14ac:dyDescent="0.2">
      <c r="A979" t="s">
        <v>2011</v>
      </c>
      <c r="B979" t="s">
        <v>2012</v>
      </c>
      <c r="C979" t="s">
        <v>30</v>
      </c>
      <c r="D979" t="s">
        <v>49</v>
      </c>
      <c r="E979" s="1">
        <v>45833</v>
      </c>
      <c r="F979" s="1">
        <v>45837</v>
      </c>
      <c r="G979" t="s">
        <v>36</v>
      </c>
      <c r="H979" t="s">
        <v>44</v>
      </c>
      <c r="I979" t="s">
        <v>64</v>
      </c>
      <c r="J979">
        <v>70</v>
      </c>
      <c r="K979" t="s">
        <v>169</v>
      </c>
      <c r="L979" t="s">
        <v>26</v>
      </c>
      <c r="M979" t="s">
        <v>27</v>
      </c>
      <c r="N979">
        <v>3.5</v>
      </c>
      <c r="O979" s="3">
        <v>6763.12</v>
      </c>
      <c r="P979">
        <v>0</v>
      </c>
      <c r="Q979">
        <v>4.2</v>
      </c>
      <c r="R979">
        <v>0.8</v>
      </c>
      <c r="S979" t="str">
        <f t="shared" si="15"/>
        <v>June</v>
      </c>
    </row>
    <row r="980" spans="1:19" x14ac:dyDescent="0.2">
      <c r="A980" t="s">
        <v>2013</v>
      </c>
      <c r="B980" t="s">
        <v>2014</v>
      </c>
      <c r="C980" t="s">
        <v>62</v>
      </c>
      <c r="D980" t="s">
        <v>49</v>
      </c>
      <c r="E980" s="1">
        <v>45886</v>
      </c>
      <c r="F980" s="1">
        <v>45891</v>
      </c>
      <c r="G980" t="s">
        <v>99</v>
      </c>
      <c r="H980" t="s">
        <v>50</v>
      </c>
      <c r="I980" t="s">
        <v>55</v>
      </c>
      <c r="J980">
        <v>48</v>
      </c>
      <c r="K980" t="s">
        <v>25</v>
      </c>
      <c r="L980" t="s">
        <v>32</v>
      </c>
      <c r="M980" t="s">
        <v>39</v>
      </c>
      <c r="N980">
        <v>4.0999999999999996</v>
      </c>
      <c r="O980" s="3">
        <v>6763.12</v>
      </c>
      <c r="P980">
        <v>0</v>
      </c>
      <c r="Q980">
        <v>3.1</v>
      </c>
      <c r="R980">
        <v>0.9</v>
      </c>
      <c r="S980" t="str">
        <f t="shared" si="15"/>
        <v>August</v>
      </c>
    </row>
    <row r="981" spans="1:19" x14ac:dyDescent="0.2">
      <c r="A981" t="s">
        <v>2015</v>
      </c>
      <c r="B981" t="s">
        <v>2016</v>
      </c>
      <c r="C981" t="s">
        <v>58</v>
      </c>
      <c r="D981" t="s">
        <v>21</v>
      </c>
      <c r="E981" s="1">
        <v>45824</v>
      </c>
      <c r="F981" s="1">
        <v>45826</v>
      </c>
      <c r="G981" t="s">
        <v>116</v>
      </c>
      <c r="H981" t="s">
        <v>44</v>
      </c>
      <c r="I981" t="s">
        <v>37</v>
      </c>
      <c r="J981">
        <v>3</v>
      </c>
      <c r="K981" t="s">
        <v>103</v>
      </c>
      <c r="L981" t="s">
        <v>32</v>
      </c>
      <c r="M981" t="s">
        <v>27</v>
      </c>
      <c r="N981">
        <v>1.9</v>
      </c>
      <c r="O981" s="3">
        <v>6763.12</v>
      </c>
      <c r="P981">
        <v>0</v>
      </c>
      <c r="Q981">
        <v>4.4000000000000004</v>
      </c>
      <c r="R981">
        <v>0.69</v>
      </c>
      <c r="S981" t="str">
        <f t="shared" si="15"/>
        <v>June</v>
      </c>
    </row>
    <row r="982" spans="1:19" x14ac:dyDescent="0.2">
      <c r="A982" t="s">
        <v>2017</v>
      </c>
      <c r="B982" t="s">
        <v>2018</v>
      </c>
      <c r="C982" t="s">
        <v>62</v>
      </c>
      <c r="D982" t="s">
        <v>35</v>
      </c>
      <c r="E982" s="1">
        <v>45913</v>
      </c>
      <c r="F982" s="1">
        <v>45916</v>
      </c>
      <c r="G982" t="s">
        <v>43</v>
      </c>
      <c r="H982" t="s">
        <v>50</v>
      </c>
      <c r="I982" t="s">
        <v>81</v>
      </c>
      <c r="J982">
        <v>26</v>
      </c>
      <c r="K982" t="s">
        <v>78</v>
      </c>
      <c r="L982" t="s">
        <v>32</v>
      </c>
      <c r="M982" t="s">
        <v>39</v>
      </c>
      <c r="N982">
        <v>2.7</v>
      </c>
      <c r="O982" s="3">
        <v>6763.12</v>
      </c>
      <c r="P982">
        <v>0</v>
      </c>
      <c r="Q982">
        <v>4</v>
      </c>
      <c r="R982">
        <v>0.85</v>
      </c>
      <c r="S982" t="str">
        <f t="shared" si="15"/>
        <v>September</v>
      </c>
    </row>
    <row r="983" spans="1:19" x14ac:dyDescent="0.2">
      <c r="A983" t="s">
        <v>2019</v>
      </c>
      <c r="B983" t="s">
        <v>2020</v>
      </c>
      <c r="C983" t="s">
        <v>62</v>
      </c>
      <c r="D983" t="s">
        <v>49</v>
      </c>
      <c r="E983" s="1">
        <v>45745</v>
      </c>
      <c r="F983" s="1">
        <v>45747</v>
      </c>
      <c r="G983" t="s">
        <v>116</v>
      </c>
      <c r="H983" t="s">
        <v>44</v>
      </c>
      <c r="I983" t="s">
        <v>81</v>
      </c>
      <c r="J983">
        <v>71</v>
      </c>
      <c r="K983" t="s">
        <v>169</v>
      </c>
      <c r="L983" t="s">
        <v>32</v>
      </c>
      <c r="M983" t="s">
        <v>82</v>
      </c>
      <c r="N983">
        <v>1.5</v>
      </c>
      <c r="O983" s="3">
        <v>6763.12</v>
      </c>
      <c r="P983">
        <v>0</v>
      </c>
      <c r="Q983">
        <v>4</v>
      </c>
      <c r="R983">
        <v>0.83</v>
      </c>
      <c r="S983" t="str">
        <f t="shared" si="15"/>
        <v>March</v>
      </c>
    </row>
    <row r="984" spans="1:19" x14ac:dyDescent="0.2">
      <c r="A984" t="s">
        <v>2021</v>
      </c>
      <c r="B984" t="s">
        <v>2022</v>
      </c>
      <c r="C984" t="s">
        <v>122</v>
      </c>
      <c r="D984" t="s">
        <v>21</v>
      </c>
      <c r="E984" s="1">
        <v>45879</v>
      </c>
      <c r="F984" s="1">
        <v>45885</v>
      </c>
      <c r="G984" t="s">
        <v>36</v>
      </c>
      <c r="H984" t="s">
        <v>44</v>
      </c>
      <c r="I984" t="s">
        <v>45</v>
      </c>
      <c r="J984">
        <v>7</v>
      </c>
      <c r="K984" t="s">
        <v>103</v>
      </c>
      <c r="L984" t="s">
        <v>26</v>
      </c>
      <c r="M984" t="s">
        <v>82</v>
      </c>
      <c r="N984">
        <v>5.4</v>
      </c>
      <c r="O984" s="3">
        <v>6763.12</v>
      </c>
      <c r="P984">
        <v>0</v>
      </c>
      <c r="Q984">
        <v>5</v>
      </c>
      <c r="R984">
        <v>0.81</v>
      </c>
      <c r="S984" t="str">
        <f t="shared" si="15"/>
        <v>August</v>
      </c>
    </row>
    <row r="985" spans="1:19" x14ac:dyDescent="0.2">
      <c r="A985" t="s">
        <v>2023</v>
      </c>
      <c r="B985" t="s">
        <v>2024</v>
      </c>
      <c r="C985" t="s">
        <v>58</v>
      </c>
      <c r="D985" t="s">
        <v>35</v>
      </c>
      <c r="E985" s="1">
        <v>45893</v>
      </c>
      <c r="F985" s="1">
        <v>45894</v>
      </c>
      <c r="G985" t="s">
        <v>50</v>
      </c>
      <c r="H985" t="s">
        <v>23</v>
      </c>
      <c r="I985" t="s">
        <v>51</v>
      </c>
      <c r="J985">
        <v>64</v>
      </c>
      <c r="K985" t="s">
        <v>38</v>
      </c>
      <c r="L985" t="s">
        <v>26</v>
      </c>
      <c r="M985" t="s">
        <v>52</v>
      </c>
      <c r="N985">
        <v>0.6</v>
      </c>
      <c r="O985" s="3">
        <v>6763.12</v>
      </c>
      <c r="P985">
        <v>0</v>
      </c>
      <c r="Q985">
        <v>3.5</v>
      </c>
      <c r="R985">
        <v>0.75</v>
      </c>
      <c r="S985" t="str">
        <f t="shared" si="15"/>
        <v>August</v>
      </c>
    </row>
    <row r="986" spans="1:19" x14ac:dyDescent="0.2">
      <c r="A986" t="s">
        <v>2025</v>
      </c>
      <c r="B986" t="s">
        <v>2026</v>
      </c>
      <c r="C986" t="s">
        <v>122</v>
      </c>
      <c r="D986" t="s">
        <v>21</v>
      </c>
      <c r="E986" s="1">
        <v>45889</v>
      </c>
      <c r="F986" s="1">
        <v>45890</v>
      </c>
      <c r="G986" t="s">
        <v>22</v>
      </c>
      <c r="H986" t="s">
        <v>50</v>
      </c>
      <c r="I986" t="s">
        <v>31</v>
      </c>
      <c r="J986">
        <v>64</v>
      </c>
      <c r="K986" t="s">
        <v>38</v>
      </c>
      <c r="L986" t="s">
        <v>26</v>
      </c>
      <c r="M986" t="s">
        <v>39</v>
      </c>
      <c r="N986">
        <v>0.9</v>
      </c>
      <c r="O986" s="3">
        <v>6763.12</v>
      </c>
      <c r="P986">
        <v>1</v>
      </c>
      <c r="Q986">
        <v>4.0999999999999996</v>
      </c>
      <c r="R986">
        <v>0.78</v>
      </c>
      <c r="S986" t="str">
        <f t="shared" si="15"/>
        <v>August</v>
      </c>
    </row>
    <row r="987" spans="1:19" x14ac:dyDescent="0.2">
      <c r="A987" t="s">
        <v>2027</v>
      </c>
      <c r="B987" t="s">
        <v>2028</v>
      </c>
      <c r="C987" t="s">
        <v>58</v>
      </c>
      <c r="D987" t="s">
        <v>42</v>
      </c>
      <c r="E987" s="1">
        <v>45763</v>
      </c>
      <c r="F987" s="1">
        <v>45766</v>
      </c>
      <c r="G987" t="s">
        <v>99</v>
      </c>
      <c r="H987" t="s">
        <v>23</v>
      </c>
      <c r="I987" t="s">
        <v>117</v>
      </c>
      <c r="J987">
        <v>68</v>
      </c>
      <c r="K987" t="s">
        <v>169</v>
      </c>
      <c r="L987" t="s">
        <v>26</v>
      </c>
      <c r="M987" t="s">
        <v>82</v>
      </c>
      <c r="N987">
        <v>2.1</v>
      </c>
      <c r="O987" s="3">
        <v>6763.12</v>
      </c>
      <c r="P987">
        <v>0</v>
      </c>
      <c r="Q987">
        <v>4</v>
      </c>
      <c r="R987">
        <v>0.74</v>
      </c>
      <c r="S987" t="str">
        <f t="shared" si="15"/>
        <v>April</v>
      </c>
    </row>
    <row r="988" spans="1:19" x14ac:dyDescent="0.2">
      <c r="A988" t="s">
        <v>2029</v>
      </c>
      <c r="B988" t="s">
        <v>2030</v>
      </c>
      <c r="C988" t="s">
        <v>20</v>
      </c>
      <c r="D988" t="s">
        <v>21</v>
      </c>
      <c r="E988" s="1">
        <v>45769</v>
      </c>
      <c r="F988" s="1">
        <v>45774</v>
      </c>
      <c r="G988" t="s">
        <v>36</v>
      </c>
      <c r="H988" t="s">
        <v>50</v>
      </c>
      <c r="I988" t="s">
        <v>81</v>
      </c>
      <c r="J988">
        <v>19</v>
      </c>
      <c r="K988" t="s">
        <v>78</v>
      </c>
      <c r="L988" t="s">
        <v>26</v>
      </c>
      <c r="M988" t="s">
        <v>39</v>
      </c>
      <c r="N988">
        <v>4.0999999999999996</v>
      </c>
      <c r="O988" s="3">
        <v>6763.12</v>
      </c>
      <c r="P988">
        <v>0</v>
      </c>
      <c r="Q988">
        <v>4</v>
      </c>
      <c r="R988">
        <v>0.86</v>
      </c>
      <c r="S988" t="str">
        <f t="shared" si="15"/>
        <v>April</v>
      </c>
    </row>
    <row r="989" spans="1:19" x14ac:dyDescent="0.2">
      <c r="A989" t="s">
        <v>2031</v>
      </c>
      <c r="B989" t="s">
        <v>2032</v>
      </c>
      <c r="C989" t="s">
        <v>30</v>
      </c>
      <c r="D989" t="s">
        <v>21</v>
      </c>
      <c r="E989" s="1">
        <v>45752</v>
      </c>
      <c r="F989" s="1">
        <v>45756</v>
      </c>
      <c r="G989" t="s">
        <v>22</v>
      </c>
      <c r="H989" t="s">
        <v>44</v>
      </c>
      <c r="I989" t="s">
        <v>51</v>
      </c>
      <c r="J989">
        <v>22</v>
      </c>
      <c r="K989" t="s">
        <v>78</v>
      </c>
      <c r="L989" t="s">
        <v>26</v>
      </c>
      <c r="M989" t="s">
        <v>82</v>
      </c>
      <c r="N989">
        <v>3.4</v>
      </c>
      <c r="O989" s="3">
        <v>6763.12</v>
      </c>
      <c r="P989">
        <v>0</v>
      </c>
      <c r="Q989">
        <v>5</v>
      </c>
      <c r="R989">
        <v>0.82</v>
      </c>
      <c r="S989" t="str">
        <f t="shared" si="15"/>
        <v>April</v>
      </c>
    </row>
    <row r="990" spans="1:19" x14ac:dyDescent="0.2">
      <c r="A990" t="s">
        <v>2033</v>
      </c>
      <c r="B990" t="s">
        <v>2034</v>
      </c>
      <c r="C990" t="s">
        <v>30</v>
      </c>
      <c r="D990" t="s">
        <v>49</v>
      </c>
      <c r="E990" s="1">
        <v>45826</v>
      </c>
      <c r="F990" s="1">
        <v>45835</v>
      </c>
      <c r="G990" t="s">
        <v>68</v>
      </c>
      <c r="H990" t="s">
        <v>50</v>
      </c>
      <c r="I990" t="s">
        <v>51</v>
      </c>
      <c r="J990">
        <v>18</v>
      </c>
      <c r="K990" t="s">
        <v>78</v>
      </c>
      <c r="L990" t="s">
        <v>32</v>
      </c>
      <c r="M990" t="s">
        <v>39</v>
      </c>
      <c r="N990">
        <v>8.9</v>
      </c>
      <c r="O990" s="3">
        <v>6763.12</v>
      </c>
      <c r="P990">
        <v>0</v>
      </c>
      <c r="Q990">
        <v>3.7</v>
      </c>
      <c r="R990">
        <v>0.9</v>
      </c>
      <c r="S990" t="str">
        <f t="shared" si="15"/>
        <v>June</v>
      </c>
    </row>
    <row r="991" spans="1:19" x14ac:dyDescent="0.2">
      <c r="A991" t="s">
        <v>2035</v>
      </c>
      <c r="B991" t="s">
        <v>2036</v>
      </c>
      <c r="C991" t="s">
        <v>30</v>
      </c>
      <c r="D991" t="s">
        <v>42</v>
      </c>
      <c r="E991" s="1">
        <v>45871</v>
      </c>
      <c r="F991" s="1">
        <v>45874</v>
      </c>
      <c r="G991" t="s">
        <v>116</v>
      </c>
      <c r="H991" t="s">
        <v>50</v>
      </c>
      <c r="I991" t="s">
        <v>45</v>
      </c>
      <c r="J991">
        <v>35</v>
      </c>
      <c r="K991" t="s">
        <v>25</v>
      </c>
      <c r="L991" t="s">
        <v>32</v>
      </c>
      <c r="M991" t="s">
        <v>82</v>
      </c>
      <c r="N991">
        <v>2.4</v>
      </c>
      <c r="O991" s="3">
        <v>6763.12</v>
      </c>
      <c r="P991">
        <v>0</v>
      </c>
      <c r="Q991">
        <v>3.6</v>
      </c>
      <c r="R991">
        <v>0.83</v>
      </c>
      <c r="S991" t="str">
        <f t="shared" si="15"/>
        <v>August</v>
      </c>
    </row>
    <row r="992" spans="1:19" x14ac:dyDescent="0.2">
      <c r="A992" t="s">
        <v>2037</v>
      </c>
      <c r="B992" t="s">
        <v>2038</v>
      </c>
      <c r="C992" t="s">
        <v>30</v>
      </c>
      <c r="D992" t="s">
        <v>49</v>
      </c>
      <c r="E992" s="1">
        <v>45790</v>
      </c>
      <c r="F992" s="1">
        <v>45793</v>
      </c>
      <c r="G992" t="s">
        <v>50</v>
      </c>
      <c r="H992" t="s">
        <v>50</v>
      </c>
      <c r="I992" t="s">
        <v>51</v>
      </c>
      <c r="J992">
        <v>47</v>
      </c>
      <c r="K992" t="s">
        <v>25</v>
      </c>
      <c r="L992" t="s">
        <v>32</v>
      </c>
      <c r="M992" t="s">
        <v>27</v>
      </c>
      <c r="N992">
        <v>2.9</v>
      </c>
      <c r="O992" s="3">
        <v>6763.12</v>
      </c>
      <c r="P992">
        <v>0</v>
      </c>
      <c r="Q992">
        <v>4.8</v>
      </c>
      <c r="R992">
        <v>0.82</v>
      </c>
      <c r="S992" t="str">
        <f t="shared" si="15"/>
        <v>May</v>
      </c>
    </row>
    <row r="993" spans="1:19" x14ac:dyDescent="0.2">
      <c r="A993" t="s">
        <v>2039</v>
      </c>
      <c r="B993" t="s">
        <v>2040</v>
      </c>
      <c r="C993" t="s">
        <v>122</v>
      </c>
      <c r="D993" t="s">
        <v>42</v>
      </c>
      <c r="E993" s="1">
        <v>45807</v>
      </c>
      <c r="F993" s="1">
        <v>45809</v>
      </c>
      <c r="G993" t="s">
        <v>22</v>
      </c>
      <c r="H993" t="s">
        <v>23</v>
      </c>
      <c r="I993" t="s">
        <v>55</v>
      </c>
      <c r="J993">
        <v>10</v>
      </c>
      <c r="K993" t="s">
        <v>103</v>
      </c>
      <c r="L993" t="s">
        <v>32</v>
      </c>
      <c r="M993" t="s">
        <v>39</v>
      </c>
      <c r="N993">
        <v>1.1000000000000001</v>
      </c>
      <c r="O993" s="3">
        <v>6763.12</v>
      </c>
      <c r="P993">
        <v>0</v>
      </c>
      <c r="Q993">
        <v>3.7</v>
      </c>
      <c r="R993">
        <v>0.77</v>
      </c>
      <c r="S993" t="str">
        <f t="shared" si="15"/>
        <v>May</v>
      </c>
    </row>
    <row r="994" spans="1:19" x14ac:dyDescent="0.2">
      <c r="A994" t="s">
        <v>2041</v>
      </c>
      <c r="B994" t="s">
        <v>2042</v>
      </c>
      <c r="C994" t="s">
        <v>62</v>
      </c>
      <c r="D994" t="s">
        <v>35</v>
      </c>
      <c r="E994" s="1">
        <v>45762</v>
      </c>
      <c r="F994" s="1">
        <v>45764</v>
      </c>
      <c r="G994" t="s">
        <v>43</v>
      </c>
      <c r="H994" t="s">
        <v>44</v>
      </c>
      <c r="I994" t="s">
        <v>31</v>
      </c>
      <c r="J994">
        <v>51</v>
      </c>
      <c r="K994" t="s">
        <v>38</v>
      </c>
      <c r="L994" t="s">
        <v>32</v>
      </c>
      <c r="M994" t="s">
        <v>82</v>
      </c>
      <c r="N994">
        <v>1.4</v>
      </c>
      <c r="O994" s="3">
        <v>6763.12</v>
      </c>
      <c r="P994">
        <v>1</v>
      </c>
      <c r="Q994">
        <v>2.9</v>
      </c>
      <c r="R994">
        <v>0.86</v>
      </c>
      <c r="S994" t="str">
        <f t="shared" si="15"/>
        <v>April</v>
      </c>
    </row>
    <row r="995" spans="1:19" x14ac:dyDescent="0.2">
      <c r="A995" t="s">
        <v>2043</v>
      </c>
      <c r="B995" t="s">
        <v>2044</v>
      </c>
      <c r="C995" t="s">
        <v>20</v>
      </c>
      <c r="D995" t="s">
        <v>42</v>
      </c>
      <c r="E995" s="1">
        <v>45737</v>
      </c>
      <c r="F995" s="1">
        <v>45739</v>
      </c>
      <c r="G995" t="s">
        <v>50</v>
      </c>
      <c r="H995" t="s">
        <v>50</v>
      </c>
      <c r="I995" t="s">
        <v>37</v>
      </c>
      <c r="J995">
        <v>21</v>
      </c>
      <c r="K995" t="s">
        <v>78</v>
      </c>
      <c r="L995" t="s">
        <v>32</v>
      </c>
      <c r="M995" t="s">
        <v>27</v>
      </c>
      <c r="N995">
        <v>1.4</v>
      </c>
      <c r="O995" s="3">
        <v>6763.12</v>
      </c>
      <c r="P995">
        <v>0</v>
      </c>
      <c r="Q995">
        <v>3.3</v>
      </c>
      <c r="R995">
        <v>0.78</v>
      </c>
      <c r="S995" t="str">
        <f t="shared" si="15"/>
        <v>March</v>
      </c>
    </row>
    <row r="996" spans="1:19" x14ac:dyDescent="0.2">
      <c r="A996" t="s">
        <v>2045</v>
      </c>
      <c r="B996" t="s">
        <v>2046</v>
      </c>
      <c r="C996" t="s">
        <v>62</v>
      </c>
      <c r="D996" t="s">
        <v>42</v>
      </c>
      <c r="E996" s="1">
        <v>45897</v>
      </c>
      <c r="F996" s="1">
        <v>45906</v>
      </c>
      <c r="G996" t="s">
        <v>59</v>
      </c>
      <c r="H996" t="s">
        <v>23</v>
      </c>
      <c r="I996" t="s">
        <v>117</v>
      </c>
      <c r="J996">
        <v>51</v>
      </c>
      <c r="K996" t="s">
        <v>38</v>
      </c>
      <c r="L996" t="s">
        <v>32</v>
      </c>
      <c r="M996" t="s">
        <v>27</v>
      </c>
      <c r="N996">
        <v>8.1</v>
      </c>
      <c r="O996" s="3">
        <v>6763.12</v>
      </c>
      <c r="P996">
        <v>0</v>
      </c>
      <c r="Q996">
        <v>2.9</v>
      </c>
      <c r="R996">
        <v>0.85</v>
      </c>
      <c r="S996" t="str">
        <f t="shared" si="15"/>
        <v>August</v>
      </c>
    </row>
    <row r="997" spans="1:19" x14ac:dyDescent="0.2">
      <c r="A997" t="s">
        <v>2047</v>
      </c>
      <c r="B997" t="s">
        <v>2048</v>
      </c>
      <c r="C997" t="s">
        <v>62</v>
      </c>
      <c r="D997" t="s">
        <v>21</v>
      </c>
      <c r="E997" s="1">
        <v>45955</v>
      </c>
      <c r="F997" s="1">
        <v>45959</v>
      </c>
      <c r="G997" t="s">
        <v>36</v>
      </c>
      <c r="H997" t="s">
        <v>44</v>
      </c>
      <c r="I997" t="s">
        <v>64</v>
      </c>
      <c r="J997">
        <v>27</v>
      </c>
      <c r="K997" t="s">
        <v>78</v>
      </c>
      <c r="L997" t="s">
        <v>32</v>
      </c>
      <c r="M997" t="s">
        <v>52</v>
      </c>
      <c r="N997">
        <v>3.8</v>
      </c>
      <c r="O997" s="3">
        <v>6763.12</v>
      </c>
      <c r="P997">
        <v>0</v>
      </c>
      <c r="Q997">
        <v>2.8</v>
      </c>
      <c r="R997">
        <v>0.84</v>
      </c>
      <c r="S997" t="str">
        <f t="shared" si="15"/>
        <v>October</v>
      </c>
    </row>
    <row r="998" spans="1:19" x14ac:dyDescent="0.2">
      <c r="A998" t="s">
        <v>2049</v>
      </c>
      <c r="B998" t="s">
        <v>2050</v>
      </c>
      <c r="C998" t="s">
        <v>58</v>
      </c>
      <c r="D998" t="s">
        <v>49</v>
      </c>
      <c r="E998" s="1">
        <v>45764</v>
      </c>
      <c r="F998" s="1">
        <v>45770</v>
      </c>
      <c r="G998" t="s">
        <v>50</v>
      </c>
      <c r="H998" t="s">
        <v>50</v>
      </c>
      <c r="I998" t="s">
        <v>45</v>
      </c>
      <c r="J998">
        <v>86</v>
      </c>
      <c r="K998" t="s">
        <v>65</v>
      </c>
      <c r="L998" t="s">
        <v>32</v>
      </c>
      <c r="M998" t="s">
        <v>39</v>
      </c>
      <c r="N998">
        <v>5.5</v>
      </c>
      <c r="O998" s="3">
        <v>6763.12</v>
      </c>
      <c r="P998">
        <v>0</v>
      </c>
      <c r="Q998">
        <v>3.5</v>
      </c>
      <c r="R998">
        <v>0.76</v>
      </c>
      <c r="S998" t="str">
        <f t="shared" si="15"/>
        <v>April</v>
      </c>
    </row>
    <row r="999" spans="1:19" x14ac:dyDescent="0.2">
      <c r="A999" t="s">
        <v>2051</v>
      </c>
      <c r="B999" t="s">
        <v>2052</v>
      </c>
      <c r="C999" t="s">
        <v>122</v>
      </c>
      <c r="D999" t="s">
        <v>35</v>
      </c>
      <c r="E999" s="1">
        <v>45972</v>
      </c>
      <c r="F999" s="1">
        <v>45975</v>
      </c>
      <c r="G999" t="s">
        <v>63</v>
      </c>
      <c r="H999" t="s">
        <v>50</v>
      </c>
      <c r="I999" t="s">
        <v>81</v>
      </c>
      <c r="J999">
        <v>29</v>
      </c>
      <c r="K999" t="s">
        <v>78</v>
      </c>
      <c r="L999" t="s">
        <v>32</v>
      </c>
      <c r="M999" t="s">
        <v>27</v>
      </c>
      <c r="N999">
        <v>2.2999999999999998</v>
      </c>
      <c r="O999" s="3">
        <v>6763.12</v>
      </c>
      <c r="P999">
        <v>0</v>
      </c>
      <c r="Q999">
        <v>3.9</v>
      </c>
      <c r="R999">
        <v>0.79</v>
      </c>
      <c r="S999" t="str">
        <f t="shared" si="15"/>
        <v>November</v>
      </c>
    </row>
    <row r="1000" spans="1:19" x14ac:dyDescent="0.2">
      <c r="A1000" t="s">
        <v>2053</v>
      </c>
      <c r="B1000" t="s">
        <v>2054</v>
      </c>
      <c r="C1000" t="s">
        <v>62</v>
      </c>
      <c r="D1000" t="s">
        <v>21</v>
      </c>
      <c r="E1000" s="1">
        <v>45866</v>
      </c>
      <c r="F1000" s="1">
        <v>45874</v>
      </c>
      <c r="G1000" t="s">
        <v>99</v>
      </c>
      <c r="H1000" t="s">
        <v>23</v>
      </c>
      <c r="I1000" t="s">
        <v>55</v>
      </c>
      <c r="J1000">
        <v>79</v>
      </c>
      <c r="K1000" t="s">
        <v>65</v>
      </c>
      <c r="L1000" t="s">
        <v>32</v>
      </c>
      <c r="M1000" t="s">
        <v>27</v>
      </c>
      <c r="N1000">
        <v>7.2</v>
      </c>
      <c r="O1000" s="3">
        <v>6763.12</v>
      </c>
      <c r="P1000">
        <v>0</v>
      </c>
      <c r="Q1000">
        <v>4.4000000000000004</v>
      </c>
      <c r="R1000">
        <v>0.86</v>
      </c>
      <c r="S1000" t="str">
        <f t="shared" si="15"/>
        <v>July</v>
      </c>
    </row>
    <row r="1001" spans="1:19" x14ac:dyDescent="0.2">
      <c r="A1001" t="s">
        <v>2055</v>
      </c>
      <c r="B1001" t="s">
        <v>2056</v>
      </c>
      <c r="C1001" t="s">
        <v>58</v>
      </c>
      <c r="D1001" t="s">
        <v>35</v>
      </c>
      <c r="E1001" s="1">
        <v>45719</v>
      </c>
      <c r="F1001" s="1">
        <v>45721</v>
      </c>
      <c r="G1001" t="s">
        <v>43</v>
      </c>
      <c r="H1001" t="s">
        <v>23</v>
      </c>
      <c r="I1001" t="s">
        <v>24</v>
      </c>
      <c r="J1001">
        <v>15</v>
      </c>
      <c r="K1001" t="s">
        <v>46</v>
      </c>
      <c r="L1001" t="s">
        <v>32</v>
      </c>
      <c r="M1001" t="s">
        <v>27</v>
      </c>
      <c r="N1001">
        <v>1.4</v>
      </c>
      <c r="O1001" s="3">
        <v>6763.12</v>
      </c>
      <c r="P1001">
        <v>0</v>
      </c>
      <c r="Q1001">
        <v>4.3</v>
      </c>
      <c r="R1001">
        <v>0.75</v>
      </c>
      <c r="S1001" t="str">
        <f t="shared" si="15"/>
        <v>March</v>
      </c>
    </row>
    <row r="1002" spans="1:19" x14ac:dyDescent="0.2">
      <c r="A1002" t="s">
        <v>2057</v>
      </c>
      <c r="B1002" t="s">
        <v>2058</v>
      </c>
      <c r="C1002" t="s">
        <v>58</v>
      </c>
      <c r="D1002" t="s">
        <v>35</v>
      </c>
      <c r="E1002" s="1">
        <v>45791</v>
      </c>
      <c r="F1002" s="1">
        <v>45793</v>
      </c>
      <c r="G1002" t="s">
        <v>50</v>
      </c>
      <c r="H1002" t="s">
        <v>50</v>
      </c>
      <c r="I1002" t="s">
        <v>24</v>
      </c>
      <c r="J1002">
        <v>7</v>
      </c>
      <c r="K1002" t="s">
        <v>103</v>
      </c>
      <c r="L1002" t="s">
        <v>26</v>
      </c>
      <c r="M1002" t="s">
        <v>39</v>
      </c>
      <c r="N1002">
        <v>1.7</v>
      </c>
      <c r="O1002" s="3">
        <v>6763.12</v>
      </c>
      <c r="P1002">
        <v>1</v>
      </c>
      <c r="Q1002">
        <v>4.0999999999999996</v>
      </c>
      <c r="R1002">
        <v>0.81</v>
      </c>
      <c r="S1002" t="str">
        <f t="shared" si="15"/>
        <v>May</v>
      </c>
    </row>
    <row r="1003" spans="1:19" x14ac:dyDescent="0.2">
      <c r="A1003" t="s">
        <v>2059</v>
      </c>
      <c r="B1003" t="s">
        <v>2060</v>
      </c>
      <c r="C1003" t="s">
        <v>62</v>
      </c>
      <c r="D1003" t="s">
        <v>42</v>
      </c>
      <c r="E1003" s="1">
        <v>45660</v>
      </c>
      <c r="F1003" s="1">
        <v>45663</v>
      </c>
      <c r="G1003" t="s">
        <v>116</v>
      </c>
      <c r="H1003" t="s">
        <v>23</v>
      </c>
      <c r="I1003" t="s">
        <v>64</v>
      </c>
      <c r="J1003">
        <v>17</v>
      </c>
      <c r="K1003" t="s">
        <v>46</v>
      </c>
      <c r="L1003" t="s">
        <v>26</v>
      </c>
      <c r="M1003" t="s">
        <v>52</v>
      </c>
      <c r="N1003">
        <v>2.1</v>
      </c>
      <c r="O1003" s="3">
        <v>6763.12</v>
      </c>
      <c r="P1003">
        <v>0</v>
      </c>
      <c r="Q1003">
        <v>3.4</v>
      </c>
      <c r="R1003">
        <v>0.86</v>
      </c>
      <c r="S1003" t="str">
        <f t="shared" si="15"/>
        <v>January</v>
      </c>
    </row>
    <row r="1004" spans="1:19" x14ac:dyDescent="0.2">
      <c r="A1004" t="s">
        <v>2061</v>
      </c>
      <c r="B1004" t="s">
        <v>2062</v>
      </c>
      <c r="C1004" t="s">
        <v>20</v>
      </c>
      <c r="D1004" t="s">
        <v>35</v>
      </c>
      <c r="E1004" s="1">
        <v>45672</v>
      </c>
      <c r="F1004" s="1">
        <v>45677</v>
      </c>
      <c r="G1004" t="s">
        <v>36</v>
      </c>
      <c r="H1004" t="s">
        <v>50</v>
      </c>
      <c r="I1004" t="s">
        <v>117</v>
      </c>
      <c r="J1004">
        <v>38</v>
      </c>
      <c r="K1004" t="s">
        <v>25</v>
      </c>
      <c r="L1004" t="s">
        <v>32</v>
      </c>
      <c r="M1004" t="s">
        <v>52</v>
      </c>
      <c r="N1004">
        <v>4.2</v>
      </c>
      <c r="O1004" s="3">
        <v>6763.12</v>
      </c>
      <c r="P1004">
        <v>0</v>
      </c>
      <c r="Q1004">
        <v>4.4000000000000004</v>
      </c>
      <c r="R1004">
        <v>0.9</v>
      </c>
      <c r="S1004" t="str">
        <f t="shared" si="15"/>
        <v>January</v>
      </c>
    </row>
    <row r="1005" spans="1:19" x14ac:dyDescent="0.2">
      <c r="A1005" t="s">
        <v>2063</v>
      </c>
      <c r="B1005" t="s">
        <v>2064</v>
      </c>
      <c r="C1005" t="s">
        <v>20</v>
      </c>
      <c r="D1005" t="s">
        <v>49</v>
      </c>
      <c r="E1005" s="1">
        <v>45780</v>
      </c>
      <c r="F1005" s="1">
        <v>45785</v>
      </c>
      <c r="G1005" t="s">
        <v>99</v>
      </c>
      <c r="H1005" t="s">
        <v>44</v>
      </c>
      <c r="I1005" t="s">
        <v>64</v>
      </c>
      <c r="J1005">
        <v>82</v>
      </c>
      <c r="K1005" t="s">
        <v>65</v>
      </c>
      <c r="L1005" t="s">
        <v>32</v>
      </c>
      <c r="M1005" t="s">
        <v>39</v>
      </c>
      <c r="N1005">
        <v>4.3</v>
      </c>
      <c r="O1005" s="3">
        <v>6763.12</v>
      </c>
      <c r="P1005">
        <v>0</v>
      </c>
      <c r="Q1005">
        <v>4.7</v>
      </c>
      <c r="R1005">
        <v>0.8</v>
      </c>
      <c r="S1005" t="str">
        <f t="shared" si="15"/>
        <v>May</v>
      </c>
    </row>
    <row r="1006" spans="1:19" x14ac:dyDescent="0.2">
      <c r="A1006" t="s">
        <v>2065</v>
      </c>
      <c r="B1006" t="s">
        <v>2066</v>
      </c>
      <c r="C1006" t="s">
        <v>62</v>
      </c>
      <c r="D1006" t="s">
        <v>21</v>
      </c>
      <c r="E1006" s="1">
        <v>45823</v>
      </c>
      <c r="F1006" s="1">
        <v>45826</v>
      </c>
      <c r="G1006" t="s">
        <v>68</v>
      </c>
      <c r="H1006" t="s">
        <v>44</v>
      </c>
      <c r="I1006" t="s">
        <v>45</v>
      </c>
      <c r="J1006">
        <v>16</v>
      </c>
      <c r="K1006" t="s">
        <v>46</v>
      </c>
      <c r="L1006" t="s">
        <v>32</v>
      </c>
      <c r="M1006" t="s">
        <v>39</v>
      </c>
      <c r="N1006">
        <v>2.7</v>
      </c>
      <c r="O1006" s="3">
        <v>6763.12</v>
      </c>
      <c r="P1006">
        <v>0</v>
      </c>
      <c r="Q1006">
        <v>4.0999999999999996</v>
      </c>
      <c r="R1006">
        <v>0.88</v>
      </c>
      <c r="S1006" t="str">
        <f t="shared" si="15"/>
        <v>June</v>
      </c>
    </row>
    <row r="1007" spans="1:19" x14ac:dyDescent="0.2">
      <c r="A1007" t="s">
        <v>2067</v>
      </c>
      <c r="B1007" t="s">
        <v>2068</v>
      </c>
      <c r="C1007" t="s">
        <v>20</v>
      </c>
      <c r="D1007" t="s">
        <v>21</v>
      </c>
      <c r="E1007" s="1">
        <v>45949</v>
      </c>
      <c r="F1007" s="1">
        <v>45951</v>
      </c>
      <c r="G1007" t="s">
        <v>22</v>
      </c>
      <c r="H1007" t="s">
        <v>23</v>
      </c>
      <c r="I1007" t="s">
        <v>55</v>
      </c>
      <c r="J1007">
        <v>71</v>
      </c>
      <c r="K1007" t="s">
        <v>169</v>
      </c>
      <c r="L1007" t="s">
        <v>32</v>
      </c>
      <c r="M1007" t="s">
        <v>27</v>
      </c>
      <c r="N1007">
        <v>1.7</v>
      </c>
      <c r="O1007" s="3">
        <v>6763.12</v>
      </c>
      <c r="P1007">
        <v>0</v>
      </c>
      <c r="Q1007">
        <v>4.2</v>
      </c>
      <c r="R1007">
        <v>0.77</v>
      </c>
      <c r="S1007" t="str">
        <f t="shared" si="15"/>
        <v>October</v>
      </c>
    </row>
    <row r="1008" spans="1:19" x14ac:dyDescent="0.2">
      <c r="A1008" t="s">
        <v>2069</v>
      </c>
      <c r="B1008" t="s">
        <v>2070</v>
      </c>
      <c r="C1008" t="s">
        <v>62</v>
      </c>
      <c r="D1008" t="s">
        <v>21</v>
      </c>
      <c r="E1008" s="1">
        <v>45707</v>
      </c>
      <c r="F1008" s="1">
        <v>45708</v>
      </c>
      <c r="G1008" t="s">
        <v>43</v>
      </c>
      <c r="H1008" t="s">
        <v>50</v>
      </c>
      <c r="I1008" t="s">
        <v>55</v>
      </c>
      <c r="J1008">
        <v>63</v>
      </c>
      <c r="K1008" t="s">
        <v>38</v>
      </c>
      <c r="L1008" t="s">
        <v>32</v>
      </c>
      <c r="M1008" t="s">
        <v>82</v>
      </c>
      <c r="N1008">
        <v>0.5</v>
      </c>
      <c r="O1008" s="3">
        <v>6763.12</v>
      </c>
      <c r="P1008">
        <v>0</v>
      </c>
      <c r="Q1008">
        <v>3.1</v>
      </c>
      <c r="R1008">
        <v>0.9</v>
      </c>
      <c r="S1008" t="str">
        <f t="shared" si="15"/>
        <v>February</v>
      </c>
    </row>
    <row r="1009" spans="1:19" x14ac:dyDescent="0.2">
      <c r="A1009" t="s">
        <v>2071</v>
      </c>
      <c r="B1009" t="s">
        <v>2072</v>
      </c>
      <c r="C1009" t="s">
        <v>30</v>
      </c>
      <c r="D1009" t="s">
        <v>21</v>
      </c>
      <c r="E1009" s="1">
        <v>45964</v>
      </c>
      <c r="F1009" s="1">
        <v>45972</v>
      </c>
      <c r="G1009" t="s">
        <v>63</v>
      </c>
      <c r="H1009" t="s">
        <v>50</v>
      </c>
      <c r="I1009" t="s">
        <v>51</v>
      </c>
      <c r="J1009">
        <v>31</v>
      </c>
      <c r="K1009" t="s">
        <v>78</v>
      </c>
      <c r="L1009" t="s">
        <v>26</v>
      </c>
      <c r="M1009" t="s">
        <v>27</v>
      </c>
      <c r="N1009">
        <v>7.1</v>
      </c>
      <c r="O1009" s="3">
        <v>6763.12</v>
      </c>
      <c r="P1009">
        <v>0</v>
      </c>
      <c r="Q1009">
        <v>4.3</v>
      </c>
      <c r="R1009">
        <v>0.79</v>
      </c>
      <c r="S1009" t="str">
        <f t="shared" si="15"/>
        <v>November</v>
      </c>
    </row>
    <row r="1010" spans="1:19" x14ac:dyDescent="0.2">
      <c r="A1010" t="s">
        <v>2073</v>
      </c>
      <c r="B1010" t="s">
        <v>2074</v>
      </c>
      <c r="C1010" t="s">
        <v>30</v>
      </c>
      <c r="D1010" t="s">
        <v>49</v>
      </c>
      <c r="E1010" s="1">
        <v>45743</v>
      </c>
      <c r="F1010" s="1">
        <v>45744</v>
      </c>
      <c r="G1010" t="s">
        <v>50</v>
      </c>
      <c r="H1010" t="s">
        <v>50</v>
      </c>
      <c r="I1010" t="s">
        <v>37</v>
      </c>
      <c r="J1010">
        <v>30</v>
      </c>
      <c r="K1010" t="s">
        <v>78</v>
      </c>
      <c r="L1010" t="s">
        <v>32</v>
      </c>
      <c r="M1010" t="s">
        <v>27</v>
      </c>
      <c r="N1010">
        <v>0.3</v>
      </c>
      <c r="O1010" s="3">
        <v>6763.12</v>
      </c>
      <c r="P1010">
        <v>0</v>
      </c>
      <c r="Q1010">
        <v>4.8</v>
      </c>
      <c r="R1010">
        <v>0.84</v>
      </c>
      <c r="S1010" t="str">
        <f t="shared" si="15"/>
        <v>March</v>
      </c>
    </row>
    <row r="1011" spans="1:19" x14ac:dyDescent="0.2">
      <c r="A1011" t="s">
        <v>2075</v>
      </c>
      <c r="B1011" t="s">
        <v>2076</v>
      </c>
      <c r="C1011" t="s">
        <v>20</v>
      </c>
      <c r="D1011" t="s">
        <v>42</v>
      </c>
      <c r="E1011" s="1">
        <v>45708</v>
      </c>
      <c r="F1011" s="1">
        <v>45709</v>
      </c>
      <c r="G1011" t="s">
        <v>50</v>
      </c>
      <c r="H1011" t="s">
        <v>50</v>
      </c>
      <c r="I1011" t="s">
        <v>117</v>
      </c>
      <c r="J1011">
        <v>86</v>
      </c>
      <c r="K1011" t="s">
        <v>65</v>
      </c>
      <c r="L1011" t="s">
        <v>32</v>
      </c>
      <c r="M1011" t="s">
        <v>52</v>
      </c>
      <c r="N1011">
        <v>0.8</v>
      </c>
      <c r="O1011" s="3">
        <v>6763.12</v>
      </c>
      <c r="P1011">
        <v>0</v>
      </c>
      <c r="Q1011">
        <v>3.9</v>
      </c>
      <c r="R1011">
        <v>0.79</v>
      </c>
      <c r="S1011" t="str">
        <f t="shared" si="15"/>
        <v>February</v>
      </c>
    </row>
    <row r="1012" spans="1:19" x14ac:dyDescent="0.2">
      <c r="A1012" t="s">
        <v>2077</v>
      </c>
      <c r="B1012" t="s">
        <v>2078</v>
      </c>
      <c r="C1012" t="s">
        <v>30</v>
      </c>
      <c r="D1012" t="s">
        <v>21</v>
      </c>
      <c r="E1012" s="1">
        <v>45913</v>
      </c>
      <c r="F1012" s="1">
        <v>45916</v>
      </c>
      <c r="G1012" t="s">
        <v>116</v>
      </c>
      <c r="H1012" t="s">
        <v>23</v>
      </c>
      <c r="I1012" t="s">
        <v>45</v>
      </c>
      <c r="J1012">
        <v>65</v>
      </c>
      <c r="K1012" t="s">
        <v>169</v>
      </c>
      <c r="L1012" t="s">
        <v>26</v>
      </c>
      <c r="M1012" t="s">
        <v>82</v>
      </c>
      <c r="N1012">
        <v>2.6</v>
      </c>
      <c r="O1012" s="3">
        <v>6763.12</v>
      </c>
      <c r="P1012">
        <v>0</v>
      </c>
      <c r="Q1012">
        <v>3.5</v>
      </c>
      <c r="R1012">
        <v>0.84</v>
      </c>
      <c r="S1012" t="str">
        <f t="shared" si="15"/>
        <v>September</v>
      </c>
    </row>
    <row r="1013" spans="1:19" x14ac:dyDescent="0.2">
      <c r="A1013" t="s">
        <v>2079</v>
      </c>
      <c r="B1013" t="s">
        <v>2080</v>
      </c>
      <c r="C1013" t="s">
        <v>62</v>
      </c>
      <c r="D1013" t="s">
        <v>42</v>
      </c>
      <c r="E1013" s="1">
        <v>45940</v>
      </c>
      <c r="F1013" s="1">
        <v>45942</v>
      </c>
      <c r="G1013" t="s">
        <v>63</v>
      </c>
      <c r="H1013" t="s">
        <v>50</v>
      </c>
      <c r="I1013" t="s">
        <v>37</v>
      </c>
      <c r="J1013">
        <v>21</v>
      </c>
      <c r="K1013" t="s">
        <v>78</v>
      </c>
      <c r="L1013" t="s">
        <v>32</v>
      </c>
      <c r="M1013" t="s">
        <v>27</v>
      </c>
      <c r="N1013">
        <v>1.4</v>
      </c>
      <c r="O1013" s="3">
        <v>6763.12</v>
      </c>
      <c r="P1013">
        <v>0</v>
      </c>
      <c r="Q1013">
        <v>3.8</v>
      </c>
      <c r="R1013">
        <v>0.83</v>
      </c>
      <c r="S1013" t="str">
        <f t="shared" si="15"/>
        <v>October</v>
      </c>
    </row>
    <row r="1014" spans="1:19" x14ac:dyDescent="0.2">
      <c r="A1014" t="s">
        <v>2081</v>
      </c>
      <c r="B1014" t="s">
        <v>1723</v>
      </c>
      <c r="C1014" t="s">
        <v>30</v>
      </c>
      <c r="D1014" t="s">
        <v>49</v>
      </c>
      <c r="E1014" s="1">
        <v>45878</v>
      </c>
      <c r="F1014" s="1">
        <v>45882</v>
      </c>
      <c r="G1014" t="s">
        <v>36</v>
      </c>
      <c r="H1014" t="s">
        <v>50</v>
      </c>
      <c r="I1014" t="s">
        <v>55</v>
      </c>
      <c r="J1014">
        <v>82</v>
      </c>
      <c r="K1014" t="s">
        <v>65</v>
      </c>
      <c r="L1014" t="s">
        <v>32</v>
      </c>
      <c r="M1014" t="s">
        <v>39</v>
      </c>
      <c r="N1014">
        <v>3.1</v>
      </c>
      <c r="O1014" s="3">
        <v>6763.12</v>
      </c>
      <c r="P1014">
        <v>0</v>
      </c>
      <c r="Q1014">
        <v>3.6</v>
      </c>
      <c r="R1014">
        <v>0.79</v>
      </c>
      <c r="S1014" t="str">
        <f t="shared" si="15"/>
        <v>August</v>
      </c>
    </row>
    <row r="1015" spans="1:19" x14ac:dyDescent="0.2">
      <c r="A1015" t="s">
        <v>2082</v>
      </c>
      <c r="B1015" t="s">
        <v>2083</v>
      </c>
      <c r="C1015" t="s">
        <v>58</v>
      </c>
      <c r="D1015" t="s">
        <v>49</v>
      </c>
      <c r="E1015" s="1">
        <v>45700</v>
      </c>
      <c r="F1015" s="1">
        <v>45707</v>
      </c>
      <c r="G1015" t="s">
        <v>63</v>
      </c>
      <c r="H1015" t="s">
        <v>50</v>
      </c>
      <c r="I1015" t="s">
        <v>55</v>
      </c>
      <c r="J1015">
        <v>37</v>
      </c>
      <c r="K1015" t="s">
        <v>25</v>
      </c>
      <c r="L1015" t="s">
        <v>32</v>
      </c>
      <c r="M1015" t="s">
        <v>39</v>
      </c>
      <c r="N1015">
        <v>6.6</v>
      </c>
      <c r="O1015" s="3">
        <v>6763.12</v>
      </c>
      <c r="P1015">
        <v>0</v>
      </c>
      <c r="Q1015">
        <v>3.7</v>
      </c>
      <c r="R1015">
        <v>0.74</v>
      </c>
      <c r="S1015" t="str">
        <f t="shared" si="15"/>
        <v>February</v>
      </c>
    </row>
    <row r="1016" spans="1:19" x14ac:dyDescent="0.2">
      <c r="A1016" t="s">
        <v>2084</v>
      </c>
      <c r="B1016" t="s">
        <v>2085</v>
      </c>
      <c r="C1016" t="s">
        <v>122</v>
      </c>
      <c r="D1016" t="s">
        <v>35</v>
      </c>
      <c r="E1016" s="1">
        <v>45700</v>
      </c>
      <c r="F1016" s="1">
        <v>45702</v>
      </c>
      <c r="G1016" t="s">
        <v>116</v>
      </c>
      <c r="H1016" t="s">
        <v>50</v>
      </c>
      <c r="I1016" t="s">
        <v>45</v>
      </c>
      <c r="J1016">
        <v>7</v>
      </c>
      <c r="K1016" t="s">
        <v>103</v>
      </c>
      <c r="L1016" t="s">
        <v>26</v>
      </c>
      <c r="M1016" t="s">
        <v>27</v>
      </c>
      <c r="N1016">
        <v>1.6</v>
      </c>
      <c r="O1016" s="3">
        <v>6763.12</v>
      </c>
      <c r="P1016">
        <v>0</v>
      </c>
      <c r="Q1016">
        <v>4.3</v>
      </c>
      <c r="R1016">
        <v>0.84</v>
      </c>
      <c r="S1016" t="str">
        <f t="shared" si="15"/>
        <v>February</v>
      </c>
    </row>
    <row r="1017" spans="1:19" x14ac:dyDescent="0.2">
      <c r="A1017" t="s">
        <v>2086</v>
      </c>
      <c r="B1017" t="s">
        <v>2087</v>
      </c>
      <c r="C1017" t="s">
        <v>62</v>
      </c>
      <c r="D1017" t="s">
        <v>35</v>
      </c>
      <c r="E1017" s="1">
        <v>45800</v>
      </c>
      <c r="F1017" s="1">
        <v>45801</v>
      </c>
      <c r="G1017" t="s">
        <v>50</v>
      </c>
      <c r="H1017" t="s">
        <v>50</v>
      </c>
      <c r="I1017" t="s">
        <v>117</v>
      </c>
      <c r="J1017">
        <v>74</v>
      </c>
      <c r="K1017" t="s">
        <v>169</v>
      </c>
      <c r="L1017" t="s">
        <v>32</v>
      </c>
      <c r="M1017" t="s">
        <v>27</v>
      </c>
      <c r="N1017">
        <v>0.9</v>
      </c>
      <c r="O1017" s="3">
        <v>6763.12</v>
      </c>
      <c r="P1017">
        <v>0</v>
      </c>
      <c r="Q1017">
        <v>3.9</v>
      </c>
      <c r="R1017">
        <v>0.86</v>
      </c>
      <c r="S1017" t="str">
        <f t="shared" si="15"/>
        <v>May</v>
      </c>
    </row>
    <row r="1018" spans="1:19" x14ac:dyDescent="0.2">
      <c r="A1018" t="s">
        <v>2088</v>
      </c>
      <c r="B1018" t="s">
        <v>2089</v>
      </c>
      <c r="C1018" t="s">
        <v>122</v>
      </c>
      <c r="D1018" t="s">
        <v>42</v>
      </c>
      <c r="E1018" s="1">
        <v>45822</v>
      </c>
      <c r="F1018" s="1">
        <v>45823</v>
      </c>
      <c r="G1018" t="s">
        <v>50</v>
      </c>
      <c r="H1018" t="s">
        <v>23</v>
      </c>
      <c r="I1018" t="s">
        <v>100</v>
      </c>
      <c r="J1018">
        <v>79</v>
      </c>
      <c r="K1018" t="s">
        <v>65</v>
      </c>
      <c r="L1018" t="s">
        <v>26</v>
      </c>
      <c r="M1018" t="s">
        <v>27</v>
      </c>
      <c r="N1018">
        <v>0.4</v>
      </c>
      <c r="O1018" s="3">
        <v>6763.12</v>
      </c>
      <c r="P1018">
        <v>1</v>
      </c>
      <c r="Q1018">
        <v>4.3</v>
      </c>
      <c r="R1018">
        <v>0.73</v>
      </c>
      <c r="S1018" t="str">
        <f t="shared" si="15"/>
        <v>June</v>
      </c>
    </row>
    <row r="1019" spans="1:19" x14ac:dyDescent="0.2">
      <c r="A1019" t="s">
        <v>2090</v>
      </c>
      <c r="B1019" t="s">
        <v>2091</v>
      </c>
      <c r="C1019" t="s">
        <v>30</v>
      </c>
      <c r="D1019" t="s">
        <v>49</v>
      </c>
      <c r="E1019" s="1">
        <v>46022</v>
      </c>
      <c r="F1019" s="1">
        <v>46024</v>
      </c>
      <c r="G1019" t="s">
        <v>116</v>
      </c>
      <c r="H1019" t="s">
        <v>23</v>
      </c>
      <c r="I1019" t="s">
        <v>31</v>
      </c>
      <c r="J1019">
        <v>40</v>
      </c>
      <c r="K1019" t="s">
        <v>25</v>
      </c>
      <c r="L1019" t="s">
        <v>26</v>
      </c>
      <c r="M1019" t="s">
        <v>39</v>
      </c>
      <c r="N1019">
        <v>1.6</v>
      </c>
      <c r="O1019" s="3">
        <v>6763.12</v>
      </c>
      <c r="P1019">
        <v>0</v>
      </c>
      <c r="Q1019">
        <v>4.0999999999999996</v>
      </c>
      <c r="R1019">
        <v>0.86</v>
      </c>
      <c r="S1019" t="str">
        <f t="shared" si="15"/>
        <v>December</v>
      </c>
    </row>
    <row r="1020" spans="1:19" x14ac:dyDescent="0.2">
      <c r="A1020" t="s">
        <v>2092</v>
      </c>
      <c r="B1020" t="s">
        <v>2093</v>
      </c>
      <c r="C1020" t="s">
        <v>30</v>
      </c>
      <c r="D1020" t="s">
        <v>21</v>
      </c>
      <c r="E1020" s="1">
        <v>45762</v>
      </c>
      <c r="F1020" s="1">
        <v>45763</v>
      </c>
      <c r="G1020" t="s">
        <v>116</v>
      </c>
      <c r="H1020" t="s">
        <v>50</v>
      </c>
      <c r="I1020" t="s">
        <v>100</v>
      </c>
      <c r="J1020">
        <v>64</v>
      </c>
      <c r="K1020" t="s">
        <v>38</v>
      </c>
      <c r="L1020" t="s">
        <v>32</v>
      </c>
      <c r="M1020" t="s">
        <v>39</v>
      </c>
      <c r="N1020">
        <v>0.7</v>
      </c>
      <c r="O1020" s="3">
        <v>6763.12</v>
      </c>
      <c r="P1020">
        <v>0</v>
      </c>
      <c r="Q1020">
        <v>3.4</v>
      </c>
      <c r="R1020">
        <v>0.78</v>
      </c>
      <c r="S1020" t="str">
        <f t="shared" si="15"/>
        <v>April</v>
      </c>
    </row>
    <row r="1021" spans="1:19" x14ac:dyDescent="0.2">
      <c r="A1021" t="s">
        <v>2094</v>
      </c>
      <c r="B1021" t="s">
        <v>2095</v>
      </c>
      <c r="C1021" t="s">
        <v>20</v>
      </c>
      <c r="D1021" t="s">
        <v>42</v>
      </c>
      <c r="E1021" s="1">
        <v>45728</v>
      </c>
      <c r="F1021" s="1">
        <v>45731</v>
      </c>
      <c r="G1021" t="s">
        <v>68</v>
      </c>
      <c r="H1021" t="s">
        <v>44</v>
      </c>
      <c r="I1021" t="s">
        <v>24</v>
      </c>
      <c r="J1021">
        <v>21</v>
      </c>
      <c r="K1021" t="s">
        <v>78</v>
      </c>
      <c r="L1021" t="s">
        <v>26</v>
      </c>
      <c r="M1021" t="s">
        <v>39</v>
      </c>
      <c r="N1021">
        <v>3</v>
      </c>
      <c r="O1021" s="3">
        <v>6763.12</v>
      </c>
      <c r="P1021">
        <v>0</v>
      </c>
      <c r="Q1021">
        <v>3.6</v>
      </c>
      <c r="R1021">
        <v>0.83</v>
      </c>
      <c r="S1021" t="str">
        <f t="shared" si="15"/>
        <v>March</v>
      </c>
    </row>
    <row r="1022" spans="1:19" x14ac:dyDescent="0.2">
      <c r="A1022" t="s">
        <v>2096</v>
      </c>
      <c r="B1022" t="s">
        <v>2097</v>
      </c>
      <c r="C1022" t="s">
        <v>62</v>
      </c>
      <c r="D1022" t="s">
        <v>21</v>
      </c>
      <c r="E1022" s="1">
        <v>46003</v>
      </c>
      <c r="F1022" s="1">
        <v>46004</v>
      </c>
      <c r="G1022" t="s">
        <v>68</v>
      </c>
      <c r="H1022" t="s">
        <v>44</v>
      </c>
      <c r="I1022" t="s">
        <v>55</v>
      </c>
      <c r="J1022">
        <v>77</v>
      </c>
      <c r="K1022" t="s">
        <v>65</v>
      </c>
      <c r="L1022" t="s">
        <v>32</v>
      </c>
      <c r="M1022" t="s">
        <v>27</v>
      </c>
      <c r="N1022">
        <v>0.6</v>
      </c>
      <c r="O1022" s="3">
        <v>6763.12</v>
      </c>
      <c r="P1022">
        <v>0</v>
      </c>
      <c r="Q1022">
        <v>3.6</v>
      </c>
      <c r="R1022">
        <v>0.86</v>
      </c>
      <c r="S1022" t="str">
        <f t="shared" si="15"/>
        <v>December</v>
      </c>
    </row>
    <row r="1023" spans="1:19" x14ac:dyDescent="0.2">
      <c r="A1023" t="s">
        <v>2098</v>
      </c>
      <c r="B1023" t="s">
        <v>2099</v>
      </c>
      <c r="C1023" t="s">
        <v>62</v>
      </c>
      <c r="D1023" t="s">
        <v>42</v>
      </c>
      <c r="E1023" s="1">
        <v>45714</v>
      </c>
      <c r="F1023" s="1">
        <v>45717</v>
      </c>
      <c r="G1023" t="s">
        <v>63</v>
      </c>
      <c r="H1023" t="s">
        <v>50</v>
      </c>
      <c r="I1023" t="s">
        <v>51</v>
      </c>
      <c r="J1023">
        <v>33</v>
      </c>
      <c r="K1023" t="s">
        <v>78</v>
      </c>
      <c r="L1023" t="s">
        <v>32</v>
      </c>
      <c r="M1023" t="s">
        <v>52</v>
      </c>
      <c r="N1023">
        <v>2.2000000000000002</v>
      </c>
      <c r="O1023" s="3">
        <v>6763.12</v>
      </c>
      <c r="P1023">
        <v>1</v>
      </c>
      <c r="Q1023">
        <v>3.8</v>
      </c>
      <c r="R1023">
        <v>0.86</v>
      </c>
      <c r="S1023" t="str">
        <f t="shared" si="15"/>
        <v>February</v>
      </c>
    </row>
    <row r="1024" spans="1:19" x14ac:dyDescent="0.2">
      <c r="A1024" t="s">
        <v>2100</v>
      </c>
      <c r="B1024" t="s">
        <v>2101</v>
      </c>
      <c r="C1024" t="s">
        <v>122</v>
      </c>
      <c r="D1024" t="s">
        <v>21</v>
      </c>
      <c r="E1024" s="1">
        <v>45667</v>
      </c>
      <c r="F1024" s="1">
        <v>45672</v>
      </c>
      <c r="G1024" t="s">
        <v>71</v>
      </c>
      <c r="H1024" t="s">
        <v>23</v>
      </c>
      <c r="I1024" t="s">
        <v>55</v>
      </c>
      <c r="J1024">
        <v>24</v>
      </c>
      <c r="K1024" t="s">
        <v>78</v>
      </c>
      <c r="L1024" t="s">
        <v>32</v>
      </c>
      <c r="M1024" t="s">
        <v>39</v>
      </c>
      <c r="N1024">
        <v>4.2</v>
      </c>
      <c r="O1024" s="3">
        <v>6763.12</v>
      </c>
      <c r="P1024">
        <v>0</v>
      </c>
      <c r="Q1024">
        <v>5</v>
      </c>
      <c r="R1024">
        <v>0.85</v>
      </c>
      <c r="S1024" t="str">
        <f t="shared" si="15"/>
        <v>January</v>
      </c>
    </row>
    <row r="1025" spans="1:19" x14ac:dyDescent="0.2">
      <c r="A1025" t="s">
        <v>2102</v>
      </c>
      <c r="B1025" t="s">
        <v>2103</v>
      </c>
      <c r="C1025" t="s">
        <v>20</v>
      </c>
      <c r="D1025" t="s">
        <v>42</v>
      </c>
      <c r="E1025" s="1">
        <v>45812</v>
      </c>
      <c r="F1025" s="1">
        <v>45815</v>
      </c>
      <c r="G1025" t="s">
        <v>99</v>
      </c>
      <c r="H1025" t="s">
        <v>50</v>
      </c>
      <c r="I1025" t="s">
        <v>31</v>
      </c>
      <c r="J1025">
        <v>45</v>
      </c>
      <c r="K1025" t="s">
        <v>25</v>
      </c>
      <c r="L1025" t="s">
        <v>26</v>
      </c>
      <c r="M1025" t="s">
        <v>82</v>
      </c>
      <c r="N1025">
        <v>2.8</v>
      </c>
      <c r="O1025" s="3">
        <v>6763.12</v>
      </c>
      <c r="P1025">
        <v>0</v>
      </c>
      <c r="Q1025">
        <v>5</v>
      </c>
      <c r="R1025">
        <v>0.77</v>
      </c>
      <c r="S1025" t="str">
        <f t="shared" si="15"/>
        <v>June</v>
      </c>
    </row>
    <row r="1026" spans="1:19" x14ac:dyDescent="0.2">
      <c r="A1026" t="s">
        <v>2104</v>
      </c>
      <c r="B1026" t="s">
        <v>2105</v>
      </c>
      <c r="C1026" t="s">
        <v>30</v>
      </c>
      <c r="D1026" t="s">
        <v>35</v>
      </c>
      <c r="E1026" s="1">
        <v>45804</v>
      </c>
      <c r="F1026" s="1">
        <v>45809</v>
      </c>
      <c r="G1026" t="s">
        <v>36</v>
      </c>
      <c r="H1026" t="s">
        <v>50</v>
      </c>
      <c r="I1026" t="s">
        <v>100</v>
      </c>
      <c r="J1026">
        <v>24</v>
      </c>
      <c r="K1026" t="s">
        <v>78</v>
      </c>
      <c r="L1026" t="s">
        <v>32</v>
      </c>
      <c r="M1026" t="s">
        <v>27</v>
      </c>
      <c r="N1026">
        <v>4.5999999999999996</v>
      </c>
      <c r="O1026" s="3">
        <v>6763.12</v>
      </c>
      <c r="P1026">
        <v>0</v>
      </c>
      <c r="Q1026">
        <v>4.4000000000000004</v>
      </c>
      <c r="R1026">
        <v>0.84</v>
      </c>
      <c r="S1026" t="str">
        <f t="shared" si="15"/>
        <v>May</v>
      </c>
    </row>
    <row r="1027" spans="1:19" x14ac:dyDescent="0.2">
      <c r="A1027" t="s">
        <v>2106</v>
      </c>
      <c r="B1027" t="s">
        <v>2107</v>
      </c>
      <c r="C1027" t="s">
        <v>20</v>
      </c>
      <c r="D1027" t="s">
        <v>35</v>
      </c>
      <c r="E1027" s="1">
        <v>45884</v>
      </c>
      <c r="F1027" s="1">
        <v>45887</v>
      </c>
      <c r="G1027" t="s">
        <v>99</v>
      </c>
      <c r="H1027" t="s">
        <v>50</v>
      </c>
      <c r="I1027" t="s">
        <v>31</v>
      </c>
      <c r="J1027">
        <v>56</v>
      </c>
      <c r="K1027" t="s">
        <v>38</v>
      </c>
      <c r="L1027" t="s">
        <v>32</v>
      </c>
      <c r="M1027" t="s">
        <v>39</v>
      </c>
      <c r="N1027">
        <v>3</v>
      </c>
      <c r="O1027" s="3">
        <v>6763.12</v>
      </c>
      <c r="P1027">
        <v>0</v>
      </c>
      <c r="Q1027">
        <v>4</v>
      </c>
      <c r="R1027">
        <v>0.85</v>
      </c>
      <c r="S1027" t="str">
        <f t="shared" ref="S1027:S1090" si="16">TEXT(E1027, "mmmm")</f>
        <v>August</v>
      </c>
    </row>
    <row r="1028" spans="1:19" x14ac:dyDescent="0.2">
      <c r="A1028" t="s">
        <v>2108</v>
      </c>
      <c r="B1028" t="s">
        <v>2109</v>
      </c>
      <c r="C1028" t="s">
        <v>20</v>
      </c>
      <c r="D1028" t="s">
        <v>49</v>
      </c>
      <c r="E1028" s="1">
        <v>45978</v>
      </c>
      <c r="F1028" s="1">
        <v>45979</v>
      </c>
      <c r="G1028" t="s">
        <v>43</v>
      </c>
      <c r="H1028" t="s">
        <v>50</v>
      </c>
      <c r="I1028" t="s">
        <v>55</v>
      </c>
      <c r="J1028">
        <v>68</v>
      </c>
      <c r="K1028" t="s">
        <v>169</v>
      </c>
      <c r="L1028" t="s">
        <v>26</v>
      </c>
      <c r="M1028" t="s">
        <v>82</v>
      </c>
      <c r="N1028">
        <v>0.5</v>
      </c>
      <c r="O1028" s="3">
        <v>6763.12</v>
      </c>
      <c r="P1028">
        <v>0</v>
      </c>
      <c r="Q1028">
        <v>3.1</v>
      </c>
      <c r="R1028">
        <v>0.77</v>
      </c>
      <c r="S1028" t="str">
        <f t="shared" si="16"/>
        <v>November</v>
      </c>
    </row>
    <row r="1029" spans="1:19" x14ac:dyDescent="0.2">
      <c r="A1029" t="s">
        <v>2110</v>
      </c>
      <c r="B1029" t="s">
        <v>2111</v>
      </c>
      <c r="C1029" t="s">
        <v>122</v>
      </c>
      <c r="D1029" t="s">
        <v>35</v>
      </c>
      <c r="E1029" s="1">
        <v>45998</v>
      </c>
      <c r="F1029" s="1">
        <v>45999</v>
      </c>
      <c r="G1029" t="s">
        <v>50</v>
      </c>
      <c r="H1029" t="s">
        <v>44</v>
      </c>
      <c r="I1029" t="s">
        <v>31</v>
      </c>
      <c r="J1029">
        <v>36</v>
      </c>
      <c r="K1029" t="s">
        <v>25</v>
      </c>
      <c r="L1029" t="s">
        <v>32</v>
      </c>
      <c r="M1029" t="s">
        <v>27</v>
      </c>
      <c r="N1029">
        <v>0.4</v>
      </c>
      <c r="O1029" s="3">
        <v>6763.12</v>
      </c>
      <c r="P1029">
        <v>0</v>
      </c>
      <c r="Q1029">
        <v>3.8</v>
      </c>
      <c r="R1029">
        <v>0.75</v>
      </c>
      <c r="S1029" t="str">
        <f t="shared" si="16"/>
        <v>December</v>
      </c>
    </row>
    <row r="1030" spans="1:19" x14ac:dyDescent="0.2">
      <c r="A1030" t="s">
        <v>2112</v>
      </c>
      <c r="B1030" t="s">
        <v>2113</v>
      </c>
      <c r="C1030" t="s">
        <v>58</v>
      </c>
      <c r="D1030" t="s">
        <v>42</v>
      </c>
      <c r="E1030" s="1">
        <v>45763</v>
      </c>
      <c r="F1030" s="1">
        <v>45764</v>
      </c>
      <c r="G1030" t="s">
        <v>50</v>
      </c>
      <c r="H1030" t="s">
        <v>44</v>
      </c>
      <c r="I1030" t="s">
        <v>45</v>
      </c>
      <c r="J1030">
        <v>71</v>
      </c>
      <c r="K1030" t="s">
        <v>169</v>
      </c>
      <c r="L1030" t="s">
        <v>26</v>
      </c>
      <c r="M1030" t="s">
        <v>27</v>
      </c>
      <c r="N1030">
        <v>1</v>
      </c>
      <c r="O1030" s="3">
        <v>6763.12</v>
      </c>
      <c r="P1030">
        <v>0</v>
      </c>
      <c r="Q1030">
        <v>3.2</v>
      </c>
      <c r="R1030">
        <v>0.74</v>
      </c>
      <c r="S1030" t="str">
        <f t="shared" si="16"/>
        <v>April</v>
      </c>
    </row>
    <row r="1031" spans="1:19" x14ac:dyDescent="0.2">
      <c r="A1031" t="s">
        <v>2114</v>
      </c>
      <c r="B1031" t="s">
        <v>2115</v>
      </c>
      <c r="C1031" t="s">
        <v>62</v>
      </c>
      <c r="D1031" t="s">
        <v>49</v>
      </c>
      <c r="E1031" s="1">
        <v>46015</v>
      </c>
      <c r="F1031" s="1">
        <v>46027</v>
      </c>
      <c r="G1031" t="s">
        <v>59</v>
      </c>
      <c r="H1031" t="s">
        <v>23</v>
      </c>
      <c r="I1031" t="s">
        <v>117</v>
      </c>
      <c r="J1031">
        <v>39</v>
      </c>
      <c r="K1031" t="s">
        <v>25</v>
      </c>
      <c r="L1031" t="s">
        <v>26</v>
      </c>
      <c r="M1031" t="s">
        <v>27</v>
      </c>
      <c r="N1031">
        <v>11.2</v>
      </c>
      <c r="O1031" s="3">
        <v>6763.12</v>
      </c>
      <c r="P1031">
        <v>0</v>
      </c>
      <c r="Q1031">
        <v>4.5999999999999996</v>
      </c>
      <c r="R1031">
        <v>0.85</v>
      </c>
      <c r="S1031" t="str">
        <f t="shared" si="16"/>
        <v>December</v>
      </c>
    </row>
    <row r="1032" spans="1:19" x14ac:dyDescent="0.2">
      <c r="A1032" t="s">
        <v>2116</v>
      </c>
      <c r="B1032" t="s">
        <v>2117</v>
      </c>
      <c r="C1032" t="s">
        <v>30</v>
      </c>
      <c r="D1032" t="s">
        <v>35</v>
      </c>
      <c r="E1032" s="1">
        <v>45888</v>
      </c>
      <c r="F1032" s="1">
        <v>45893</v>
      </c>
      <c r="G1032" t="s">
        <v>68</v>
      </c>
      <c r="H1032" t="s">
        <v>23</v>
      </c>
      <c r="I1032" t="s">
        <v>55</v>
      </c>
      <c r="J1032">
        <v>88</v>
      </c>
      <c r="K1032" t="s">
        <v>65</v>
      </c>
      <c r="L1032" t="s">
        <v>26</v>
      </c>
      <c r="M1032" t="s">
        <v>27</v>
      </c>
      <c r="N1032">
        <v>4.5</v>
      </c>
      <c r="O1032" s="3">
        <v>6763.12</v>
      </c>
      <c r="P1032">
        <v>0</v>
      </c>
      <c r="Q1032">
        <v>2.9</v>
      </c>
      <c r="R1032">
        <v>0.76</v>
      </c>
      <c r="S1032" t="str">
        <f t="shared" si="16"/>
        <v>August</v>
      </c>
    </row>
    <row r="1033" spans="1:19" x14ac:dyDescent="0.2">
      <c r="A1033" t="s">
        <v>2118</v>
      </c>
      <c r="B1033" t="s">
        <v>2119</v>
      </c>
      <c r="C1033" t="s">
        <v>122</v>
      </c>
      <c r="D1033" t="s">
        <v>35</v>
      </c>
      <c r="E1033" s="1">
        <v>45683</v>
      </c>
      <c r="F1033" s="1">
        <v>45704</v>
      </c>
      <c r="G1033" t="s">
        <v>59</v>
      </c>
      <c r="H1033" t="s">
        <v>23</v>
      </c>
      <c r="I1033" t="s">
        <v>100</v>
      </c>
      <c r="J1033">
        <v>24</v>
      </c>
      <c r="K1033" t="s">
        <v>78</v>
      </c>
      <c r="L1033" t="s">
        <v>26</v>
      </c>
      <c r="M1033" t="s">
        <v>39</v>
      </c>
      <c r="N1033">
        <v>21</v>
      </c>
      <c r="O1033" s="3">
        <v>6763.12</v>
      </c>
      <c r="P1033">
        <v>0</v>
      </c>
      <c r="Q1033">
        <v>3.8</v>
      </c>
      <c r="R1033">
        <v>0.8</v>
      </c>
      <c r="S1033" t="str">
        <f t="shared" si="16"/>
        <v>January</v>
      </c>
    </row>
    <row r="1034" spans="1:19" x14ac:dyDescent="0.2">
      <c r="A1034" t="s">
        <v>2120</v>
      </c>
      <c r="B1034" t="s">
        <v>2121</v>
      </c>
      <c r="C1034" t="s">
        <v>30</v>
      </c>
      <c r="D1034" t="s">
        <v>42</v>
      </c>
      <c r="E1034" s="1">
        <v>46000</v>
      </c>
      <c r="F1034" s="1">
        <v>46001</v>
      </c>
      <c r="G1034" t="s">
        <v>50</v>
      </c>
      <c r="H1034" t="s">
        <v>44</v>
      </c>
      <c r="I1034" t="s">
        <v>100</v>
      </c>
      <c r="J1034">
        <v>64</v>
      </c>
      <c r="K1034" t="s">
        <v>38</v>
      </c>
      <c r="L1034" t="s">
        <v>26</v>
      </c>
      <c r="M1034" t="s">
        <v>27</v>
      </c>
      <c r="N1034">
        <v>0.6</v>
      </c>
      <c r="O1034" s="3">
        <v>6763.12</v>
      </c>
      <c r="P1034">
        <v>0</v>
      </c>
      <c r="Q1034">
        <v>3.2</v>
      </c>
      <c r="R1034">
        <v>0.76</v>
      </c>
      <c r="S1034" t="str">
        <f t="shared" si="16"/>
        <v>December</v>
      </c>
    </row>
    <row r="1035" spans="1:19" x14ac:dyDescent="0.2">
      <c r="A1035" t="s">
        <v>2122</v>
      </c>
      <c r="B1035" t="s">
        <v>2123</v>
      </c>
      <c r="C1035" t="s">
        <v>30</v>
      </c>
      <c r="D1035" t="s">
        <v>49</v>
      </c>
      <c r="E1035" s="1">
        <v>45708</v>
      </c>
      <c r="F1035" s="1">
        <v>45712</v>
      </c>
      <c r="G1035" t="s">
        <v>116</v>
      </c>
      <c r="H1035" t="s">
        <v>50</v>
      </c>
      <c r="I1035" t="s">
        <v>55</v>
      </c>
      <c r="J1035">
        <v>48</v>
      </c>
      <c r="K1035" t="s">
        <v>25</v>
      </c>
      <c r="L1035" t="s">
        <v>32</v>
      </c>
      <c r="M1035" t="s">
        <v>27</v>
      </c>
      <c r="N1035">
        <v>3.9</v>
      </c>
      <c r="O1035" s="3">
        <v>6763.12</v>
      </c>
      <c r="P1035">
        <v>0</v>
      </c>
      <c r="Q1035">
        <v>3.9</v>
      </c>
      <c r="R1035">
        <v>0.87</v>
      </c>
      <c r="S1035" t="str">
        <f t="shared" si="16"/>
        <v>February</v>
      </c>
    </row>
    <row r="1036" spans="1:19" x14ac:dyDescent="0.2">
      <c r="A1036" t="s">
        <v>2124</v>
      </c>
      <c r="B1036" t="s">
        <v>2125</v>
      </c>
      <c r="C1036" t="s">
        <v>30</v>
      </c>
      <c r="D1036" t="s">
        <v>42</v>
      </c>
      <c r="E1036" s="1">
        <v>45872</v>
      </c>
      <c r="F1036" s="1">
        <v>45877</v>
      </c>
      <c r="G1036" t="s">
        <v>43</v>
      </c>
      <c r="H1036" t="s">
        <v>50</v>
      </c>
      <c r="I1036" t="s">
        <v>64</v>
      </c>
      <c r="J1036">
        <v>85</v>
      </c>
      <c r="K1036" t="s">
        <v>65</v>
      </c>
      <c r="L1036" t="s">
        <v>26</v>
      </c>
      <c r="M1036" t="s">
        <v>39</v>
      </c>
      <c r="N1036">
        <v>4.8</v>
      </c>
      <c r="O1036" s="3">
        <v>6763.12</v>
      </c>
      <c r="P1036">
        <v>1</v>
      </c>
      <c r="Q1036">
        <v>4.3</v>
      </c>
      <c r="R1036">
        <v>0.84</v>
      </c>
      <c r="S1036" t="str">
        <f t="shared" si="16"/>
        <v>August</v>
      </c>
    </row>
    <row r="1037" spans="1:19" x14ac:dyDescent="0.2">
      <c r="A1037" t="s">
        <v>2126</v>
      </c>
      <c r="B1037" t="s">
        <v>2127</v>
      </c>
      <c r="C1037" t="s">
        <v>58</v>
      </c>
      <c r="D1037" t="s">
        <v>35</v>
      </c>
      <c r="E1037" s="1">
        <v>45946</v>
      </c>
      <c r="F1037" s="1">
        <v>45955</v>
      </c>
      <c r="G1037" t="s">
        <v>36</v>
      </c>
      <c r="H1037" t="s">
        <v>23</v>
      </c>
      <c r="I1037" t="s">
        <v>37</v>
      </c>
      <c r="J1037">
        <v>19</v>
      </c>
      <c r="K1037" t="s">
        <v>78</v>
      </c>
      <c r="L1037" t="s">
        <v>26</v>
      </c>
      <c r="M1037" t="s">
        <v>27</v>
      </c>
      <c r="N1037">
        <v>8.9</v>
      </c>
      <c r="O1037" s="3">
        <v>6763.12</v>
      </c>
      <c r="P1037">
        <v>1</v>
      </c>
      <c r="Q1037">
        <v>4.3</v>
      </c>
      <c r="R1037">
        <v>0.83</v>
      </c>
      <c r="S1037" t="str">
        <f t="shared" si="16"/>
        <v>October</v>
      </c>
    </row>
    <row r="1038" spans="1:19" x14ac:dyDescent="0.2">
      <c r="A1038" t="s">
        <v>2128</v>
      </c>
      <c r="B1038" t="s">
        <v>2129</v>
      </c>
      <c r="C1038" t="s">
        <v>30</v>
      </c>
      <c r="D1038" t="s">
        <v>42</v>
      </c>
      <c r="E1038" s="1">
        <v>45749</v>
      </c>
      <c r="F1038" s="1">
        <v>45752</v>
      </c>
      <c r="G1038" t="s">
        <v>50</v>
      </c>
      <c r="H1038" t="s">
        <v>50</v>
      </c>
      <c r="I1038" t="s">
        <v>81</v>
      </c>
      <c r="J1038">
        <v>17</v>
      </c>
      <c r="K1038" t="s">
        <v>46</v>
      </c>
      <c r="L1038" t="s">
        <v>26</v>
      </c>
      <c r="M1038" t="s">
        <v>27</v>
      </c>
      <c r="N1038">
        <v>2.4</v>
      </c>
      <c r="O1038" s="3">
        <v>6763.12</v>
      </c>
      <c r="P1038">
        <v>0</v>
      </c>
      <c r="Q1038">
        <v>3.7</v>
      </c>
      <c r="R1038">
        <v>0.85</v>
      </c>
      <c r="S1038" t="str">
        <f t="shared" si="16"/>
        <v>April</v>
      </c>
    </row>
    <row r="1039" spans="1:19" x14ac:dyDescent="0.2">
      <c r="A1039" t="s">
        <v>2130</v>
      </c>
      <c r="B1039" t="s">
        <v>2131</v>
      </c>
      <c r="C1039" t="s">
        <v>58</v>
      </c>
      <c r="D1039" t="s">
        <v>49</v>
      </c>
      <c r="E1039" s="1">
        <v>45756</v>
      </c>
      <c r="F1039" s="1">
        <v>45760</v>
      </c>
      <c r="G1039" t="s">
        <v>68</v>
      </c>
      <c r="H1039" t="s">
        <v>50</v>
      </c>
      <c r="I1039" t="s">
        <v>45</v>
      </c>
      <c r="J1039">
        <v>78</v>
      </c>
      <c r="K1039" t="s">
        <v>65</v>
      </c>
      <c r="L1039" t="s">
        <v>26</v>
      </c>
      <c r="M1039" t="s">
        <v>39</v>
      </c>
      <c r="N1039">
        <v>3.3</v>
      </c>
      <c r="O1039" s="3">
        <v>6763.12</v>
      </c>
      <c r="P1039">
        <v>0</v>
      </c>
      <c r="Q1039">
        <v>4.4000000000000004</v>
      </c>
      <c r="R1039">
        <v>0.74</v>
      </c>
      <c r="S1039" t="str">
        <f t="shared" si="16"/>
        <v>April</v>
      </c>
    </row>
    <row r="1040" spans="1:19" x14ac:dyDescent="0.2">
      <c r="A1040" t="s">
        <v>2132</v>
      </c>
      <c r="B1040" t="s">
        <v>2133</v>
      </c>
      <c r="C1040" t="s">
        <v>62</v>
      </c>
      <c r="D1040" t="s">
        <v>49</v>
      </c>
      <c r="E1040" s="1">
        <v>45831</v>
      </c>
      <c r="F1040" s="1">
        <v>45838</v>
      </c>
      <c r="G1040" t="s">
        <v>71</v>
      </c>
      <c r="H1040" t="s">
        <v>50</v>
      </c>
      <c r="I1040" t="s">
        <v>45</v>
      </c>
      <c r="J1040">
        <v>81</v>
      </c>
      <c r="K1040" t="s">
        <v>65</v>
      </c>
      <c r="L1040" t="s">
        <v>32</v>
      </c>
      <c r="M1040" t="s">
        <v>27</v>
      </c>
      <c r="N1040">
        <v>6.9</v>
      </c>
      <c r="O1040" s="3">
        <v>6763.12</v>
      </c>
      <c r="P1040">
        <v>0</v>
      </c>
      <c r="Q1040">
        <v>3.5</v>
      </c>
      <c r="R1040">
        <v>0.81</v>
      </c>
      <c r="S1040" t="str">
        <f t="shared" si="16"/>
        <v>June</v>
      </c>
    </row>
    <row r="1041" spans="1:19" x14ac:dyDescent="0.2">
      <c r="A1041" t="s">
        <v>2134</v>
      </c>
      <c r="B1041" t="s">
        <v>2135</v>
      </c>
      <c r="C1041" t="s">
        <v>62</v>
      </c>
      <c r="D1041" t="s">
        <v>21</v>
      </c>
      <c r="E1041" s="1">
        <v>45980</v>
      </c>
      <c r="F1041" s="1">
        <v>45983</v>
      </c>
      <c r="G1041" t="s">
        <v>22</v>
      </c>
      <c r="H1041" t="s">
        <v>23</v>
      </c>
      <c r="I1041" t="s">
        <v>31</v>
      </c>
      <c r="J1041">
        <v>68</v>
      </c>
      <c r="K1041" t="s">
        <v>169</v>
      </c>
      <c r="L1041" t="s">
        <v>32</v>
      </c>
      <c r="M1041" t="s">
        <v>27</v>
      </c>
      <c r="N1041">
        <v>2.5</v>
      </c>
      <c r="O1041" s="3">
        <v>6763.12</v>
      </c>
      <c r="P1041">
        <v>0</v>
      </c>
      <c r="Q1041">
        <v>4</v>
      </c>
      <c r="R1041">
        <v>0.85</v>
      </c>
      <c r="S1041" t="str">
        <f t="shared" si="16"/>
        <v>November</v>
      </c>
    </row>
    <row r="1042" spans="1:19" x14ac:dyDescent="0.2">
      <c r="A1042" t="s">
        <v>2136</v>
      </c>
      <c r="B1042" t="s">
        <v>2137</v>
      </c>
      <c r="C1042" t="s">
        <v>58</v>
      </c>
      <c r="D1042" t="s">
        <v>35</v>
      </c>
      <c r="E1042" s="1">
        <v>45739</v>
      </c>
      <c r="F1042" s="1">
        <v>45742</v>
      </c>
      <c r="G1042" t="s">
        <v>68</v>
      </c>
      <c r="H1042" t="s">
        <v>50</v>
      </c>
      <c r="I1042" t="s">
        <v>24</v>
      </c>
      <c r="J1042">
        <v>43</v>
      </c>
      <c r="K1042" t="s">
        <v>25</v>
      </c>
      <c r="L1042" t="s">
        <v>32</v>
      </c>
      <c r="M1042" t="s">
        <v>27</v>
      </c>
      <c r="N1042">
        <v>2.6</v>
      </c>
      <c r="O1042" s="3">
        <v>6763.12</v>
      </c>
      <c r="P1042">
        <v>0</v>
      </c>
      <c r="Q1042">
        <v>4.5</v>
      </c>
      <c r="R1042">
        <v>0.75</v>
      </c>
      <c r="S1042" t="str">
        <f t="shared" si="16"/>
        <v>March</v>
      </c>
    </row>
    <row r="1043" spans="1:19" x14ac:dyDescent="0.2">
      <c r="A1043" t="s">
        <v>2138</v>
      </c>
      <c r="B1043" t="s">
        <v>2139</v>
      </c>
      <c r="C1043" t="s">
        <v>30</v>
      </c>
      <c r="D1043" t="s">
        <v>42</v>
      </c>
      <c r="E1043" s="1">
        <v>45900</v>
      </c>
      <c r="F1043" s="1">
        <v>45902</v>
      </c>
      <c r="G1043" t="s">
        <v>50</v>
      </c>
      <c r="H1043" t="s">
        <v>50</v>
      </c>
      <c r="I1043" t="s">
        <v>100</v>
      </c>
      <c r="J1043">
        <v>37</v>
      </c>
      <c r="K1043" t="s">
        <v>25</v>
      </c>
      <c r="L1043" t="s">
        <v>32</v>
      </c>
      <c r="M1043" t="s">
        <v>27</v>
      </c>
      <c r="N1043">
        <v>1.5</v>
      </c>
      <c r="O1043" s="3">
        <v>6763.12</v>
      </c>
      <c r="P1043">
        <v>1</v>
      </c>
      <c r="Q1043">
        <v>3.9</v>
      </c>
      <c r="R1043">
        <v>0.87</v>
      </c>
      <c r="S1043" t="str">
        <f t="shared" si="16"/>
        <v>August</v>
      </c>
    </row>
    <row r="1044" spans="1:19" x14ac:dyDescent="0.2">
      <c r="A1044" t="s">
        <v>2140</v>
      </c>
      <c r="B1044" t="s">
        <v>2141</v>
      </c>
      <c r="C1044" t="s">
        <v>30</v>
      </c>
      <c r="D1044" t="s">
        <v>42</v>
      </c>
      <c r="E1044" s="1">
        <v>45823</v>
      </c>
      <c r="F1044" s="1">
        <v>45829</v>
      </c>
      <c r="G1044" t="s">
        <v>71</v>
      </c>
      <c r="H1044" t="s">
        <v>50</v>
      </c>
      <c r="I1044" t="s">
        <v>100</v>
      </c>
      <c r="J1044">
        <v>60</v>
      </c>
      <c r="K1044" t="s">
        <v>38</v>
      </c>
      <c r="L1044" t="s">
        <v>26</v>
      </c>
      <c r="M1044" t="s">
        <v>39</v>
      </c>
      <c r="N1044">
        <v>5.0999999999999996</v>
      </c>
      <c r="O1044" s="3">
        <v>6763.12</v>
      </c>
      <c r="P1044">
        <v>0</v>
      </c>
      <c r="Q1044">
        <v>3.6</v>
      </c>
      <c r="R1044">
        <v>0.78</v>
      </c>
      <c r="S1044" t="str">
        <f t="shared" si="16"/>
        <v>June</v>
      </c>
    </row>
    <row r="1045" spans="1:19" x14ac:dyDescent="0.2">
      <c r="A1045" t="s">
        <v>2142</v>
      </c>
      <c r="B1045" t="s">
        <v>2143</v>
      </c>
      <c r="C1045" t="s">
        <v>122</v>
      </c>
      <c r="D1045" t="s">
        <v>21</v>
      </c>
      <c r="E1045" s="1">
        <v>45698</v>
      </c>
      <c r="F1045" s="1">
        <v>45702</v>
      </c>
      <c r="G1045" t="s">
        <v>99</v>
      </c>
      <c r="H1045" t="s">
        <v>50</v>
      </c>
      <c r="I1045" t="s">
        <v>64</v>
      </c>
      <c r="J1045">
        <v>67</v>
      </c>
      <c r="K1045" t="s">
        <v>169</v>
      </c>
      <c r="L1045" t="s">
        <v>26</v>
      </c>
      <c r="M1045" t="s">
        <v>27</v>
      </c>
      <c r="N1045">
        <v>3.6</v>
      </c>
      <c r="O1045" s="3">
        <v>6763.12</v>
      </c>
      <c r="P1045">
        <v>1</v>
      </c>
      <c r="Q1045">
        <v>3.7</v>
      </c>
      <c r="R1045">
        <v>0.86</v>
      </c>
      <c r="S1045" t="str">
        <f t="shared" si="16"/>
        <v>February</v>
      </c>
    </row>
    <row r="1046" spans="1:19" x14ac:dyDescent="0.2">
      <c r="A1046" t="s">
        <v>2144</v>
      </c>
      <c r="B1046" t="s">
        <v>2145</v>
      </c>
      <c r="C1046" t="s">
        <v>62</v>
      </c>
      <c r="D1046" t="s">
        <v>42</v>
      </c>
      <c r="E1046" s="1">
        <v>45917</v>
      </c>
      <c r="F1046" s="1">
        <v>45930</v>
      </c>
      <c r="G1046" t="s">
        <v>71</v>
      </c>
      <c r="H1046" t="s">
        <v>44</v>
      </c>
      <c r="I1046" t="s">
        <v>45</v>
      </c>
      <c r="J1046">
        <v>25</v>
      </c>
      <c r="K1046" t="s">
        <v>78</v>
      </c>
      <c r="L1046" t="s">
        <v>32</v>
      </c>
      <c r="M1046" t="s">
        <v>27</v>
      </c>
      <c r="N1046">
        <v>12.5</v>
      </c>
      <c r="O1046" s="3">
        <v>6763.12</v>
      </c>
      <c r="P1046">
        <v>0</v>
      </c>
      <c r="Q1046">
        <v>4.3</v>
      </c>
      <c r="R1046">
        <v>0.89</v>
      </c>
      <c r="S1046" t="str">
        <f t="shared" si="16"/>
        <v>September</v>
      </c>
    </row>
    <row r="1047" spans="1:19" x14ac:dyDescent="0.2">
      <c r="A1047" t="s">
        <v>2146</v>
      </c>
      <c r="B1047" t="s">
        <v>1133</v>
      </c>
      <c r="C1047" t="s">
        <v>62</v>
      </c>
      <c r="D1047" t="s">
        <v>35</v>
      </c>
      <c r="E1047" s="1">
        <v>45961</v>
      </c>
      <c r="F1047" s="1">
        <v>45966</v>
      </c>
      <c r="G1047" t="s">
        <v>99</v>
      </c>
      <c r="H1047" t="s">
        <v>50</v>
      </c>
      <c r="I1047" t="s">
        <v>81</v>
      </c>
      <c r="J1047">
        <v>0</v>
      </c>
      <c r="K1047" t="s">
        <v>103</v>
      </c>
      <c r="L1047" t="s">
        <v>32</v>
      </c>
      <c r="M1047" t="s">
        <v>52</v>
      </c>
      <c r="N1047">
        <v>4.0999999999999996</v>
      </c>
      <c r="O1047" s="3">
        <v>6763.12</v>
      </c>
      <c r="P1047">
        <v>0</v>
      </c>
      <c r="Q1047">
        <v>3.2</v>
      </c>
      <c r="R1047">
        <v>0.83</v>
      </c>
      <c r="S1047" t="str">
        <f t="shared" si="16"/>
        <v>October</v>
      </c>
    </row>
    <row r="1048" spans="1:19" x14ac:dyDescent="0.2">
      <c r="A1048" t="s">
        <v>2147</v>
      </c>
      <c r="B1048" t="s">
        <v>2148</v>
      </c>
      <c r="C1048" t="s">
        <v>122</v>
      </c>
      <c r="D1048" t="s">
        <v>35</v>
      </c>
      <c r="E1048" s="1">
        <v>45868</v>
      </c>
      <c r="F1048" s="1">
        <v>45871</v>
      </c>
      <c r="G1048" t="s">
        <v>68</v>
      </c>
      <c r="H1048" t="s">
        <v>23</v>
      </c>
      <c r="I1048" t="s">
        <v>81</v>
      </c>
      <c r="J1048">
        <v>6</v>
      </c>
      <c r="K1048" t="s">
        <v>103</v>
      </c>
      <c r="L1048" t="s">
        <v>26</v>
      </c>
      <c r="M1048" t="s">
        <v>82</v>
      </c>
      <c r="N1048">
        <v>2.6</v>
      </c>
      <c r="O1048" s="3">
        <v>6763.12</v>
      </c>
      <c r="P1048">
        <v>0</v>
      </c>
      <c r="Q1048">
        <v>3.3</v>
      </c>
      <c r="R1048">
        <v>0.85</v>
      </c>
      <c r="S1048" t="str">
        <f t="shared" si="16"/>
        <v>July</v>
      </c>
    </row>
    <row r="1049" spans="1:19" x14ac:dyDescent="0.2">
      <c r="A1049" t="s">
        <v>2149</v>
      </c>
      <c r="B1049" t="s">
        <v>2150</v>
      </c>
      <c r="C1049" t="s">
        <v>122</v>
      </c>
      <c r="D1049" t="s">
        <v>35</v>
      </c>
      <c r="E1049" s="1">
        <v>45722</v>
      </c>
      <c r="F1049" s="1">
        <v>45727</v>
      </c>
      <c r="G1049" t="s">
        <v>59</v>
      </c>
      <c r="H1049" t="s">
        <v>23</v>
      </c>
      <c r="I1049" t="s">
        <v>31</v>
      </c>
      <c r="J1049">
        <v>31</v>
      </c>
      <c r="K1049" t="s">
        <v>78</v>
      </c>
      <c r="L1049" t="s">
        <v>32</v>
      </c>
      <c r="M1049" t="s">
        <v>27</v>
      </c>
      <c r="N1049">
        <v>4.7</v>
      </c>
      <c r="O1049" s="3">
        <v>6763.12</v>
      </c>
      <c r="P1049">
        <v>0</v>
      </c>
      <c r="Q1049">
        <v>4.2</v>
      </c>
      <c r="R1049">
        <v>0.75</v>
      </c>
      <c r="S1049" t="str">
        <f t="shared" si="16"/>
        <v>March</v>
      </c>
    </row>
    <row r="1050" spans="1:19" x14ac:dyDescent="0.2">
      <c r="A1050" t="s">
        <v>2151</v>
      </c>
      <c r="B1050" t="s">
        <v>2152</v>
      </c>
      <c r="C1050" t="s">
        <v>20</v>
      </c>
      <c r="D1050" t="s">
        <v>21</v>
      </c>
      <c r="E1050" s="1">
        <v>45714</v>
      </c>
      <c r="F1050" s="1">
        <v>45718</v>
      </c>
      <c r="G1050" t="s">
        <v>71</v>
      </c>
      <c r="H1050" t="s">
        <v>50</v>
      </c>
      <c r="I1050" t="s">
        <v>37</v>
      </c>
      <c r="J1050">
        <v>62</v>
      </c>
      <c r="K1050" t="s">
        <v>38</v>
      </c>
      <c r="L1050" t="s">
        <v>26</v>
      </c>
      <c r="M1050" t="s">
        <v>27</v>
      </c>
      <c r="N1050">
        <v>3.7</v>
      </c>
      <c r="O1050" s="3">
        <v>6763.12</v>
      </c>
      <c r="P1050">
        <v>0</v>
      </c>
      <c r="Q1050">
        <v>3.6</v>
      </c>
      <c r="R1050">
        <v>0.81</v>
      </c>
      <c r="S1050" t="str">
        <f t="shared" si="16"/>
        <v>February</v>
      </c>
    </row>
    <row r="1051" spans="1:19" x14ac:dyDescent="0.2">
      <c r="A1051" t="s">
        <v>2153</v>
      </c>
      <c r="B1051" t="s">
        <v>2154</v>
      </c>
      <c r="C1051" t="s">
        <v>122</v>
      </c>
      <c r="D1051" t="s">
        <v>35</v>
      </c>
      <c r="E1051" s="1">
        <v>45812</v>
      </c>
      <c r="F1051" s="1">
        <v>45813</v>
      </c>
      <c r="G1051" t="s">
        <v>68</v>
      </c>
      <c r="H1051" t="s">
        <v>23</v>
      </c>
      <c r="I1051" t="s">
        <v>117</v>
      </c>
      <c r="J1051">
        <v>40</v>
      </c>
      <c r="K1051" t="s">
        <v>25</v>
      </c>
      <c r="L1051" t="s">
        <v>26</v>
      </c>
      <c r="M1051" t="s">
        <v>39</v>
      </c>
      <c r="N1051">
        <v>0.9</v>
      </c>
      <c r="O1051" s="3">
        <v>6763.12</v>
      </c>
      <c r="P1051">
        <v>0</v>
      </c>
      <c r="Q1051">
        <v>3</v>
      </c>
      <c r="R1051">
        <v>0.73</v>
      </c>
      <c r="S1051" t="str">
        <f t="shared" si="16"/>
        <v>June</v>
      </c>
    </row>
    <row r="1052" spans="1:19" x14ac:dyDescent="0.2">
      <c r="A1052" t="s">
        <v>2155</v>
      </c>
      <c r="B1052" t="s">
        <v>2156</v>
      </c>
      <c r="C1052" t="s">
        <v>62</v>
      </c>
      <c r="D1052" t="s">
        <v>21</v>
      </c>
      <c r="E1052" s="1">
        <v>45842</v>
      </c>
      <c r="F1052" s="1">
        <v>45844</v>
      </c>
      <c r="G1052" t="s">
        <v>22</v>
      </c>
      <c r="H1052" t="s">
        <v>23</v>
      </c>
      <c r="I1052" t="s">
        <v>81</v>
      </c>
      <c r="J1052">
        <v>56</v>
      </c>
      <c r="K1052" t="s">
        <v>38</v>
      </c>
      <c r="L1052" t="s">
        <v>32</v>
      </c>
      <c r="M1052" t="s">
        <v>82</v>
      </c>
      <c r="N1052">
        <v>1.8</v>
      </c>
      <c r="O1052" s="3">
        <v>6763.12</v>
      </c>
      <c r="P1052">
        <v>0</v>
      </c>
      <c r="Q1052">
        <v>4.7</v>
      </c>
      <c r="R1052">
        <v>0.91</v>
      </c>
      <c r="S1052" t="str">
        <f t="shared" si="16"/>
        <v>July</v>
      </c>
    </row>
    <row r="1053" spans="1:19" x14ac:dyDescent="0.2">
      <c r="A1053" t="s">
        <v>2157</v>
      </c>
      <c r="B1053" t="s">
        <v>2158</v>
      </c>
      <c r="C1053" t="s">
        <v>122</v>
      </c>
      <c r="D1053" t="s">
        <v>35</v>
      </c>
      <c r="E1053" s="1">
        <v>45859</v>
      </c>
      <c r="F1053" s="1">
        <v>45865</v>
      </c>
      <c r="G1053" t="s">
        <v>43</v>
      </c>
      <c r="H1053" t="s">
        <v>23</v>
      </c>
      <c r="I1053" t="s">
        <v>51</v>
      </c>
      <c r="J1053">
        <v>42</v>
      </c>
      <c r="K1053" t="s">
        <v>25</v>
      </c>
      <c r="L1053" t="s">
        <v>32</v>
      </c>
      <c r="M1053" t="s">
        <v>82</v>
      </c>
      <c r="N1053">
        <v>5.8</v>
      </c>
      <c r="O1053" s="3">
        <v>6763.12</v>
      </c>
      <c r="P1053">
        <v>0</v>
      </c>
      <c r="Q1053">
        <v>3.2</v>
      </c>
      <c r="R1053">
        <v>0.71</v>
      </c>
      <c r="S1053" t="str">
        <f t="shared" si="16"/>
        <v>July</v>
      </c>
    </row>
    <row r="1054" spans="1:19" x14ac:dyDescent="0.2">
      <c r="A1054" t="s">
        <v>2159</v>
      </c>
      <c r="B1054" t="s">
        <v>2160</v>
      </c>
      <c r="C1054" t="s">
        <v>122</v>
      </c>
      <c r="D1054" t="s">
        <v>49</v>
      </c>
      <c r="E1054" s="1">
        <v>45746</v>
      </c>
      <c r="F1054" s="1">
        <v>45749</v>
      </c>
      <c r="G1054" t="s">
        <v>71</v>
      </c>
      <c r="H1054" t="s">
        <v>50</v>
      </c>
      <c r="I1054" t="s">
        <v>37</v>
      </c>
      <c r="J1054">
        <v>22</v>
      </c>
      <c r="K1054" t="s">
        <v>78</v>
      </c>
      <c r="L1054" t="s">
        <v>26</v>
      </c>
      <c r="M1054" t="s">
        <v>27</v>
      </c>
      <c r="N1054">
        <v>2.9</v>
      </c>
      <c r="O1054" s="3">
        <v>6763.12</v>
      </c>
      <c r="P1054">
        <v>0</v>
      </c>
      <c r="Q1054">
        <v>3.8</v>
      </c>
      <c r="R1054">
        <v>0.72</v>
      </c>
      <c r="S1054" t="str">
        <f t="shared" si="16"/>
        <v>March</v>
      </c>
    </row>
    <row r="1055" spans="1:19" x14ac:dyDescent="0.2">
      <c r="A1055" t="s">
        <v>2161</v>
      </c>
      <c r="B1055" t="s">
        <v>2162</v>
      </c>
      <c r="C1055" t="s">
        <v>20</v>
      </c>
      <c r="D1055" t="s">
        <v>42</v>
      </c>
      <c r="E1055" s="1">
        <v>45840</v>
      </c>
      <c r="F1055" s="1">
        <v>45841</v>
      </c>
      <c r="G1055" t="s">
        <v>22</v>
      </c>
      <c r="H1055" t="s">
        <v>50</v>
      </c>
      <c r="I1055" t="s">
        <v>100</v>
      </c>
      <c r="J1055">
        <v>68</v>
      </c>
      <c r="K1055" t="s">
        <v>169</v>
      </c>
      <c r="L1055" t="s">
        <v>32</v>
      </c>
      <c r="M1055" t="s">
        <v>27</v>
      </c>
      <c r="N1055">
        <v>0.2</v>
      </c>
      <c r="O1055" s="3">
        <v>6763.12</v>
      </c>
      <c r="P1055">
        <v>1</v>
      </c>
      <c r="Q1055">
        <v>3.5</v>
      </c>
      <c r="R1055">
        <v>0.77</v>
      </c>
      <c r="S1055" t="str">
        <f t="shared" si="16"/>
        <v>July</v>
      </c>
    </row>
    <row r="1056" spans="1:19" x14ac:dyDescent="0.2">
      <c r="A1056" t="s">
        <v>2163</v>
      </c>
      <c r="B1056" t="s">
        <v>2164</v>
      </c>
      <c r="C1056" t="s">
        <v>30</v>
      </c>
      <c r="D1056" t="s">
        <v>49</v>
      </c>
      <c r="E1056" s="1">
        <v>45765</v>
      </c>
      <c r="F1056" s="1">
        <v>45768</v>
      </c>
      <c r="G1056" t="s">
        <v>116</v>
      </c>
      <c r="H1056" t="s">
        <v>44</v>
      </c>
      <c r="I1056" t="s">
        <v>37</v>
      </c>
      <c r="J1056">
        <v>65</v>
      </c>
      <c r="K1056" t="s">
        <v>169</v>
      </c>
      <c r="L1056" t="s">
        <v>26</v>
      </c>
      <c r="M1056" t="s">
        <v>27</v>
      </c>
      <c r="N1056">
        <v>3</v>
      </c>
      <c r="O1056" s="3">
        <v>6763.12</v>
      </c>
      <c r="P1056">
        <v>1</v>
      </c>
      <c r="Q1056">
        <v>3.7</v>
      </c>
      <c r="R1056">
        <v>0.87</v>
      </c>
      <c r="S1056" t="str">
        <f t="shared" si="16"/>
        <v>April</v>
      </c>
    </row>
    <row r="1057" spans="1:19" x14ac:dyDescent="0.2">
      <c r="A1057" t="s">
        <v>2165</v>
      </c>
      <c r="B1057" t="s">
        <v>2166</v>
      </c>
      <c r="C1057" t="s">
        <v>122</v>
      </c>
      <c r="D1057" t="s">
        <v>35</v>
      </c>
      <c r="E1057" s="1">
        <v>45908</v>
      </c>
      <c r="F1057" s="1">
        <v>45911</v>
      </c>
      <c r="G1057" t="s">
        <v>22</v>
      </c>
      <c r="H1057" t="s">
        <v>23</v>
      </c>
      <c r="I1057" t="s">
        <v>51</v>
      </c>
      <c r="J1057">
        <v>87</v>
      </c>
      <c r="K1057" t="s">
        <v>65</v>
      </c>
      <c r="L1057" t="s">
        <v>32</v>
      </c>
      <c r="M1057" t="s">
        <v>82</v>
      </c>
      <c r="N1057">
        <v>2.2000000000000002</v>
      </c>
      <c r="O1057" s="3">
        <v>6763.12</v>
      </c>
      <c r="P1057">
        <v>1</v>
      </c>
      <c r="Q1057">
        <v>3.4</v>
      </c>
      <c r="R1057">
        <v>0.82</v>
      </c>
      <c r="S1057" t="str">
        <f t="shared" si="16"/>
        <v>September</v>
      </c>
    </row>
    <row r="1058" spans="1:19" x14ac:dyDescent="0.2">
      <c r="A1058" t="s">
        <v>2167</v>
      </c>
      <c r="B1058" t="s">
        <v>2168</v>
      </c>
      <c r="C1058" t="s">
        <v>62</v>
      </c>
      <c r="D1058" t="s">
        <v>49</v>
      </c>
      <c r="E1058" s="1">
        <v>45948</v>
      </c>
      <c r="F1058" s="1">
        <v>45958</v>
      </c>
      <c r="G1058" t="s">
        <v>36</v>
      </c>
      <c r="H1058" t="s">
        <v>44</v>
      </c>
      <c r="I1058" t="s">
        <v>64</v>
      </c>
      <c r="J1058">
        <v>75</v>
      </c>
      <c r="K1058" t="s">
        <v>65</v>
      </c>
      <c r="L1058" t="s">
        <v>32</v>
      </c>
      <c r="M1058" t="s">
        <v>82</v>
      </c>
      <c r="N1058">
        <v>9.5</v>
      </c>
      <c r="O1058" s="3">
        <v>6763.12</v>
      </c>
      <c r="P1058">
        <v>0</v>
      </c>
      <c r="Q1058">
        <v>4.0999999999999996</v>
      </c>
      <c r="R1058">
        <v>0.84</v>
      </c>
      <c r="S1058" t="str">
        <f t="shared" si="16"/>
        <v>October</v>
      </c>
    </row>
    <row r="1059" spans="1:19" x14ac:dyDescent="0.2">
      <c r="A1059" t="s">
        <v>2169</v>
      </c>
      <c r="B1059" t="s">
        <v>1789</v>
      </c>
      <c r="C1059" t="s">
        <v>30</v>
      </c>
      <c r="D1059" t="s">
        <v>35</v>
      </c>
      <c r="E1059" s="1">
        <v>45896</v>
      </c>
      <c r="F1059" s="1">
        <v>45898</v>
      </c>
      <c r="G1059" t="s">
        <v>43</v>
      </c>
      <c r="H1059" t="s">
        <v>44</v>
      </c>
      <c r="I1059" t="s">
        <v>45</v>
      </c>
      <c r="J1059">
        <v>34</v>
      </c>
      <c r="K1059" t="s">
        <v>78</v>
      </c>
      <c r="L1059" t="s">
        <v>32</v>
      </c>
      <c r="M1059" t="s">
        <v>27</v>
      </c>
      <c r="N1059">
        <v>1.6</v>
      </c>
      <c r="O1059" s="3">
        <v>6763.12</v>
      </c>
      <c r="P1059">
        <v>0</v>
      </c>
      <c r="Q1059">
        <v>4</v>
      </c>
      <c r="R1059">
        <v>0.86</v>
      </c>
      <c r="S1059" t="str">
        <f t="shared" si="16"/>
        <v>August</v>
      </c>
    </row>
    <row r="1060" spans="1:19" x14ac:dyDescent="0.2">
      <c r="A1060" t="s">
        <v>2170</v>
      </c>
      <c r="B1060" t="s">
        <v>2171</v>
      </c>
      <c r="C1060" t="s">
        <v>20</v>
      </c>
      <c r="D1060" t="s">
        <v>49</v>
      </c>
      <c r="E1060" s="1">
        <v>45658</v>
      </c>
      <c r="F1060" s="1">
        <v>45659</v>
      </c>
      <c r="G1060" t="s">
        <v>50</v>
      </c>
      <c r="H1060" t="s">
        <v>50</v>
      </c>
      <c r="I1060" t="s">
        <v>64</v>
      </c>
      <c r="J1060">
        <v>64</v>
      </c>
      <c r="K1060" t="s">
        <v>38</v>
      </c>
      <c r="L1060" t="s">
        <v>26</v>
      </c>
      <c r="M1060" t="s">
        <v>39</v>
      </c>
      <c r="N1060">
        <v>0.3</v>
      </c>
      <c r="O1060" s="3">
        <v>6763.12</v>
      </c>
      <c r="P1060">
        <v>0</v>
      </c>
      <c r="Q1060">
        <v>4.3</v>
      </c>
      <c r="R1060">
        <v>0.8</v>
      </c>
      <c r="S1060" t="str">
        <f t="shared" si="16"/>
        <v>January</v>
      </c>
    </row>
    <row r="1061" spans="1:19" x14ac:dyDescent="0.2">
      <c r="A1061" t="s">
        <v>2172</v>
      </c>
      <c r="B1061" t="s">
        <v>2173</v>
      </c>
      <c r="C1061" t="s">
        <v>122</v>
      </c>
      <c r="D1061" t="s">
        <v>49</v>
      </c>
      <c r="E1061" s="1">
        <v>46020</v>
      </c>
      <c r="F1061" s="1">
        <v>46024</v>
      </c>
      <c r="G1061" t="s">
        <v>71</v>
      </c>
      <c r="H1061" t="s">
        <v>23</v>
      </c>
      <c r="I1061" t="s">
        <v>100</v>
      </c>
      <c r="J1061">
        <v>31</v>
      </c>
      <c r="K1061" t="s">
        <v>78</v>
      </c>
      <c r="L1061" t="s">
        <v>26</v>
      </c>
      <c r="M1061" t="s">
        <v>27</v>
      </c>
      <c r="N1061">
        <v>3.4</v>
      </c>
      <c r="O1061" s="3">
        <v>6763.12</v>
      </c>
      <c r="P1061">
        <v>0</v>
      </c>
      <c r="Q1061">
        <v>3.5</v>
      </c>
      <c r="R1061">
        <v>0.8</v>
      </c>
      <c r="S1061" t="str">
        <f t="shared" si="16"/>
        <v>December</v>
      </c>
    </row>
    <row r="1062" spans="1:19" x14ac:dyDescent="0.2">
      <c r="A1062" t="s">
        <v>2174</v>
      </c>
      <c r="B1062" t="s">
        <v>2175</v>
      </c>
      <c r="C1062" t="s">
        <v>30</v>
      </c>
      <c r="D1062" t="s">
        <v>21</v>
      </c>
      <c r="E1062" s="1">
        <v>45666</v>
      </c>
      <c r="F1062" s="1">
        <v>45669</v>
      </c>
      <c r="G1062" t="s">
        <v>43</v>
      </c>
      <c r="H1062" t="s">
        <v>50</v>
      </c>
      <c r="I1062" t="s">
        <v>64</v>
      </c>
      <c r="J1062">
        <v>79</v>
      </c>
      <c r="K1062" t="s">
        <v>65</v>
      </c>
      <c r="L1062" t="s">
        <v>26</v>
      </c>
      <c r="M1062" t="s">
        <v>39</v>
      </c>
      <c r="N1062">
        <v>2.2000000000000002</v>
      </c>
      <c r="O1062" s="3">
        <v>6763.12</v>
      </c>
      <c r="P1062">
        <v>0</v>
      </c>
      <c r="Q1062">
        <v>5</v>
      </c>
      <c r="R1062">
        <v>0.89</v>
      </c>
      <c r="S1062" t="str">
        <f t="shared" si="16"/>
        <v>January</v>
      </c>
    </row>
    <row r="1063" spans="1:19" x14ac:dyDescent="0.2">
      <c r="A1063" t="s">
        <v>2176</v>
      </c>
      <c r="B1063" t="s">
        <v>2177</v>
      </c>
      <c r="C1063" t="s">
        <v>30</v>
      </c>
      <c r="D1063" t="s">
        <v>35</v>
      </c>
      <c r="E1063" s="1">
        <v>46022</v>
      </c>
      <c r="F1063" s="1">
        <v>46023</v>
      </c>
      <c r="G1063" t="s">
        <v>116</v>
      </c>
      <c r="H1063" t="s">
        <v>23</v>
      </c>
      <c r="I1063" t="s">
        <v>37</v>
      </c>
      <c r="J1063">
        <v>55</v>
      </c>
      <c r="K1063" t="s">
        <v>38</v>
      </c>
      <c r="L1063" t="s">
        <v>32</v>
      </c>
      <c r="M1063" t="s">
        <v>82</v>
      </c>
      <c r="N1063">
        <v>0.4</v>
      </c>
      <c r="O1063" s="3">
        <v>6763.12</v>
      </c>
      <c r="P1063">
        <v>1</v>
      </c>
      <c r="Q1063">
        <v>2.8</v>
      </c>
      <c r="R1063">
        <v>0.81</v>
      </c>
      <c r="S1063" t="str">
        <f t="shared" si="16"/>
        <v>December</v>
      </c>
    </row>
    <row r="1064" spans="1:19" x14ac:dyDescent="0.2">
      <c r="A1064" t="s">
        <v>2178</v>
      </c>
      <c r="B1064" t="s">
        <v>2179</v>
      </c>
      <c r="C1064" t="s">
        <v>122</v>
      </c>
      <c r="D1064" t="s">
        <v>42</v>
      </c>
      <c r="E1064" s="1">
        <v>45669</v>
      </c>
      <c r="F1064" s="1">
        <v>45673</v>
      </c>
      <c r="G1064" t="s">
        <v>63</v>
      </c>
      <c r="H1064" t="s">
        <v>50</v>
      </c>
      <c r="I1064" t="s">
        <v>55</v>
      </c>
      <c r="J1064">
        <v>75</v>
      </c>
      <c r="K1064" t="s">
        <v>65</v>
      </c>
      <c r="L1064" t="s">
        <v>26</v>
      </c>
      <c r="M1064" t="s">
        <v>39</v>
      </c>
      <c r="N1064">
        <v>4</v>
      </c>
      <c r="O1064" s="3">
        <v>6763.12</v>
      </c>
      <c r="P1064">
        <v>0</v>
      </c>
      <c r="Q1064">
        <v>2.9</v>
      </c>
      <c r="R1064">
        <v>0.75</v>
      </c>
      <c r="S1064" t="str">
        <f t="shared" si="16"/>
        <v>January</v>
      </c>
    </row>
    <row r="1065" spans="1:19" x14ac:dyDescent="0.2">
      <c r="A1065" t="s">
        <v>2180</v>
      </c>
      <c r="B1065" t="s">
        <v>2181</v>
      </c>
      <c r="C1065" t="s">
        <v>30</v>
      </c>
      <c r="D1065" t="s">
        <v>42</v>
      </c>
      <c r="E1065" s="1">
        <v>45846</v>
      </c>
      <c r="F1065" s="1">
        <v>45847</v>
      </c>
      <c r="G1065" t="s">
        <v>50</v>
      </c>
      <c r="H1065" t="s">
        <v>50</v>
      </c>
      <c r="I1065" t="s">
        <v>117</v>
      </c>
      <c r="J1065">
        <v>25</v>
      </c>
      <c r="K1065" t="s">
        <v>78</v>
      </c>
      <c r="L1065" t="s">
        <v>32</v>
      </c>
      <c r="M1065" t="s">
        <v>27</v>
      </c>
      <c r="N1065">
        <v>0.7</v>
      </c>
      <c r="O1065" s="3">
        <v>6763.12</v>
      </c>
      <c r="P1065">
        <v>0</v>
      </c>
      <c r="Q1065">
        <v>4.8</v>
      </c>
      <c r="R1065">
        <v>0.84</v>
      </c>
      <c r="S1065" t="str">
        <f t="shared" si="16"/>
        <v>July</v>
      </c>
    </row>
    <row r="1066" spans="1:19" x14ac:dyDescent="0.2">
      <c r="A1066" t="s">
        <v>2182</v>
      </c>
      <c r="B1066" t="s">
        <v>2183</v>
      </c>
      <c r="C1066" t="s">
        <v>122</v>
      </c>
      <c r="D1066" t="s">
        <v>49</v>
      </c>
      <c r="E1066" s="1">
        <v>45696</v>
      </c>
      <c r="F1066" s="1">
        <v>45701</v>
      </c>
      <c r="G1066" t="s">
        <v>22</v>
      </c>
      <c r="H1066" t="s">
        <v>23</v>
      </c>
      <c r="I1066" t="s">
        <v>55</v>
      </c>
      <c r="J1066">
        <v>1</v>
      </c>
      <c r="K1066" t="s">
        <v>103</v>
      </c>
      <c r="L1066" t="s">
        <v>26</v>
      </c>
      <c r="M1066" t="s">
        <v>39</v>
      </c>
      <c r="N1066">
        <v>4.8</v>
      </c>
      <c r="O1066" s="3">
        <v>6763.12</v>
      </c>
      <c r="P1066">
        <v>0</v>
      </c>
      <c r="Q1066">
        <v>4.2</v>
      </c>
      <c r="R1066">
        <v>0.81</v>
      </c>
      <c r="S1066" t="str">
        <f t="shared" si="16"/>
        <v>February</v>
      </c>
    </row>
    <row r="1067" spans="1:19" x14ac:dyDescent="0.2">
      <c r="A1067" t="s">
        <v>2184</v>
      </c>
      <c r="B1067" t="s">
        <v>2185</v>
      </c>
      <c r="C1067" t="s">
        <v>62</v>
      </c>
      <c r="D1067" t="s">
        <v>42</v>
      </c>
      <c r="E1067" s="1">
        <v>45692</v>
      </c>
      <c r="F1067" s="1">
        <v>45693</v>
      </c>
      <c r="G1067" t="s">
        <v>50</v>
      </c>
      <c r="H1067" t="s">
        <v>23</v>
      </c>
      <c r="I1067" t="s">
        <v>100</v>
      </c>
      <c r="J1067">
        <v>12</v>
      </c>
      <c r="K1067" t="s">
        <v>103</v>
      </c>
      <c r="L1067" t="s">
        <v>26</v>
      </c>
      <c r="M1067" t="s">
        <v>27</v>
      </c>
      <c r="N1067">
        <v>1</v>
      </c>
      <c r="O1067" s="3">
        <v>6763.12</v>
      </c>
      <c r="P1067">
        <v>0</v>
      </c>
      <c r="Q1067">
        <v>3.9</v>
      </c>
      <c r="R1067">
        <v>0.84</v>
      </c>
      <c r="S1067" t="str">
        <f t="shared" si="16"/>
        <v>February</v>
      </c>
    </row>
    <row r="1068" spans="1:19" x14ac:dyDescent="0.2">
      <c r="A1068" t="s">
        <v>2186</v>
      </c>
      <c r="B1068" t="s">
        <v>2187</v>
      </c>
      <c r="C1068" t="s">
        <v>58</v>
      </c>
      <c r="D1068" t="s">
        <v>42</v>
      </c>
      <c r="E1068" s="1">
        <v>45907</v>
      </c>
      <c r="F1068" s="1">
        <v>45909</v>
      </c>
      <c r="G1068" t="s">
        <v>43</v>
      </c>
      <c r="H1068" t="s">
        <v>23</v>
      </c>
      <c r="I1068" t="s">
        <v>51</v>
      </c>
      <c r="J1068">
        <v>48</v>
      </c>
      <c r="K1068" t="s">
        <v>25</v>
      </c>
      <c r="L1068" t="s">
        <v>32</v>
      </c>
      <c r="M1068" t="s">
        <v>82</v>
      </c>
      <c r="N1068">
        <v>1.4</v>
      </c>
      <c r="O1068" s="3">
        <v>6763.12</v>
      </c>
      <c r="P1068">
        <v>0</v>
      </c>
      <c r="Q1068">
        <v>4.2</v>
      </c>
      <c r="R1068">
        <v>0.79</v>
      </c>
      <c r="S1068" t="str">
        <f t="shared" si="16"/>
        <v>September</v>
      </c>
    </row>
    <row r="1069" spans="1:19" x14ac:dyDescent="0.2">
      <c r="A1069" t="s">
        <v>2188</v>
      </c>
      <c r="B1069" t="s">
        <v>2189</v>
      </c>
      <c r="C1069" t="s">
        <v>62</v>
      </c>
      <c r="D1069" t="s">
        <v>35</v>
      </c>
      <c r="E1069" s="1">
        <v>45923</v>
      </c>
      <c r="F1069" s="1">
        <v>45927</v>
      </c>
      <c r="G1069" t="s">
        <v>63</v>
      </c>
      <c r="H1069" t="s">
        <v>50</v>
      </c>
      <c r="I1069" t="s">
        <v>55</v>
      </c>
      <c r="J1069">
        <v>87</v>
      </c>
      <c r="K1069" t="s">
        <v>65</v>
      </c>
      <c r="L1069" t="s">
        <v>26</v>
      </c>
      <c r="M1069" t="s">
        <v>27</v>
      </c>
      <c r="N1069">
        <v>3.7</v>
      </c>
      <c r="O1069" s="3">
        <v>6763.12</v>
      </c>
      <c r="P1069">
        <v>0</v>
      </c>
      <c r="Q1069">
        <v>4.2</v>
      </c>
      <c r="R1069">
        <v>0.83</v>
      </c>
      <c r="S1069" t="str">
        <f t="shared" si="16"/>
        <v>September</v>
      </c>
    </row>
    <row r="1070" spans="1:19" x14ac:dyDescent="0.2">
      <c r="A1070" t="s">
        <v>2190</v>
      </c>
      <c r="B1070" t="s">
        <v>2191</v>
      </c>
      <c r="C1070" t="s">
        <v>20</v>
      </c>
      <c r="D1070" t="s">
        <v>49</v>
      </c>
      <c r="E1070" s="1">
        <v>45701</v>
      </c>
      <c r="F1070" s="1">
        <v>45705</v>
      </c>
      <c r="G1070" t="s">
        <v>43</v>
      </c>
      <c r="H1070" t="s">
        <v>50</v>
      </c>
      <c r="I1070" t="s">
        <v>31</v>
      </c>
      <c r="J1070">
        <v>57</v>
      </c>
      <c r="K1070" t="s">
        <v>38</v>
      </c>
      <c r="L1070" t="s">
        <v>32</v>
      </c>
      <c r="M1070" t="s">
        <v>82</v>
      </c>
      <c r="N1070">
        <v>3.4</v>
      </c>
      <c r="O1070" s="3">
        <v>6763.12</v>
      </c>
      <c r="P1070">
        <v>0</v>
      </c>
      <c r="Q1070">
        <v>4.0999999999999996</v>
      </c>
      <c r="R1070">
        <v>0.81</v>
      </c>
      <c r="S1070" t="str">
        <f t="shared" si="16"/>
        <v>February</v>
      </c>
    </row>
    <row r="1071" spans="1:19" x14ac:dyDescent="0.2">
      <c r="A1071" t="s">
        <v>2192</v>
      </c>
      <c r="B1071" t="s">
        <v>2193</v>
      </c>
      <c r="C1071" t="s">
        <v>58</v>
      </c>
      <c r="D1071" t="s">
        <v>21</v>
      </c>
      <c r="E1071" s="1">
        <v>46014</v>
      </c>
      <c r="F1071" s="1">
        <v>46019</v>
      </c>
      <c r="G1071" t="s">
        <v>36</v>
      </c>
      <c r="H1071" t="s">
        <v>44</v>
      </c>
      <c r="I1071" t="s">
        <v>31</v>
      </c>
      <c r="J1071">
        <v>73</v>
      </c>
      <c r="K1071" t="s">
        <v>169</v>
      </c>
      <c r="L1071" t="s">
        <v>32</v>
      </c>
      <c r="M1071" t="s">
        <v>27</v>
      </c>
      <c r="N1071">
        <v>5</v>
      </c>
      <c r="O1071" s="3">
        <v>6763.12</v>
      </c>
      <c r="P1071">
        <v>0</v>
      </c>
      <c r="Q1071">
        <v>3.3</v>
      </c>
      <c r="R1071">
        <v>0.76</v>
      </c>
      <c r="S1071" t="str">
        <f t="shared" si="16"/>
        <v>December</v>
      </c>
    </row>
    <row r="1072" spans="1:19" x14ac:dyDescent="0.2">
      <c r="A1072" t="s">
        <v>2194</v>
      </c>
      <c r="B1072" t="s">
        <v>2195</v>
      </c>
      <c r="C1072" t="s">
        <v>58</v>
      </c>
      <c r="D1072" t="s">
        <v>21</v>
      </c>
      <c r="E1072" s="1">
        <v>45774</v>
      </c>
      <c r="F1072" s="1">
        <v>45780</v>
      </c>
      <c r="G1072" t="s">
        <v>59</v>
      </c>
      <c r="H1072" t="s">
        <v>50</v>
      </c>
      <c r="I1072" t="s">
        <v>55</v>
      </c>
      <c r="J1072">
        <v>42</v>
      </c>
      <c r="K1072" t="s">
        <v>25</v>
      </c>
      <c r="L1072" t="s">
        <v>32</v>
      </c>
      <c r="M1072" t="s">
        <v>27</v>
      </c>
      <c r="N1072">
        <v>6</v>
      </c>
      <c r="O1072" s="3">
        <v>6763.12</v>
      </c>
      <c r="P1072">
        <v>0</v>
      </c>
      <c r="Q1072">
        <v>4.3</v>
      </c>
      <c r="R1072">
        <v>0.76</v>
      </c>
      <c r="S1072" t="str">
        <f t="shared" si="16"/>
        <v>April</v>
      </c>
    </row>
    <row r="1073" spans="1:19" x14ac:dyDescent="0.2">
      <c r="A1073" t="s">
        <v>2196</v>
      </c>
      <c r="B1073" t="s">
        <v>2197</v>
      </c>
      <c r="C1073" t="s">
        <v>30</v>
      </c>
      <c r="D1073" t="s">
        <v>35</v>
      </c>
      <c r="E1073" s="1">
        <v>45774</v>
      </c>
      <c r="F1073" s="1">
        <v>45795</v>
      </c>
      <c r="G1073" t="s">
        <v>59</v>
      </c>
      <c r="H1073" t="s">
        <v>50</v>
      </c>
      <c r="I1073" t="s">
        <v>100</v>
      </c>
      <c r="J1073">
        <v>87</v>
      </c>
      <c r="K1073" t="s">
        <v>65</v>
      </c>
      <c r="L1073" t="s">
        <v>26</v>
      </c>
      <c r="M1073" t="s">
        <v>27</v>
      </c>
      <c r="N1073">
        <v>21</v>
      </c>
      <c r="O1073" s="3">
        <v>6763.12</v>
      </c>
      <c r="P1073">
        <v>0</v>
      </c>
      <c r="Q1073">
        <v>4</v>
      </c>
      <c r="R1073">
        <v>0.88</v>
      </c>
      <c r="S1073" t="str">
        <f t="shared" si="16"/>
        <v>April</v>
      </c>
    </row>
    <row r="1074" spans="1:19" x14ac:dyDescent="0.2">
      <c r="A1074" t="s">
        <v>2198</v>
      </c>
      <c r="B1074" t="s">
        <v>2199</v>
      </c>
      <c r="C1074" t="s">
        <v>122</v>
      </c>
      <c r="D1074" t="s">
        <v>42</v>
      </c>
      <c r="E1074" s="1">
        <v>45766</v>
      </c>
      <c r="F1074" s="1">
        <v>45767</v>
      </c>
      <c r="G1074" t="s">
        <v>43</v>
      </c>
      <c r="H1074" t="s">
        <v>23</v>
      </c>
      <c r="I1074" t="s">
        <v>37</v>
      </c>
      <c r="J1074">
        <v>85</v>
      </c>
      <c r="K1074" t="s">
        <v>65</v>
      </c>
      <c r="L1074" t="s">
        <v>32</v>
      </c>
      <c r="M1074" t="s">
        <v>27</v>
      </c>
      <c r="N1074">
        <v>0.9</v>
      </c>
      <c r="O1074" s="3">
        <v>6763.12</v>
      </c>
      <c r="P1074">
        <v>0</v>
      </c>
      <c r="Q1074">
        <v>4.8</v>
      </c>
      <c r="R1074">
        <v>0.79</v>
      </c>
      <c r="S1074" t="str">
        <f t="shared" si="16"/>
        <v>April</v>
      </c>
    </row>
    <row r="1075" spans="1:19" x14ac:dyDescent="0.2">
      <c r="A1075" t="s">
        <v>2200</v>
      </c>
      <c r="B1075" t="s">
        <v>2201</v>
      </c>
      <c r="C1075" t="s">
        <v>20</v>
      </c>
      <c r="D1075" t="s">
        <v>49</v>
      </c>
      <c r="E1075" s="1">
        <v>45826</v>
      </c>
      <c r="F1075" s="1">
        <v>45829</v>
      </c>
      <c r="G1075" t="s">
        <v>36</v>
      </c>
      <c r="H1075" t="s">
        <v>50</v>
      </c>
      <c r="I1075" t="s">
        <v>31</v>
      </c>
      <c r="J1075">
        <v>19</v>
      </c>
      <c r="K1075" t="s">
        <v>78</v>
      </c>
      <c r="L1075" t="s">
        <v>26</v>
      </c>
      <c r="M1075" t="s">
        <v>27</v>
      </c>
      <c r="N1075">
        <v>2.2999999999999998</v>
      </c>
      <c r="O1075" s="3">
        <v>6763.12</v>
      </c>
      <c r="P1075">
        <v>0</v>
      </c>
      <c r="Q1075">
        <v>5</v>
      </c>
      <c r="R1075">
        <v>0.79</v>
      </c>
      <c r="S1075" t="str">
        <f t="shared" si="16"/>
        <v>June</v>
      </c>
    </row>
    <row r="1076" spans="1:19" x14ac:dyDescent="0.2">
      <c r="A1076" t="s">
        <v>2202</v>
      </c>
      <c r="B1076" t="s">
        <v>168</v>
      </c>
      <c r="C1076" t="s">
        <v>62</v>
      </c>
      <c r="D1076" t="s">
        <v>35</v>
      </c>
      <c r="E1076" s="1">
        <v>45722</v>
      </c>
      <c r="F1076" s="1">
        <v>45724</v>
      </c>
      <c r="G1076" t="s">
        <v>36</v>
      </c>
      <c r="H1076" t="s">
        <v>23</v>
      </c>
      <c r="I1076" t="s">
        <v>31</v>
      </c>
      <c r="J1076">
        <v>78</v>
      </c>
      <c r="K1076" t="s">
        <v>65</v>
      </c>
      <c r="L1076" t="s">
        <v>32</v>
      </c>
      <c r="M1076" t="s">
        <v>39</v>
      </c>
      <c r="N1076">
        <v>1.6</v>
      </c>
      <c r="O1076" s="3">
        <v>6763.12</v>
      </c>
      <c r="P1076">
        <v>0</v>
      </c>
      <c r="Q1076">
        <v>4.0999999999999996</v>
      </c>
      <c r="R1076">
        <v>0.86</v>
      </c>
      <c r="S1076" t="str">
        <f t="shared" si="16"/>
        <v>March</v>
      </c>
    </row>
    <row r="1077" spans="1:19" x14ac:dyDescent="0.2">
      <c r="A1077" t="s">
        <v>2203</v>
      </c>
      <c r="B1077" t="s">
        <v>2204</v>
      </c>
      <c r="C1077" t="s">
        <v>20</v>
      </c>
      <c r="D1077" t="s">
        <v>21</v>
      </c>
      <c r="E1077" s="1">
        <v>45813</v>
      </c>
      <c r="F1077" s="1">
        <v>45814</v>
      </c>
      <c r="G1077" t="s">
        <v>50</v>
      </c>
      <c r="H1077" t="s">
        <v>50</v>
      </c>
      <c r="I1077" t="s">
        <v>45</v>
      </c>
      <c r="J1077">
        <v>1</v>
      </c>
      <c r="K1077" t="s">
        <v>103</v>
      </c>
      <c r="L1077" t="s">
        <v>26</v>
      </c>
      <c r="M1077" t="s">
        <v>27</v>
      </c>
      <c r="N1077">
        <v>0.8</v>
      </c>
      <c r="O1077" s="3">
        <v>6763.12</v>
      </c>
      <c r="P1077">
        <v>0</v>
      </c>
      <c r="Q1077">
        <v>3</v>
      </c>
      <c r="R1077">
        <v>0.84</v>
      </c>
      <c r="S1077" t="str">
        <f t="shared" si="16"/>
        <v>June</v>
      </c>
    </row>
    <row r="1078" spans="1:19" x14ac:dyDescent="0.2">
      <c r="A1078" t="s">
        <v>2205</v>
      </c>
      <c r="B1078" t="s">
        <v>2206</v>
      </c>
      <c r="C1078" t="s">
        <v>122</v>
      </c>
      <c r="D1078" t="s">
        <v>21</v>
      </c>
      <c r="E1078" s="1">
        <v>45734</v>
      </c>
      <c r="F1078" s="1">
        <v>45737</v>
      </c>
      <c r="G1078" t="s">
        <v>22</v>
      </c>
      <c r="H1078" t="s">
        <v>23</v>
      </c>
      <c r="I1078" t="s">
        <v>64</v>
      </c>
      <c r="J1078">
        <v>53</v>
      </c>
      <c r="K1078" t="s">
        <v>38</v>
      </c>
      <c r="L1078" t="s">
        <v>26</v>
      </c>
      <c r="M1078" t="s">
        <v>27</v>
      </c>
      <c r="N1078">
        <v>2.4</v>
      </c>
      <c r="O1078" s="3">
        <v>6763.12</v>
      </c>
      <c r="P1078">
        <v>0</v>
      </c>
      <c r="Q1078">
        <v>5</v>
      </c>
      <c r="R1078">
        <v>0.81</v>
      </c>
      <c r="S1078" t="str">
        <f t="shared" si="16"/>
        <v>March</v>
      </c>
    </row>
    <row r="1079" spans="1:19" x14ac:dyDescent="0.2">
      <c r="A1079" t="s">
        <v>2207</v>
      </c>
      <c r="B1079" t="s">
        <v>2208</v>
      </c>
      <c r="C1079" t="s">
        <v>62</v>
      </c>
      <c r="D1079" t="s">
        <v>49</v>
      </c>
      <c r="E1079" s="1">
        <v>45676</v>
      </c>
      <c r="F1079" s="1">
        <v>45680</v>
      </c>
      <c r="G1079" t="s">
        <v>99</v>
      </c>
      <c r="H1079" t="s">
        <v>44</v>
      </c>
      <c r="I1079" t="s">
        <v>31</v>
      </c>
      <c r="J1079">
        <v>39</v>
      </c>
      <c r="K1079" t="s">
        <v>25</v>
      </c>
      <c r="L1079" t="s">
        <v>32</v>
      </c>
      <c r="M1079" t="s">
        <v>27</v>
      </c>
      <c r="N1079">
        <v>3.7</v>
      </c>
      <c r="O1079" s="3">
        <v>6763.12</v>
      </c>
      <c r="P1079">
        <v>0</v>
      </c>
      <c r="Q1079">
        <v>3.3</v>
      </c>
      <c r="R1079">
        <v>0.87</v>
      </c>
      <c r="S1079" t="str">
        <f t="shared" si="16"/>
        <v>January</v>
      </c>
    </row>
    <row r="1080" spans="1:19" x14ac:dyDescent="0.2">
      <c r="A1080" t="s">
        <v>2209</v>
      </c>
      <c r="B1080" t="s">
        <v>2210</v>
      </c>
      <c r="C1080" t="s">
        <v>30</v>
      </c>
      <c r="D1080" t="s">
        <v>42</v>
      </c>
      <c r="E1080" s="1">
        <v>45792</v>
      </c>
      <c r="F1080" s="1">
        <v>45797</v>
      </c>
      <c r="G1080" t="s">
        <v>36</v>
      </c>
      <c r="H1080" t="s">
        <v>44</v>
      </c>
      <c r="I1080" t="s">
        <v>55</v>
      </c>
      <c r="J1080">
        <v>27</v>
      </c>
      <c r="K1080" t="s">
        <v>78</v>
      </c>
      <c r="L1080" t="s">
        <v>26</v>
      </c>
      <c r="M1080" t="s">
        <v>27</v>
      </c>
      <c r="N1080">
        <v>4.9000000000000004</v>
      </c>
      <c r="O1080" s="3">
        <v>6763.12</v>
      </c>
      <c r="P1080">
        <v>0</v>
      </c>
      <c r="Q1080">
        <v>4.0999999999999996</v>
      </c>
      <c r="R1080">
        <v>0.76</v>
      </c>
      <c r="S1080" t="str">
        <f t="shared" si="16"/>
        <v>May</v>
      </c>
    </row>
    <row r="1081" spans="1:19" x14ac:dyDescent="0.2">
      <c r="A1081" t="s">
        <v>2211</v>
      </c>
      <c r="B1081" t="s">
        <v>2212</v>
      </c>
      <c r="C1081" t="s">
        <v>62</v>
      </c>
      <c r="D1081" t="s">
        <v>21</v>
      </c>
      <c r="E1081" s="1">
        <v>45903</v>
      </c>
      <c r="F1081" s="1">
        <v>45909</v>
      </c>
      <c r="G1081" t="s">
        <v>59</v>
      </c>
      <c r="H1081" t="s">
        <v>23</v>
      </c>
      <c r="I1081" t="s">
        <v>100</v>
      </c>
      <c r="J1081">
        <v>84</v>
      </c>
      <c r="K1081" t="s">
        <v>65</v>
      </c>
      <c r="L1081" t="s">
        <v>26</v>
      </c>
      <c r="M1081" t="s">
        <v>82</v>
      </c>
      <c r="N1081">
        <v>5.7</v>
      </c>
      <c r="O1081" s="3">
        <v>6763.12</v>
      </c>
      <c r="P1081">
        <v>1</v>
      </c>
      <c r="Q1081">
        <v>3.6</v>
      </c>
      <c r="R1081">
        <v>0.74</v>
      </c>
      <c r="S1081" t="str">
        <f t="shared" si="16"/>
        <v>September</v>
      </c>
    </row>
    <row r="1082" spans="1:19" x14ac:dyDescent="0.2">
      <c r="A1082" t="s">
        <v>2213</v>
      </c>
      <c r="B1082" t="s">
        <v>2214</v>
      </c>
      <c r="C1082" t="s">
        <v>62</v>
      </c>
      <c r="D1082" t="s">
        <v>21</v>
      </c>
      <c r="E1082" s="1">
        <v>45936</v>
      </c>
      <c r="F1082" s="1">
        <v>45942</v>
      </c>
      <c r="G1082" t="s">
        <v>71</v>
      </c>
      <c r="H1082" t="s">
        <v>50</v>
      </c>
      <c r="I1082" t="s">
        <v>100</v>
      </c>
      <c r="J1082">
        <v>60</v>
      </c>
      <c r="K1082" t="s">
        <v>38</v>
      </c>
      <c r="L1082" t="s">
        <v>32</v>
      </c>
      <c r="M1082" t="s">
        <v>52</v>
      </c>
      <c r="N1082">
        <v>5.0999999999999996</v>
      </c>
      <c r="O1082" s="3">
        <v>6763.12</v>
      </c>
      <c r="P1082">
        <v>0</v>
      </c>
      <c r="Q1082">
        <v>3.6</v>
      </c>
      <c r="R1082">
        <v>0.89</v>
      </c>
      <c r="S1082" t="str">
        <f t="shared" si="16"/>
        <v>October</v>
      </c>
    </row>
    <row r="1083" spans="1:19" x14ac:dyDescent="0.2">
      <c r="A1083" t="s">
        <v>2215</v>
      </c>
      <c r="B1083" t="s">
        <v>2216</v>
      </c>
      <c r="C1083" t="s">
        <v>62</v>
      </c>
      <c r="D1083" t="s">
        <v>49</v>
      </c>
      <c r="E1083" s="1">
        <v>45786</v>
      </c>
      <c r="F1083" s="1">
        <v>45790</v>
      </c>
      <c r="G1083" t="s">
        <v>99</v>
      </c>
      <c r="H1083" t="s">
        <v>23</v>
      </c>
      <c r="I1083" t="s">
        <v>31</v>
      </c>
      <c r="J1083">
        <v>12</v>
      </c>
      <c r="K1083" t="s">
        <v>103</v>
      </c>
      <c r="L1083" t="s">
        <v>32</v>
      </c>
      <c r="M1083" t="s">
        <v>27</v>
      </c>
      <c r="N1083">
        <v>3.3</v>
      </c>
      <c r="O1083" s="3">
        <v>6763.12</v>
      </c>
      <c r="P1083">
        <v>0</v>
      </c>
      <c r="Q1083">
        <v>4.4000000000000004</v>
      </c>
      <c r="R1083">
        <v>0.86</v>
      </c>
      <c r="S1083" t="str">
        <f t="shared" si="16"/>
        <v>May</v>
      </c>
    </row>
    <row r="1084" spans="1:19" x14ac:dyDescent="0.2">
      <c r="A1084" t="s">
        <v>2217</v>
      </c>
      <c r="B1084" t="s">
        <v>2218</v>
      </c>
      <c r="C1084" t="s">
        <v>62</v>
      </c>
      <c r="D1084" t="s">
        <v>21</v>
      </c>
      <c r="E1084" s="1">
        <v>45776</v>
      </c>
      <c r="F1084" s="1">
        <v>45778</v>
      </c>
      <c r="G1084" t="s">
        <v>68</v>
      </c>
      <c r="H1084" t="s">
        <v>23</v>
      </c>
      <c r="I1084" t="s">
        <v>117</v>
      </c>
      <c r="J1084">
        <v>12</v>
      </c>
      <c r="K1084" t="s">
        <v>103</v>
      </c>
      <c r="L1084" t="s">
        <v>32</v>
      </c>
      <c r="M1084" t="s">
        <v>82</v>
      </c>
      <c r="N1084">
        <v>1.7</v>
      </c>
      <c r="O1084" s="3">
        <v>6763.12</v>
      </c>
      <c r="P1084">
        <v>0</v>
      </c>
      <c r="Q1084">
        <v>4</v>
      </c>
      <c r="R1084">
        <v>0.84</v>
      </c>
      <c r="S1084" t="str">
        <f t="shared" si="16"/>
        <v>April</v>
      </c>
    </row>
    <row r="1085" spans="1:19" x14ac:dyDescent="0.2">
      <c r="A1085" t="s">
        <v>2219</v>
      </c>
      <c r="B1085" t="s">
        <v>2220</v>
      </c>
      <c r="C1085" t="s">
        <v>30</v>
      </c>
      <c r="D1085" t="s">
        <v>21</v>
      </c>
      <c r="E1085" s="1">
        <v>45945</v>
      </c>
      <c r="F1085" s="1">
        <v>45947</v>
      </c>
      <c r="G1085" t="s">
        <v>43</v>
      </c>
      <c r="H1085" t="s">
        <v>23</v>
      </c>
      <c r="I1085" t="s">
        <v>81</v>
      </c>
      <c r="J1085">
        <v>10</v>
      </c>
      <c r="K1085" t="s">
        <v>103</v>
      </c>
      <c r="L1085" t="s">
        <v>26</v>
      </c>
      <c r="M1085" t="s">
        <v>82</v>
      </c>
      <c r="N1085">
        <v>1.8</v>
      </c>
      <c r="O1085" s="3">
        <v>6763.12</v>
      </c>
      <c r="P1085">
        <v>1</v>
      </c>
      <c r="Q1085">
        <v>4.2</v>
      </c>
      <c r="R1085">
        <v>0.85</v>
      </c>
      <c r="S1085" t="str">
        <f t="shared" si="16"/>
        <v>October</v>
      </c>
    </row>
    <row r="1086" spans="1:19" x14ac:dyDescent="0.2">
      <c r="A1086" t="s">
        <v>2221</v>
      </c>
      <c r="B1086" t="s">
        <v>2222</v>
      </c>
      <c r="C1086" t="s">
        <v>58</v>
      </c>
      <c r="D1086" t="s">
        <v>35</v>
      </c>
      <c r="E1086" s="1">
        <v>45906</v>
      </c>
      <c r="F1086" s="1">
        <v>45908</v>
      </c>
      <c r="G1086" t="s">
        <v>99</v>
      </c>
      <c r="H1086" t="s">
        <v>23</v>
      </c>
      <c r="I1086" t="s">
        <v>45</v>
      </c>
      <c r="J1086">
        <v>27</v>
      </c>
      <c r="K1086" t="s">
        <v>78</v>
      </c>
      <c r="L1086" t="s">
        <v>26</v>
      </c>
      <c r="M1086" t="s">
        <v>52</v>
      </c>
      <c r="N1086">
        <v>1.5</v>
      </c>
      <c r="O1086" s="3">
        <v>6763.12</v>
      </c>
      <c r="P1086">
        <v>0</v>
      </c>
      <c r="Q1086">
        <v>3.4</v>
      </c>
      <c r="R1086">
        <v>0.83</v>
      </c>
      <c r="S1086" t="str">
        <f t="shared" si="16"/>
        <v>September</v>
      </c>
    </row>
    <row r="1087" spans="1:19" x14ac:dyDescent="0.2">
      <c r="A1087" t="s">
        <v>2223</v>
      </c>
      <c r="B1087" t="s">
        <v>2224</v>
      </c>
      <c r="C1087" t="s">
        <v>58</v>
      </c>
      <c r="D1087" t="s">
        <v>35</v>
      </c>
      <c r="E1087" s="1">
        <v>45961</v>
      </c>
      <c r="F1087" s="1">
        <v>45963</v>
      </c>
      <c r="G1087" t="s">
        <v>50</v>
      </c>
      <c r="H1087" t="s">
        <v>23</v>
      </c>
      <c r="I1087" t="s">
        <v>37</v>
      </c>
      <c r="J1087">
        <v>6</v>
      </c>
      <c r="K1087" t="s">
        <v>103</v>
      </c>
      <c r="L1087" t="s">
        <v>26</v>
      </c>
      <c r="M1087" t="s">
        <v>27</v>
      </c>
      <c r="N1087">
        <v>1.4</v>
      </c>
      <c r="O1087" s="3">
        <v>6763.12</v>
      </c>
      <c r="P1087">
        <v>0</v>
      </c>
      <c r="Q1087">
        <v>3.6</v>
      </c>
      <c r="R1087">
        <v>0.81</v>
      </c>
      <c r="S1087" t="str">
        <f t="shared" si="16"/>
        <v>October</v>
      </c>
    </row>
    <row r="1088" spans="1:19" x14ac:dyDescent="0.2">
      <c r="A1088" t="s">
        <v>2225</v>
      </c>
      <c r="B1088" t="s">
        <v>2226</v>
      </c>
      <c r="C1088" t="s">
        <v>58</v>
      </c>
      <c r="D1088" t="s">
        <v>21</v>
      </c>
      <c r="E1088" s="1">
        <v>45988</v>
      </c>
      <c r="F1088" s="1">
        <v>45989</v>
      </c>
      <c r="G1088" t="s">
        <v>36</v>
      </c>
      <c r="H1088" t="s">
        <v>23</v>
      </c>
      <c r="I1088" t="s">
        <v>100</v>
      </c>
      <c r="J1088">
        <v>24</v>
      </c>
      <c r="K1088" t="s">
        <v>78</v>
      </c>
      <c r="L1088" t="s">
        <v>26</v>
      </c>
      <c r="M1088" t="s">
        <v>27</v>
      </c>
      <c r="N1088">
        <v>0.4</v>
      </c>
      <c r="O1088" s="3">
        <v>6763.12</v>
      </c>
      <c r="P1088">
        <v>0</v>
      </c>
      <c r="Q1088">
        <v>3.4</v>
      </c>
      <c r="R1088">
        <v>0.79</v>
      </c>
      <c r="S1088" t="str">
        <f t="shared" si="16"/>
        <v>November</v>
      </c>
    </row>
    <row r="1089" spans="1:19" x14ac:dyDescent="0.2">
      <c r="A1089" t="s">
        <v>2227</v>
      </c>
      <c r="B1089" t="s">
        <v>2228</v>
      </c>
      <c r="C1089" t="s">
        <v>122</v>
      </c>
      <c r="D1089" t="s">
        <v>42</v>
      </c>
      <c r="E1089" s="1">
        <v>45957</v>
      </c>
      <c r="F1089" s="1">
        <v>45960</v>
      </c>
      <c r="G1089" t="s">
        <v>43</v>
      </c>
      <c r="H1089" t="s">
        <v>23</v>
      </c>
      <c r="I1089" t="s">
        <v>31</v>
      </c>
      <c r="J1089">
        <v>69</v>
      </c>
      <c r="K1089" t="s">
        <v>169</v>
      </c>
      <c r="L1089" t="s">
        <v>26</v>
      </c>
      <c r="M1089" t="s">
        <v>39</v>
      </c>
      <c r="N1089">
        <v>3</v>
      </c>
      <c r="O1089" s="3">
        <v>6763.12</v>
      </c>
      <c r="P1089">
        <v>0</v>
      </c>
      <c r="Q1089">
        <v>3.8</v>
      </c>
      <c r="R1089">
        <v>0.74</v>
      </c>
      <c r="S1089" t="str">
        <f t="shared" si="16"/>
        <v>October</v>
      </c>
    </row>
    <row r="1090" spans="1:19" x14ac:dyDescent="0.2">
      <c r="A1090" t="s">
        <v>2229</v>
      </c>
      <c r="B1090" t="s">
        <v>2230</v>
      </c>
      <c r="C1090" t="s">
        <v>30</v>
      </c>
      <c r="D1090" t="s">
        <v>21</v>
      </c>
      <c r="E1090" s="1">
        <v>45999</v>
      </c>
      <c r="F1090" s="1">
        <v>46005</v>
      </c>
      <c r="G1090" t="s">
        <v>99</v>
      </c>
      <c r="H1090" t="s">
        <v>50</v>
      </c>
      <c r="I1090" t="s">
        <v>51</v>
      </c>
      <c r="J1090">
        <v>79</v>
      </c>
      <c r="K1090" t="s">
        <v>65</v>
      </c>
      <c r="L1090" t="s">
        <v>32</v>
      </c>
      <c r="M1090" t="s">
        <v>82</v>
      </c>
      <c r="N1090">
        <v>5.7</v>
      </c>
      <c r="O1090" s="3">
        <v>6763.12</v>
      </c>
      <c r="P1090">
        <v>0</v>
      </c>
      <c r="Q1090">
        <v>3.8</v>
      </c>
      <c r="R1090">
        <v>0.79</v>
      </c>
      <c r="S1090" t="str">
        <f t="shared" si="16"/>
        <v>December</v>
      </c>
    </row>
    <row r="1091" spans="1:19" x14ac:dyDescent="0.2">
      <c r="A1091" t="s">
        <v>2231</v>
      </c>
      <c r="B1091" t="s">
        <v>2232</v>
      </c>
      <c r="C1091" t="s">
        <v>122</v>
      </c>
      <c r="D1091" t="s">
        <v>35</v>
      </c>
      <c r="E1091" s="1">
        <v>45810</v>
      </c>
      <c r="F1091" s="1">
        <v>45816</v>
      </c>
      <c r="G1091" t="s">
        <v>68</v>
      </c>
      <c r="H1091" t="s">
        <v>50</v>
      </c>
      <c r="I1091" t="s">
        <v>37</v>
      </c>
      <c r="J1091">
        <v>71</v>
      </c>
      <c r="K1091" t="s">
        <v>169</v>
      </c>
      <c r="L1091" t="s">
        <v>32</v>
      </c>
      <c r="M1091" t="s">
        <v>82</v>
      </c>
      <c r="N1091">
        <v>5.6</v>
      </c>
      <c r="O1091" s="3">
        <v>6763.12</v>
      </c>
      <c r="P1091">
        <v>0</v>
      </c>
      <c r="Q1091">
        <v>5</v>
      </c>
      <c r="R1091">
        <v>0.68</v>
      </c>
      <c r="S1091" t="str">
        <f t="shared" ref="S1091:S1154" si="17">TEXT(E1091, "mmmm")</f>
        <v>June</v>
      </c>
    </row>
    <row r="1092" spans="1:19" x14ac:dyDescent="0.2">
      <c r="A1092" t="s">
        <v>2233</v>
      </c>
      <c r="B1092" t="s">
        <v>2234</v>
      </c>
      <c r="C1092" t="s">
        <v>20</v>
      </c>
      <c r="D1092" t="s">
        <v>49</v>
      </c>
      <c r="E1092" s="1">
        <v>45802</v>
      </c>
      <c r="F1092" s="1">
        <v>45803</v>
      </c>
      <c r="G1092" t="s">
        <v>116</v>
      </c>
      <c r="H1092" t="s">
        <v>23</v>
      </c>
      <c r="I1092" t="s">
        <v>81</v>
      </c>
      <c r="J1092">
        <v>45</v>
      </c>
      <c r="K1092" t="s">
        <v>25</v>
      </c>
      <c r="L1092" t="s">
        <v>26</v>
      </c>
      <c r="M1092" t="s">
        <v>39</v>
      </c>
      <c r="N1092">
        <v>0.2</v>
      </c>
      <c r="O1092" s="3">
        <v>6763.12</v>
      </c>
      <c r="P1092">
        <v>0</v>
      </c>
      <c r="Q1092">
        <v>3.7</v>
      </c>
      <c r="R1092">
        <v>0.83</v>
      </c>
      <c r="S1092" t="str">
        <f t="shared" si="17"/>
        <v>May</v>
      </c>
    </row>
    <row r="1093" spans="1:19" x14ac:dyDescent="0.2">
      <c r="A1093" t="s">
        <v>2235</v>
      </c>
      <c r="B1093" t="s">
        <v>2236</v>
      </c>
      <c r="C1093" t="s">
        <v>20</v>
      </c>
      <c r="D1093" t="s">
        <v>42</v>
      </c>
      <c r="E1093" s="1">
        <v>45775</v>
      </c>
      <c r="F1093" s="1">
        <v>45778</v>
      </c>
      <c r="G1093" t="s">
        <v>43</v>
      </c>
      <c r="H1093" t="s">
        <v>50</v>
      </c>
      <c r="I1093" t="s">
        <v>64</v>
      </c>
      <c r="J1093">
        <v>63</v>
      </c>
      <c r="K1093" t="s">
        <v>38</v>
      </c>
      <c r="L1093" t="s">
        <v>32</v>
      </c>
      <c r="M1093" t="s">
        <v>27</v>
      </c>
      <c r="N1093">
        <v>2.1</v>
      </c>
      <c r="O1093" s="3">
        <v>6763.12</v>
      </c>
      <c r="P1093">
        <v>0</v>
      </c>
      <c r="Q1093">
        <v>2.6</v>
      </c>
      <c r="R1093">
        <v>0.84</v>
      </c>
      <c r="S1093" t="str">
        <f t="shared" si="17"/>
        <v>April</v>
      </c>
    </row>
    <row r="1094" spans="1:19" x14ac:dyDescent="0.2">
      <c r="A1094" t="s">
        <v>2237</v>
      </c>
      <c r="B1094" t="s">
        <v>2238</v>
      </c>
      <c r="C1094" t="s">
        <v>62</v>
      </c>
      <c r="D1094" t="s">
        <v>21</v>
      </c>
      <c r="E1094" s="1">
        <v>45743</v>
      </c>
      <c r="F1094" s="1">
        <v>45746</v>
      </c>
      <c r="G1094" t="s">
        <v>59</v>
      </c>
      <c r="H1094" t="s">
        <v>44</v>
      </c>
      <c r="I1094" t="s">
        <v>45</v>
      </c>
      <c r="J1094">
        <v>85</v>
      </c>
      <c r="K1094" t="s">
        <v>65</v>
      </c>
      <c r="L1094" t="s">
        <v>32</v>
      </c>
      <c r="M1094" t="s">
        <v>82</v>
      </c>
      <c r="N1094">
        <v>3</v>
      </c>
      <c r="O1094" s="3">
        <v>6763.12</v>
      </c>
      <c r="P1094">
        <v>0</v>
      </c>
      <c r="Q1094">
        <v>4.5999999999999996</v>
      </c>
      <c r="R1094">
        <v>0.89</v>
      </c>
      <c r="S1094" t="str">
        <f t="shared" si="17"/>
        <v>March</v>
      </c>
    </row>
    <row r="1095" spans="1:19" x14ac:dyDescent="0.2">
      <c r="A1095" t="s">
        <v>2239</v>
      </c>
      <c r="B1095" t="s">
        <v>2240</v>
      </c>
      <c r="C1095" t="s">
        <v>58</v>
      </c>
      <c r="D1095" t="s">
        <v>35</v>
      </c>
      <c r="E1095" s="1">
        <v>45931</v>
      </c>
      <c r="F1095" s="1">
        <v>45933</v>
      </c>
      <c r="G1095" t="s">
        <v>68</v>
      </c>
      <c r="H1095" t="s">
        <v>23</v>
      </c>
      <c r="I1095" t="s">
        <v>51</v>
      </c>
      <c r="J1095">
        <v>4</v>
      </c>
      <c r="K1095" t="s">
        <v>103</v>
      </c>
      <c r="L1095" t="s">
        <v>26</v>
      </c>
      <c r="M1095" t="s">
        <v>82</v>
      </c>
      <c r="N1095">
        <v>1.6</v>
      </c>
      <c r="O1095" s="3">
        <v>6763.12</v>
      </c>
      <c r="P1095">
        <v>0</v>
      </c>
      <c r="Q1095">
        <v>4.2</v>
      </c>
      <c r="R1095">
        <v>0.78</v>
      </c>
      <c r="S1095" t="str">
        <f t="shared" si="17"/>
        <v>October</v>
      </c>
    </row>
    <row r="1096" spans="1:19" x14ac:dyDescent="0.2">
      <c r="A1096" t="s">
        <v>2241</v>
      </c>
      <c r="B1096" t="s">
        <v>2242</v>
      </c>
      <c r="C1096" t="s">
        <v>58</v>
      </c>
      <c r="D1096" t="s">
        <v>49</v>
      </c>
      <c r="E1096" s="1">
        <v>45918</v>
      </c>
      <c r="F1096" s="1">
        <v>45925</v>
      </c>
      <c r="G1096" t="s">
        <v>68</v>
      </c>
      <c r="H1096" t="s">
        <v>50</v>
      </c>
      <c r="I1096" t="s">
        <v>37</v>
      </c>
      <c r="J1096">
        <v>82</v>
      </c>
      <c r="K1096" t="s">
        <v>65</v>
      </c>
      <c r="L1096" t="s">
        <v>26</v>
      </c>
      <c r="M1096" t="s">
        <v>27</v>
      </c>
      <c r="N1096">
        <v>6.4</v>
      </c>
      <c r="O1096" s="3">
        <v>6763.12</v>
      </c>
      <c r="P1096">
        <v>0</v>
      </c>
      <c r="Q1096">
        <v>3.8</v>
      </c>
      <c r="R1096">
        <v>0.74</v>
      </c>
      <c r="S1096" t="str">
        <f t="shared" si="17"/>
        <v>September</v>
      </c>
    </row>
    <row r="1097" spans="1:19" x14ac:dyDescent="0.2">
      <c r="A1097" t="s">
        <v>2243</v>
      </c>
      <c r="B1097" t="s">
        <v>2244</v>
      </c>
      <c r="C1097" t="s">
        <v>122</v>
      </c>
      <c r="D1097" t="s">
        <v>21</v>
      </c>
      <c r="E1097" s="1">
        <v>45950</v>
      </c>
      <c r="F1097" s="1">
        <v>45951</v>
      </c>
      <c r="G1097" t="s">
        <v>50</v>
      </c>
      <c r="H1097" t="s">
        <v>23</v>
      </c>
      <c r="I1097" t="s">
        <v>117</v>
      </c>
      <c r="J1097">
        <v>65</v>
      </c>
      <c r="K1097" t="s">
        <v>169</v>
      </c>
      <c r="L1097" t="s">
        <v>26</v>
      </c>
      <c r="M1097" t="s">
        <v>39</v>
      </c>
      <c r="N1097">
        <v>0.5</v>
      </c>
      <c r="O1097" s="3">
        <v>6763.12</v>
      </c>
      <c r="P1097">
        <v>0</v>
      </c>
      <c r="Q1097">
        <v>3.4</v>
      </c>
      <c r="R1097">
        <v>0.76</v>
      </c>
      <c r="S1097" t="str">
        <f t="shared" si="17"/>
        <v>October</v>
      </c>
    </row>
    <row r="1098" spans="1:19" x14ac:dyDescent="0.2">
      <c r="A1098" t="s">
        <v>2245</v>
      </c>
      <c r="B1098" t="s">
        <v>2246</v>
      </c>
      <c r="C1098" t="s">
        <v>20</v>
      </c>
      <c r="D1098" t="s">
        <v>49</v>
      </c>
      <c r="E1098" s="1">
        <v>45719</v>
      </c>
      <c r="F1098" s="1">
        <v>45724</v>
      </c>
      <c r="G1098" t="s">
        <v>43</v>
      </c>
      <c r="H1098" t="s">
        <v>23</v>
      </c>
      <c r="I1098" t="s">
        <v>37</v>
      </c>
      <c r="J1098">
        <v>35</v>
      </c>
      <c r="K1098" t="s">
        <v>25</v>
      </c>
      <c r="L1098" t="s">
        <v>32</v>
      </c>
      <c r="M1098" t="s">
        <v>27</v>
      </c>
      <c r="N1098">
        <v>4.5999999999999996</v>
      </c>
      <c r="O1098" s="3">
        <v>6763.12</v>
      </c>
      <c r="P1098">
        <v>0</v>
      </c>
      <c r="Q1098">
        <v>3.3</v>
      </c>
      <c r="R1098">
        <v>0.77</v>
      </c>
      <c r="S1098" t="str">
        <f t="shared" si="17"/>
        <v>March</v>
      </c>
    </row>
    <row r="1099" spans="1:19" x14ac:dyDescent="0.2">
      <c r="A1099" t="s">
        <v>2247</v>
      </c>
      <c r="B1099" t="s">
        <v>2248</v>
      </c>
      <c r="C1099" t="s">
        <v>122</v>
      </c>
      <c r="D1099" t="s">
        <v>35</v>
      </c>
      <c r="E1099" s="1">
        <v>45837</v>
      </c>
      <c r="F1099" s="1">
        <v>45839</v>
      </c>
      <c r="G1099" t="s">
        <v>50</v>
      </c>
      <c r="H1099" t="s">
        <v>23</v>
      </c>
      <c r="I1099" t="s">
        <v>51</v>
      </c>
      <c r="J1099">
        <v>40</v>
      </c>
      <c r="K1099" t="s">
        <v>25</v>
      </c>
      <c r="L1099" t="s">
        <v>26</v>
      </c>
      <c r="M1099" t="s">
        <v>39</v>
      </c>
      <c r="N1099">
        <v>1.1000000000000001</v>
      </c>
      <c r="O1099" s="3">
        <v>6763.12</v>
      </c>
      <c r="P1099">
        <v>0</v>
      </c>
      <c r="Q1099">
        <v>4.9000000000000004</v>
      </c>
      <c r="R1099">
        <v>0.77</v>
      </c>
      <c r="S1099" t="str">
        <f t="shared" si="17"/>
        <v>June</v>
      </c>
    </row>
    <row r="1100" spans="1:19" x14ac:dyDescent="0.2">
      <c r="A1100" t="s">
        <v>2249</v>
      </c>
      <c r="B1100" t="s">
        <v>2250</v>
      </c>
      <c r="C1100" t="s">
        <v>122</v>
      </c>
      <c r="D1100" t="s">
        <v>35</v>
      </c>
      <c r="E1100" s="1">
        <v>45739</v>
      </c>
      <c r="F1100" s="1">
        <v>45740</v>
      </c>
      <c r="G1100" t="s">
        <v>50</v>
      </c>
      <c r="H1100" t="s">
        <v>50</v>
      </c>
      <c r="I1100" t="s">
        <v>45</v>
      </c>
      <c r="J1100">
        <v>39</v>
      </c>
      <c r="K1100" t="s">
        <v>25</v>
      </c>
      <c r="L1100" t="s">
        <v>32</v>
      </c>
      <c r="M1100" t="s">
        <v>39</v>
      </c>
      <c r="N1100">
        <v>0.7</v>
      </c>
      <c r="O1100" s="3">
        <v>6763.12</v>
      </c>
      <c r="P1100">
        <v>0</v>
      </c>
      <c r="Q1100">
        <v>3.7</v>
      </c>
      <c r="R1100">
        <v>0.74</v>
      </c>
      <c r="S1100" t="str">
        <f t="shared" si="17"/>
        <v>March</v>
      </c>
    </row>
    <row r="1101" spans="1:19" x14ac:dyDescent="0.2">
      <c r="A1101" t="s">
        <v>2251</v>
      </c>
      <c r="B1101" t="s">
        <v>2252</v>
      </c>
      <c r="C1101" t="s">
        <v>30</v>
      </c>
      <c r="D1101" t="s">
        <v>21</v>
      </c>
      <c r="E1101" s="1">
        <v>45983</v>
      </c>
      <c r="F1101" s="1">
        <v>45985</v>
      </c>
      <c r="G1101" t="s">
        <v>43</v>
      </c>
      <c r="H1101" t="s">
        <v>44</v>
      </c>
      <c r="I1101" t="s">
        <v>37</v>
      </c>
      <c r="J1101">
        <v>14</v>
      </c>
      <c r="K1101" t="s">
        <v>46</v>
      </c>
      <c r="L1101" t="s">
        <v>32</v>
      </c>
      <c r="M1101" t="s">
        <v>82</v>
      </c>
      <c r="N1101">
        <v>1.7</v>
      </c>
      <c r="O1101" s="3">
        <v>6763.12</v>
      </c>
      <c r="P1101">
        <v>0</v>
      </c>
      <c r="Q1101">
        <v>2.9</v>
      </c>
      <c r="R1101">
        <v>0.89</v>
      </c>
      <c r="S1101" t="str">
        <f t="shared" si="17"/>
        <v>November</v>
      </c>
    </row>
    <row r="1102" spans="1:19" x14ac:dyDescent="0.2">
      <c r="A1102" t="s">
        <v>2253</v>
      </c>
      <c r="B1102" t="s">
        <v>2254</v>
      </c>
      <c r="C1102" t="s">
        <v>122</v>
      </c>
      <c r="D1102" t="s">
        <v>49</v>
      </c>
      <c r="E1102" s="1">
        <v>45755</v>
      </c>
      <c r="F1102" s="1">
        <v>45758</v>
      </c>
      <c r="G1102" t="s">
        <v>116</v>
      </c>
      <c r="H1102" t="s">
        <v>50</v>
      </c>
      <c r="I1102" t="s">
        <v>51</v>
      </c>
      <c r="J1102">
        <v>20</v>
      </c>
      <c r="K1102" t="s">
        <v>78</v>
      </c>
      <c r="L1102" t="s">
        <v>26</v>
      </c>
      <c r="M1102" t="s">
        <v>52</v>
      </c>
      <c r="N1102">
        <v>2.7</v>
      </c>
      <c r="O1102" s="3">
        <v>6763.12</v>
      </c>
      <c r="P1102">
        <v>0</v>
      </c>
      <c r="Q1102">
        <v>4.0999999999999996</v>
      </c>
      <c r="R1102">
        <v>0.73</v>
      </c>
      <c r="S1102" t="str">
        <f t="shared" si="17"/>
        <v>April</v>
      </c>
    </row>
    <row r="1103" spans="1:19" x14ac:dyDescent="0.2">
      <c r="A1103" t="s">
        <v>2255</v>
      </c>
      <c r="B1103" t="s">
        <v>2256</v>
      </c>
      <c r="C1103" t="s">
        <v>122</v>
      </c>
      <c r="D1103" t="s">
        <v>21</v>
      </c>
      <c r="E1103" s="1">
        <v>45710</v>
      </c>
      <c r="F1103" s="1">
        <v>45713</v>
      </c>
      <c r="G1103" t="s">
        <v>43</v>
      </c>
      <c r="H1103" t="s">
        <v>23</v>
      </c>
      <c r="I1103" t="s">
        <v>37</v>
      </c>
      <c r="J1103">
        <v>26</v>
      </c>
      <c r="K1103" t="s">
        <v>78</v>
      </c>
      <c r="L1103" t="s">
        <v>26</v>
      </c>
      <c r="M1103" t="s">
        <v>39</v>
      </c>
      <c r="N1103">
        <v>2.5</v>
      </c>
      <c r="O1103" s="3">
        <v>6763.12</v>
      </c>
      <c r="P1103">
        <v>0</v>
      </c>
      <c r="Q1103">
        <v>4.5999999999999996</v>
      </c>
      <c r="R1103">
        <v>0.77</v>
      </c>
      <c r="S1103" t="str">
        <f t="shared" si="17"/>
        <v>February</v>
      </c>
    </row>
    <row r="1104" spans="1:19" x14ac:dyDescent="0.2">
      <c r="A1104" t="s">
        <v>2257</v>
      </c>
      <c r="B1104" t="s">
        <v>2258</v>
      </c>
      <c r="C1104" t="s">
        <v>20</v>
      </c>
      <c r="D1104" t="s">
        <v>35</v>
      </c>
      <c r="E1104" s="1">
        <v>45866</v>
      </c>
      <c r="F1104" s="1">
        <v>45867</v>
      </c>
      <c r="G1104" t="s">
        <v>63</v>
      </c>
      <c r="H1104" t="s">
        <v>50</v>
      </c>
      <c r="I1104" t="s">
        <v>31</v>
      </c>
      <c r="J1104">
        <v>0</v>
      </c>
      <c r="K1104" t="s">
        <v>103</v>
      </c>
      <c r="L1104" t="s">
        <v>26</v>
      </c>
      <c r="M1104" t="s">
        <v>27</v>
      </c>
      <c r="N1104">
        <v>0.7</v>
      </c>
      <c r="O1104" s="3">
        <v>6763.12</v>
      </c>
      <c r="P1104">
        <v>0</v>
      </c>
      <c r="Q1104">
        <v>4</v>
      </c>
      <c r="R1104">
        <v>0.72</v>
      </c>
      <c r="S1104" t="str">
        <f t="shared" si="17"/>
        <v>July</v>
      </c>
    </row>
    <row r="1105" spans="1:19" x14ac:dyDescent="0.2">
      <c r="A1105" t="s">
        <v>2259</v>
      </c>
      <c r="B1105" t="s">
        <v>2260</v>
      </c>
      <c r="C1105" t="s">
        <v>30</v>
      </c>
      <c r="D1105" t="s">
        <v>21</v>
      </c>
      <c r="E1105" s="1">
        <v>45978</v>
      </c>
      <c r="F1105" s="1">
        <v>45980</v>
      </c>
      <c r="G1105" t="s">
        <v>63</v>
      </c>
      <c r="H1105" t="s">
        <v>23</v>
      </c>
      <c r="I1105" t="s">
        <v>117</v>
      </c>
      <c r="J1105">
        <v>45</v>
      </c>
      <c r="K1105" t="s">
        <v>25</v>
      </c>
      <c r="L1105" t="s">
        <v>26</v>
      </c>
      <c r="M1105" t="s">
        <v>27</v>
      </c>
      <c r="N1105">
        <v>1.5</v>
      </c>
      <c r="O1105" s="3">
        <v>6763.12</v>
      </c>
      <c r="P1105">
        <v>0</v>
      </c>
      <c r="Q1105">
        <v>3.4</v>
      </c>
      <c r="R1105">
        <v>0.83</v>
      </c>
      <c r="S1105" t="str">
        <f t="shared" si="17"/>
        <v>November</v>
      </c>
    </row>
    <row r="1106" spans="1:19" x14ac:dyDescent="0.2">
      <c r="A1106" t="s">
        <v>2261</v>
      </c>
      <c r="B1106" t="s">
        <v>2262</v>
      </c>
      <c r="C1106" t="s">
        <v>122</v>
      </c>
      <c r="D1106" t="s">
        <v>49</v>
      </c>
      <c r="E1106" s="1">
        <v>45992</v>
      </c>
      <c r="F1106" s="1">
        <v>45997</v>
      </c>
      <c r="G1106" t="s">
        <v>71</v>
      </c>
      <c r="H1106" t="s">
        <v>23</v>
      </c>
      <c r="I1106" t="s">
        <v>45</v>
      </c>
      <c r="J1106">
        <v>43</v>
      </c>
      <c r="K1106" t="s">
        <v>25</v>
      </c>
      <c r="L1106" t="s">
        <v>26</v>
      </c>
      <c r="M1106" t="s">
        <v>27</v>
      </c>
      <c r="N1106">
        <v>5</v>
      </c>
      <c r="O1106" s="3">
        <v>6763.12</v>
      </c>
      <c r="P1106">
        <v>0</v>
      </c>
      <c r="Q1106">
        <v>3.3</v>
      </c>
      <c r="R1106">
        <v>0.78</v>
      </c>
      <c r="S1106" t="str">
        <f t="shared" si="17"/>
        <v>December</v>
      </c>
    </row>
    <row r="1107" spans="1:19" x14ac:dyDescent="0.2">
      <c r="A1107" t="s">
        <v>2263</v>
      </c>
      <c r="B1107" t="s">
        <v>2264</v>
      </c>
      <c r="C1107" t="s">
        <v>30</v>
      </c>
      <c r="D1107" t="s">
        <v>35</v>
      </c>
      <c r="E1107" s="1">
        <v>45693</v>
      </c>
      <c r="F1107" s="1">
        <v>45694</v>
      </c>
      <c r="G1107" t="s">
        <v>68</v>
      </c>
      <c r="H1107" t="s">
        <v>23</v>
      </c>
      <c r="I1107" t="s">
        <v>81</v>
      </c>
      <c r="J1107">
        <v>29</v>
      </c>
      <c r="K1107" t="s">
        <v>78</v>
      </c>
      <c r="L1107" t="s">
        <v>32</v>
      </c>
      <c r="M1107" t="s">
        <v>27</v>
      </c>
      <c r="N1107">
        <v>0.8</v>
      </c>
      <c r="O1107" s="3">
        <v>6763.12</v>
      </c>
      <c r="P1107">
        <v>0</v>
      </c>
      <c r="Q1107">
        <v>3.3</v>
      </c>
      <c r="R1107">
        <v>0.81</v>
      </c>
      <c r="S1107" t="str">
        <f t="shared" si="17"/>
        <v>February</v>
      </c>
    </row>
    <row r="1108" spans="1:19" x14ac:dyDescent="0.2">
      <c r="A1108" t="s">
        <v>2265</v>
      </c>
      <c r="B1108" t="s">
        <v>2266</v>
      </c>
      <c r="C1108" t="s">
        <v>58</v>
      </c>
      <c r="D1108" t="s">
        <v>49</v>
      </c>
      <c r="E1108" s="1">
        <v>45776</v>
      </c>
      <c r="F1108" s="1">
        <v>45780</v>
      </c>
      <c r="G1108" t="s">
        <v>22</v>
      </c>
      <c r="H1108" t="s">
        <v>50</v>
      </c>
      <c r="I1108" t="s">
        <v>55</v>
      </c>
      <c r="J1108">
        <v>16</v>
      </c>
      <c r="K1108" t="s">
        <v>46</v>
      </c>
      <c r="L1108" t="s">
        <v>32</v>
      </c>
      <c r="M1108" t="s">
        <v>27</v>
      </c>
      <c r="N1108">
        <v>4</v>
      </c>
      <c r="O1108" s="3">
        <v>6763.12</v>
      </c>
      <c r="P1108">
        <v>0</v>
      </c>
      <c r="Q1108">
        <v>4.8</v>
      </c>
      <c r="R1108">
        <v>0.71</v>
      </c>
      <c r="S1108" t="str">
        <f t="shared" si="17"/>
        <v>April</v>
      </c>
    </row>
    <row r="1109" spans="1:19" x14ac:dyDescent="0.2">
      <c r="A1109" t="s">
        <v>2267</v>
      </c>
      <c r="B1109" t="s">
        <v>2268</v>
      </c>
      <c r="C1109" t="s">
        <v>20</v>
      </c>
      <c r="D1109" t="s">
        <v>49</v>
      </c>
      <c r="E1109" s="1">
        <v>45714</v>
      </c>
      <c r="F1109" s="1">
        <v>45715</v>
      </c>
      <c r="G1109" t="s">
        <v>71</v>
      </c>
      <c r="H1109" t="s">
        <v>23</v>
      </c>
      <c r="I1109" t="s">
        <v>64</v>
      </c>
      <c r="J1109">
        <v>88</v>
      </c>
      <c r="K1109" t="s">
        <v>65</v>
      </c>
      <c r="L1109" t="s">
        <v>26</v>
      </c>
      <c r="M1109" t="s">
        <v>39</v>
      </c>
      <c r="N1109">
        <v>1</v>
      </c>
      <c r="O1109" s="3">
        <v>6763.12</v>
      </c>
      <c r="P1109">
        <v>0</v>
      </c>
      <c r="Q1109">
        <v>3.9</v>
      </c>
      <c r="R1109">
        <v>0.8</v>
      </c>
      <c r="S1109" t="str">
        <f t="shared" si="17"/>
        <v>February</v>
      </c>
    </row>
    <row r="1110" spans="1:19" x14ac:dyDescent="0.2">
      <c r="A1110" t="s">
        <v>2269</v>
      </c>
      <c r="B1110" t="s">
        <v>2270</v>
      </c>
      <c r="C1110" t="s">
        <v>122</v>
      </c>
      <c r="D1110" t="s">
        <v>21</v>
      </c>
      <c r="E1110" s="1">
        <v>45770</v>
      </c>
      <c r="F1110" s="1">
        <v>45775</v>
      </c>
      <c r="G1110" t="s">
        <v>59</v>
      </c>
      <c r="H1110" t="s">
        <v>23</v>
      </c>
      <c r="I1110" t="s">
        <v>100</v>
      </c>
      <c r="J1110">
        <v>61</v>
      </c>
      <c r="K1110" t="s">
        <v>38</v>
      </c>
      <c r="L1110" t="s">
        <v>26</v>
      </c>
      <c r="M1110" t="s">
        <v>27</v>
      </c>
      <c r="N1110">
        <v>4.3</v>
      </c>
      <c r="O1110" s="3">
        <v>6763.12</v>
      </c>
      <c r="P1110">
        <v>0</v>
      </c>
      <c r="Q1110">
        <v>2.8</v>
      </c>
      <c r="R1110">
        <v>0.76</v>
      </c>
      <c r="S1110" t="str">
        <f t="shared" si="17"/>
        <v>April</v>
      </c>
    </row>
    <row r="1111" spans="1:19" x14ac:dyDescent="0.2">
      <c r="A1111" t="s">
        <v>2271</v>
      </c>
      <c r="B1111" t="s">
        <v>2272</v>
      </c>
      <c r="C1111" t="s">
        <v>30</v>
      </c>
      <c r="D1111" t="s">
        <v>42</v>
      </c>
      <c r="E1111" s="1">
        <v>45852</v>
      </c>
      <c r="F1111" s="1">
        <v>45858</v>
      </c>
      <c r="G1111" t="s">
        <v>36</v>
      </c>
      <c r="H1111" t="s">
        <v>50</v>
      </c>
      <c r="I1111" t="s">
        <v>31</v>
      </c>
      <c r="J1111">
        <v>43</v>
      </c>
      <c r="K1111" t="s">
        <v>25</v>
      </c>
      <c r="L1111" t="s">
        <v>32</v>
      </c>
      <c r="M1111" t="s">
        <v>27</v>
      </c>
      <c r="N1111">
        <v>5.5</v>
      </c>
      <c r="O1111" s="3">
        <v>6763.12</v>
      </c>
      <c r="P1111">
        <v>0</v>
      </c>
      <c r="Q1111">
        <v>4.0999999999999996</v>
      </c>
      <c r="R1111">
        <v>0.81</v>
      </c>
      <c r="S1111" t="str">
        <f t="shared" si="17"/>
        <v>July</v>
      </c>
    </row>
    <row r="1112" spans="1:19" x14ac:dyDescent="0.2">
      <c r="A1112" t="s">
        <v>2273</v>
      </c>
      <c r="B1112" t="s">
        <v>2274</v>
      </c>
      <c r="C1112" t="s">
        <v>62</v>
      </c>
      <c r="D1112" t="s">
        <v>42</v>
      </c>
      <c r="E1112" s="1">
        <v>45760</v>
      </c>
      <c r="F1112" s="1">
        <v>45761</v>
      </c>
      <c r="G1112" t="s">
        <v>116</v>
      </c>
      <c r="H1112" t="s">
        <v>44</v>
      </c>
      <c r="I1112" t="s">
        <v>81</v>
      </c>
      <c r="J1112">
        <v>65</v>
      </c>
      <c r="K1112" t="s">
        <v>169</v>
      </c>
      <c r="L1112" t="s">
        <v>32</v>
      </c>
      <c r="M1112" t="s">
        <v>82</v>
      </c>
      <c r="N1112">
        <v>0.9</v>
      </c>
      <c r="O1112" s="3">
        <v>6763.12</v>
      </c>
      <c r="P1112">
        <v>0</v>
      </c>
      <c r="Q1112">
        <v>4</v>
      </c>
      <c r="R1112">
        <v>0.92</v>
      </c>
      <c r="S1112" t="str">
        <f t="shared" si="17"/>
        <v>April</v>
      </c>
    </row>
    <row r="1113" spans="1:19" x14ac:dyDescent="0.2">
      <c r="A1113" t="s">
        <v>2275</v>
      </c>
      <c r="B1113" t="s">
        <v>2276</v>
      </c>
      <c r="C1113" t="s">
        <v>20</v>
      </c>
      <c r="D1113" t="s">
        <v>21</v>
      </c>
      <c r="E1113" s="1">
        <v>45682</v>
      </c>
      <c r="F1113" s="1">
        <v>45683</v>
      </c>
      <c r="G1113" t="s">
        <v>50</v>
      </c>
      <c r="H1113" t="s">
        <v>23</v>
      </c>
      <c r="I1113" t="s">
        <v>37</v>
      </c>
      <c r="J1113">
        <v>33</v>
      </c>
      <c r="K1113" t="s">
        <v>78</v>
      </c>
      <c r="L1113" t="s">
        <v>32</v>
      </c>
      <c r="M1113" t="s">
        <v>27</v>
      </c>
      <c r="N1113">
        <v>0.3</v>
      </c>
      <c r="O1113" s="3">
        <v>6763.12</v>
      </c>
      <c r="P1113">
        <v>0</v>
      </c>
      <c r="Q1113">
        <v>3.4</v>
      </c>
      <c r="R1113">
        <v>0.81</v>
      </c>
      <c r="S1113" t="str">
        <f t="shared" si="17"/>
        <v>January</v>
      </c>
    </row>
    <row r="1114" spans="1:19" x14ac:dyDescent="0.2">
      <c r="A1114" t="s">
        <v>2277</v>
      </c>
      <c r="B1114" t="s">
        <v>2278</v>
      </c>
      <c r="C1114" t="s">
        <v>58</v>
      </c>
      <c r="D1114" t="s">
        <v>35</v>
      </c>
      <c r="E1114" s="1">
        <v>45844</v>
      </c>
      <c r="F1114" s="1">
        <v>45850</v>
      </c>
      <c r="G1114" t="s">
        <v>71</v>
      </c>
      <c r="H1114" t="s">
        <v>44</v>
      </c>
      <c r="I1114" t="s">
        <v>45</v>
      </c>
      <c r="J1114">
        <v>19</v>
      </c>
      <c r="K1114" t="s">
        <v>78</v>
      </c>
      <c r="L1114" t="s">
        <v>32</v>
      </c>
      <c r="M1114" t="s">
        <v>39</v>
      </c>
      <c r="N1114">
        <v>5.9</v>
      </c>
      <c r="O1114" s="3">
        <v>6763.12</v>
      </c>
      <c r="P1114">
        <v>0</v>
      </c>
      <c r="Q1114">
        <v>3.3</v>
      </c>
      <c r="R1114">
        <v>0.77</v>
      </c>
      <c r="S1114" t="str">
        <f t="shared" si="17"/>
        <v>July</v>
      </c>
    </row>
    <row r="1115" spans="1:19" x14ac:dyDescent="0.2">
      <c r="A1115" t="s">
        <v>2279</v>
      </c>
      <c r="B1115" t="s">
        <v>2280</v>
      </c>
      <c r="C1115" t="s">
        <v>20</v>
      </c>
      <c r="D1115" t="s">
        <v>21</v>
      </c>
      <c r="E1115" s="1">
        <v>45677</v>
      </c>
      <c r="F1115" s="1">
        <v>45683</v>
      </c>
      <c r="G1115" t="s">
        <v>99</v>
      </c>
      <c r="H1115" t="s">
        <v>44</v>
      </c>
      <c r="I1115" t="s">
        <v>100</v>
      </c>
      <c r="J1115">
        <v>61</v>
      </c>
      <c r="K1115" t="s">
        <v>38</v>
      </c>
      <c r="L1115" t="s">
        <v>26</v>
      </c>
      <c r="M1115" t="s">
        <v>82</v>
      </c>
      <c r="N1115">
        <v>5.6</v>
      </c>
      <c r="O1115" s="3">
        <v>6763.12</v>
      </c>
      <c r="P1115">
        <v>1</v>
      </c>
      <c r="Q1115">
        <v>3.3</v>
      </c>
      <c r="R1115">
        <v>0.78</v>
      </c>
      <c r="S1115" t="str">
        <f t="shared" si="17"/>
        <v>January</v>
      </c>
    </row>
    <row r="1116" spans="1:19" x14ac:dyDescent="0.2">
      <c r="A1116" t="s">
        <v>2281</v>
      </c>
      <c r="B1116" t="s">
        <v>2282</v>
      </c>
      <c r="C1116" t="s">
        <v>62</v>
      </c>
      <c r="D1116" t="s">
        <v>35</v>
      </c>
      <c r="E1116" s="1">
        <v>45740</v>
      </c>
      <c r="F1116" s="1">
        <v>45743</v>
      </c>
      <c r="G1116" t="s">
        <v>68</v>
      </c>
      <c r="H1116" t="s">
        <v>44</v>
      </c>
      <c r="I1116" t="s">
        <v>100</v>
      </c>
      <c r="J1116">
        <v>70</v>
      </c>
      <c r="K1116" t="s">
        <v>169</v>
      </c>
      <c r="L1116" t="s">
        <v>32</v>
      </c>
      <c r="M1116" t="s">
        <v>39</v>
      </c>
      <c r="N1116">
        <v>2.2000000000000002</v>
      </c>
      <c r="O1116" s="3">
        <v>6763.12</v>
      </c>
      <c r="P1116">
        <v>0</v>
      </c>
      <c r="Q1116">
        <v>4.5999999999999996</v>
      </c>
      <c r="R1116">
        <v>0.81</v>
      </c>
      <c r="S1116" t="str">
        <f t="shared" si="17"/>
        <v>March</v>
      </c>
    </row>
    <row r="1117" spans="1:19" x14ac:dyDescent="0.2">
      <c r="A1117" t="s">
        <v>2283</v>
      </c>
      <c r="B1117" t="s">
        <v>2284</v>
      </c>
      <c r="C1117" t="s">
        <v>62</v>
      </c>
      <c r="D1117" t="s">
        <v>49</v>
      </c>
      <c r="E1117" s="1">
        <v>45658</v>
      </c>
      <c r="F1117" s="1">
        <v>45660</v>
      </c>
      <c r="G1117" t="s">
        <v>68</v>
      </c>
      <c r="H1117" t="s">
        <v>23</v>
      </c>
      <c r="I1117" t="s">
        <v>64</v>
      </c>
      <c r="J1117">
        <v>59</v>
      </c>
      <c r="K1117" t="s">
        <v>38</v>
      </c>
      <c r="L1117" t="s">
        <v>32</v>
      </c>
      <c r="M1117" t="s">
        <v>27</v>
      </c>
      <c r="N1117">
        <v>1.7</v>
      </c>
      <c r="O1117" s="3">
        <v>6763.12</v>
      </c>
      <c r="P1117">
        <v>0</v>
      </c>
      <c r="Q1117">
        <v>4</v>
      </c>
      <c r="R1117">
        <v>0.84</v>
      </c>
      <c r="S1117" t="str">
        <f t="shared" si="17"/>
        <v>January</v>
      </c>
    </row>
    <row r="1118" spans="1:19" x14ac:dyDescent="0.2">
      <c r="A1118" t="s">
        <v>2285</v>
      </c>
      <c r="B1118" t="s">
        <v>2286</v>
      </c>
      <c r="C1118" t="s">
        <v>122</v>
      </c>
      <c r="D1118" t="s">
        <v>42</v>
      </c>
      <c r="E1118" s="1">
        <v>45689</v>
      </c>
      <c r="F1118" s="1">
        <v>45690</v>
      </c>
      <c r="G1118" t="s">
        <v>99</v>
      </c>
      <c r="H1118" t="s">
        <v>23</v>
      </c>
      <c r="I1118" t="s">
        <v>117</v>
      </c>
      <c r="J1118">
        <v>51</v>
      </c>
      <c r="K1118" t="s">
        <v>38</v>
      </c>
      <c r="L1118" t="s">
        <v>26</v>
      </c>
      <c r="M1118" t="s">
        <v>27</v>
      </c>
      <c r="N1118">
        <v>0.7</v>
      </c>
      <c r="O1118" s="3">
        <v>6763.12</v>
      </c>
      <c r="P1118">
        <v>0</v>
      </c>
      <c r="Q1118">
        <v>4.2</v>
      </c>
      <c r="R1118">
        <v>0.88</v>
      </c>
      <c r="S1118" t="str">
        <f t="shared" si="17"/>
        <v>February</v>
      </c>
    </row>
    <row r="1119" spans="1:19" x14ac:dyDescent="0.2">
      <c r="A1119" t="s">
        <v>2287</v>
      </c>
      <c r="B1119" t="s">
        <v>2288</v>
      </c>
      <c r="C1119" t="s">
        <v>58</v>
      </c>
      <c r="D1119" t="s">
        <v>42</v>
      </c>
      <c r="E1119" s="1">
        <v>45817</v>
      </c>
      <c r="F1119" s="1">
        <v>45821</v>
      </c>
      <c r="G1119" t="s">
        <v>43</v>
      </c>
      <c r="H1119" t="s">
        <v>50</v>
      </c>
      <c r="I1119" t="s">
        <v>117</v>
      </c>
      <c r="J1119">
        <v>0</v>
      </c>
      <c r="K1119" t="s">
        <v>103</v>
      </c>
      <c r="L1119" t="s">
        <v>26</v>
      </c>
      <c r="M1119" t="s">
        <v>39</v>
      </c>
      <c r="N1119">
        <v>3.1</v>
      </c>
      <c r="O1119" s="3">
        <v>6763.12</v>
      </c>
      <c r="P1119">
        <v>1</v>
      </c>
      <c r="Q1119">
        <v>4</v>
      </c>
      <c r="R1119">
        <v>0.74</v>
      </c>
      <c r="S1119" t="str">
        <f t="shared" si="17"/>
        <v>June</v>
      </c>
    </row>
    <row r="1120" spans="1:19" x14ac:dyDescent="0.2">
      <c r="A1120" t="s">
        <v>2289</v>
      </c>
      <c r="B1120" t="s">
        <v>2290</v>
      </c>
      <c r="C1120" t="s">
        <v>122</v>
      </c>
      <c r="D1120" t="s">
        <v>21</v>
      </c>
      <c r="E1120" s="1">
        <v>45968</v>
      </c>
      <c r="F1120" s="1">
        <v>45969</v>
      </c>
      <c r="G1120" t="s">
        <v>63</v>
      </c>
      <c r="H1120" t="s">
        <v>50</v>
      </c>
      <c r="I1120" t="s">
        <v>51</v>
      </c>
      <c r="J1120">
        <v>58</v>
      </c>
      <c r="K1120" t="s">
        <v>38</v>
      </c>
      <c r="L1120" t="s">
        <v>32</v>
      </c>
      <c r="M1120" t="s">
        <v>39</v>
      </c>
      <c r="N1120">
        <v>0.6</v>
      </c>
      <c r="O1120" s="3">
        <v>6763.12</v>
      </c>
      <c r="P1120">
        <v>0</v>
      </c>
      <c r="Q1120">
        <v>4.0999999999999996</v>
      </c>
      <c r="R1120">
        <v>0.79</v>
      </c>
      <c r="S1120" t="str">
        <f t="shared" si="17"/>
        <v>November</v>
      </c>
    </row>
    <row r="1121" spans="1:19" x14ac:dyDescent="0.2">
      <c r="A1121" t="s">
        <v>2291</v>
      </c>
      <c r="B1121" t="s">
        <v>2292</v>
      </c>
      <c r="C1121" t="s">
        <v>58</v>
      </c>
      <c r="D1121" t="s">
        <v>21</v>
      </c>
      <c r="E1121" s="1">
        <v>45940</v>
      </c>
      <c r="F1121" s="1">
        <v>45948</v>
      </c>
      <c r="G1121" t="s">
        <v>36</v>
      </c>
      <c r="H1121" t="s">
        <v>23</v>
      </c>
      <c r="I1121" t="s">
        <v>100</v>
      </c>
      <c r="J1121">
        <v>56</v>
      </c>
      <c r="K1121" t="s">
        <v>38</v>
      </c>
      <c r="L1121" t="s">
        <v>32</v>
      </c>
      <c r="M1121" t="s">
        <v>27</v>
      </c>
      <c r="N1121">
        <v>7.5</v>
      </c>
      <c r="O1121" s="3">
        <v>6763.12</v>
      </c>
      <c r="P1121">
        <v>0</v>
      </c>
      <c r="Q1121">
        <v>3.4</v>
      </c>
      <c r="R1121">
        <v>0.72</v>
      </c>
      <c r="S1121" t="str">
        <f t="shared" si="17"/>
        <v>October</v>
      </c>
    </row>
    <row r="1122" spans="1:19" x14ac:dyDescent="0.2">
      <c r="A1122" t="s">
        <v>2293</v>
      </c>
      <c r="B1122" t="s">
        <v>2294</v>
      </c>
      <c r="C1122" t="s">
        <v>122</v>
      </c>
      <c r="D1122" t="s">
        <v>35</v>
      </c>
      <c r="E1122" s="1">
        <v>45694</v>
      </c>
      <c r="F1122" s="1">
        <v>45695</v>
      </c>
      <c r="G1122" t="s">
        <v>50</v>
      </c>
      <c r="H1122" t="s">
        <v>50</v>
      </c>
      <c r="I1122" t="s">
        <v>45</v>
      </c>
      <c r="J1122">
        <v>37</v>
      </c>
      <c r="K1122" t="s">
        <v>25</v>
      </c>
      <c r="L1122" t="s">
        <v>32</v>
      </c>
      <c r="M1122" t="s">
        <v>39</v>
      </c>
      <c r="N1122">
        <v>0.9</v>
      </c>
      <c r="O1122" s="3">
        <v>6763.12</v>
      </c>
      <c r="P1122">
        <v>0</v>
      </c>
      <c r="Q1122">
        <v>3.6</v>
      </c>
      <c r="R1122">
        <v>0.67</v>
      </c>
      <c r="S1122" t="str">
        <f t="shared" si="17"/>
        <v>February</v>
      </c>
    </row>
    <row r="1123" spans="1:19" x14ac:dyDescent="0.2">
      <c r="A1123" t="s">
        <v>2295</v>
      </c>
      <c r="B1123" t="s">
        <v>2296</v>
      </c>
      <c r="C1123" t="s">
        <v>30</v>
      </c>
      <c r="D1123" t="s">
        <v>49</v>
      </c>
      <c r="E1123" s="1">
        <v>45670</v>
      </c>
      <c r="F1123" s="1">
        <v>45671</v>
      </c>
      <c r="G1123" t="s">
        <v>50</v>
      </c>
      <c r="H1123" t="s">
        <v>44</v>
      </c>
      <c r="I1123" t="s">
        <v>37</v>
      </c>
      <c r="J1123">
        <v>22</v>
      </c>
      <c r="K1123" t="s">
        <v>78</v>
      </c>
      <c r="L1123" t="s">
        <v>32</v>
      </c>
      <c r="M1123" t="s">
        <v>39</v>
      </c>
      <c r="N1123">
        <v>0.4</v>
      </c>
      <c r="O1123" s="3">
        <v>6763.12</v>
      </c>
      <c r="P1123">
        <v>0</v>
      </c>
      <c r="Q1123">
        <v>4.4000000000000004</v>
      </c>
      <c r="R1123">
        <v>0.79</v>
      </c>
      <c r="S1123" t="str">
        <f t="shared" si="17"/>
        <v>January</v>
      </c>
    </row>
    <row r="1124" spans="1:19" x14ac:dyDescent="0.2">
      <c r="A1124" t="s">
        <v>2297</v>
      </c>
      <c r="B1124" t="s">
        <v>2298</v>
      </c>
      <c r="C1124" t="s">
        <v>62</v>
      </c>
      <c r="D1124" t="s">
        <v>35</v>
      </c>
      <c r="E1124" s="1">
        <v>45781</v>
      </c>
      <c r="F1124" s="1">
        <v>45784</v>
      </c>
      <c r="G1124" t="s">
        <v>71</v>
      </c>
      <c r="H1124" t="s">
        <v>50</v>
      </c>
      <c r="I1124" t="s">
        <v>117</v>
      </c>
      <c r="J1124">
        <v>89</v>
      </c>
      <c r="K1124" t="s">
        <v>65</v>
      </c>
      <c r="L1124" t="s">
        <v>32</v>
      </c>
      <c r="M1124" t="s">
        <v>27</v>
      </c>
      <c r="N1124">
        <v>2.7</v>
      </c>
      <c r="O1124" s="3">
        <v>6763.12</v>
      </c>
      <c r="P1124">
        <v>0</v>
      </c>
      <c r="Q1124">
        <v>4.7</v>
      </c>
      <c r="R1124">
        <v>0.94</v>
      </c>
      <c r="S1124" t="str">
        <f t="shared" si="17"/>
        <v>May</v>
      </c>
    </row>
    <row r="1125" spans="1:19" x14ac:dyDescent="0.2">
      <c r="A1125" t="s">
        <v>2299</v>
      </c>
      <c r="B1125" t="s">
        <v>2300</v>
      </c>
      <c r="C1125" t="s">
        <v>62</v>
      </c>
      <c r="D1125" t="s">
        <v>42</v>
      </c>
      <c r="E1125" s="1">
        <v>45896</v>
      </c>
      <c r="F1125" s="1">
        <v>45898</v>
      </c>
      <c r="G1125" t="s">
        <v>50</v>
      </c>
      <c r="H1125" t="s">
        <v>50</v>
      </c>
      <c r="I1125" t="s">
        <v>100</v>
      </c>
      <c r="J1125">
        <v>34</v>
      </c>
      <c r="K1125" t="s">
        <v>78</v>
      </c>
      <c r="L1125" t="s">
        <v>32</v>
      </c>
      <c r="M1125" t="s">
        <v>39</v>
      </c>
      <c r="N1125">
        <v>1.1000000000000001</v>
      </c>
      <c r="O1125" s="3">
        <v>6763.12</v>
      </c>
      <c r="P1125">
        <v>1</v>
      </c>
      <c r="Q1125">
        <v>3</v>
      </c>
      <c r="R1125">
        <v>0.86</v>
      </c>
      <c r="S1125" t="str">
        <f t="shared" si="17"/>
        <v>August</v>
      </c>
    </row>
    <row r="1126" spans="1:19" x14ac:dyDescent="0.2">
      <c r="A1126" t="s">
        <v>2301</v>
      </c>
      <c r="B1126" t="s">
        <v>2302</v>
      </c>
      <c r="C1126" t="s">
        <v>122</v>
      </c>
      <c r="D1126" t="s">
        <v>42</v>
      </c>
      <c r="E1126" s="1">
        <v>45930</v>
      </c>
      <c r="F1126" s="1">
        <v>45932</v>
      </c>
      <c r="G1126" t="s">
        <v>68</v>
      </c>
      <c r="H1126" t="s">
        <v>50</v>
      </c>
      <c r="I1126" t="s">
        <v>64</v>
      </c>
      <c r="J1126">
        <v>24</v>
      </c>
      <c r="K1126" t="s">
        <v>78</v>
      </c>
      <c r="L1126" t="s">
        <v>32</v>
      </c>
      <c r="M1126" t="s">
        <v>27</v>
      </c>
      <c r="N1126">
        <v>1.8</v>
      </c>
      <c r="O1126" s="3">
        <v>6763.12</v>
      </c>
      <c r="P1126">
        <v>0</v>
      </c>
      <c r="Q1126">
        <v>3.8</v>
      </c>
      <c r="R1126">
        <v>0.85</v>
      </c>
      <c r="S1126" t="str">
        <f t="shared" si="17"/>
        <v>September</v>
      </c>
    </row>
    <row r="1127" spans="1:19" x14ac:dyDescent="0.2">
      <c r="A1127" t="s">
        <v>2303</v>
      </c>
      <c r="B1127" t="s">
        <v>2304</v>
      </c>
      <c r="C1127" t="s">
        <v>62</v>
      </c>
      <c r="D1127" t="s">
        <v>35</v>
      </c>
      <c r="E1127" s="1">
        <v>45958</v>
      </c>
      <c r="F1127" s="1">
        <v>45961</v>
      </c>
      <c r="G1127" t="s">
        <v>116</v>
      </c>
      <c r="H1127" t="s">
        <v>50</v>
      </c>
      <c r="I1127" t="s">
        <v>31</v>
      </c>
      <c r="J1127">
        <v>64</v>
      </c>
      <c r="K1127" t="s">
        <v>38</v>
      </c>
      <c r="L1127" t="s">
        <v>32</v>
      </c>
      <c r="M1127" t="s">
        <v>27</v>
      </c>
      <c r="N1127">
        <v>2.2000000000000002</v>
      </c>
      <c r="O1127" s="3">
        <v>6763.12</v>
      </c>
      <c r="P1127">
        <v>0</v>
      </c>
      <c r="Q1127">
        <v>4.4000000000000004</v>
      </c>
      <c r="R1127">
        <v>0.83</v>
      </c>
      <c r="S1127" t="str">
        <f t="shared" si="17"/>
        <v>October</v>
      </c>
    </row>
    <row r="1128" spans="1:19" x14ac:dyDescent="0.2">
      <c r="A1128" t="s">
        <v>2305</v>
      </c>
      <c r="B1128" t="s">
        <v>2306</v>
      </c>
      <c r="C1128" t="s">
        <v>122</v>
      </c>
      <c r="D1128" t="s">
        <v>49</v>
      </c>
      <c r="E1128" s="1">
        <v>45782</v>
      </c>
      <c r="F1128" s="1">
        <v>45784</v>
      </c>
      <c r="G1128" t="s">
        <v>99</v>
      </c>
      <c r="H1128" t="s">
        <v>50</v>
      </c>
      <c r="I1128" t="s">
        <v>51</v>
      </c>
      <c r="J1128">
        <v>43</v>
      </c>
      <c r="K1128" t="s">
        <v>25</v>
      </c>
      <c r="L1128" t="s">
        <v>32</v>
      </c>
      <c r="M1128" t="s">
        <v>82</v>
      </c>
      <c r="N1128">
        <v>1.3</v>
      </c>
      <c r="O1128" s="3">
        <v>6763.12</v>
      </c>
      <c r="P1128">
        <v>0</v>
      </c>
      <c r="Q1128">
        <v>5</v>
      </c>
      <c r="R1128">
        <v>0.69</v>
      </c>
      <c r="S1128" t="str">
        <f t="shared" si="17"/>
        <v>May</v>
      </c>
    </row>
    <row r="1129" spans="1:19" x14ac:dyDescent="0.2">
      <c r="A1129" t="s">
        <v>2307</v>
      </c>
      <c r="B1129" t="s">
        <v>2308</v>
      </c>
      <c r="C1129" t="s">
        <v>20</v>
      </c>
      <c r="D1129" t="s">
        <v>49</v>
      </c>
      <c r="E1129" s="1">
        <v>45719</v>
      </c>
      <c r="F1129" s="1">
        <v>45726</v>
      </c>
      <c r="G1129" t="s">
        <v>99</v>
      </c>
      <c r="H1129" t="s">
        <v>50</v>
      </c>
      <c r="I1129" t="s">
        <v>51</v>
      </c>
      <c r="J1129">
        <v>50</v>
      </c>
      <c r="K1129" t="s">
        <v>38</v>
      </c>
      <c r="L1129" t="s">
        <v>26</v>
      </c>
      <c r="M1129" t="s">
        <v>27</v>
      </c>
      <c r="N1129">
        <v>6.9</v>
      </c>
      <c r="O1129" s="3">
        <v>6763.12</v>
      </c>
      <c r="P1129">
        <v>1</v>
      </c>
      <c r="Q1129">
        <v>5</v>
      </c>
      <c r="R1129">
        <v>0.76</v>
      </c>
      <c r="S1129" t="str">
        <f t="shared" si="17"/>
        <v>March</v>
      </c>
    </row>
    <row r="1130" spans="1:19" x14ac:dyDescent="0.2">
      <c r="A1130" t="s">
        <v>2309</v>
      </c>
      <c r="B1130" t="s">
        <v>2310</v>
      </c>
      <c r="C1130" t="s">
        <v>62</v>
      </c>
      <c r="D1130" t="s">
        <v>42</v>
      </c>
      <c r="E1130" s="1">
        <v>45667</v>
      </c>
      <c r="F1130" s="1">
        <v>45669</v>
      </c>
      <c r="G1130" t="s">
        <v>22</v>
      </c>
      <c r="H1130" t="s">
        <v>23</v>
      </c>
      <c r="I1130" t="s">
        <v>81</v>
      </c>
      <c r="J1130">
        <v>58</v>
      </c>
      <c r="K1130" t="s">
        <v>38</v>
      </c>
      <c r="L1130" t="s">
        <v>32</v>
      </c>
      <c r="M1130" t="s">
        <v>39</v>
      </c>
      <c r="N1130">
        <v>1.1000000000000001</v>
      </c>
      <c r="O1130" s="3">
        <v>6763.12</v>
      </c>
      <c r="P1130">
        <v>0</v>
      </c>
      <c r="Q1130">
        <v>3.4</v>
      </c>
      <c r="R1130">
        <v>0.86</v>
      </c>
      <c r="S1130" t="str">
        <f t="shared" si="17"/>
        <v>January</v>
      </c>
    </row>
    <row r="1131" spans="1:19" x14ac:dyDescent="0.2">
      <c r="A1131" t="s">
        <v>2311</v>
      </c>
      <c r="B1131" t="s">
        <v>2312</v>
      </c>
      <c r="C1131" t="s">
        <v>122</v>
      </c>
      <c r="D1131" t="s">
        <v>21</v>
      </c>
      <c r="E1131" s="1">
        <v>45711</v>
      </c>
      <c r="F1131" s="1">
        <v>45712</v>
      </c>
      <c r="G1131" t="s">
        <v>63</v>
      </c>
      <c r="H1131" t="s">
        <v>50</v>
      </c>
      <c r="I1131" t="s">
        <v>37</v>
      </c>
      <c r="J1131">
        <v>33</v>
      </c>
      <c r="K1131" t="s">
        <v>78</v>
      </c>
      <c r="L1131" t="s">
        <v>32</v>
      </c>
      <c r="M1131" t="s">
        <v>27</v>
      </c>
      <c r="N1131">
        <v>0.4</v>
      </c>
      <c r="O1131" s="3">
        <v>6763.12</v>
      </c>
      <c r="P1131">
        <v>0</v>
      </c>
      <c r="Q1131">
        <v>4.7</v>
      </c>
      <c r="R1131">
        <v>0.79</v>
      </c>
      <c r="S1131" t="str">
        <f t="shared" si="17"/>
        <v>February</v>
      </c>
    </row>
    <row r="1132" spans="1:19" x14ac:dyDescent="0.2">
      <c r="A1132" t="s">
        <v>2313</v>
      </c>
      <c r="B1132" t="s">
        <v>2314</v>
      </c>
      <c r="C1132" t="s">
        <v>20</v>
      </c>
      <c r="D1132" t="s">
        <v>35</v>
      </c>
      <c r="E1132" s="1">
        <v>45681</v>
      </c>
      <c r="F1132" s="1">
        <v>45683</v>
      </c>
      <c r="G1132" t="s">
        <v>22</v>
      </c>
      <c r="H1132" t="s">
        <v>50</v>
      </c>
      <c r="I1132" t="s">
        <v>81</v>
      </c>
      <c r="J1132">
        <v>13</v>
      </c>
      <c r="K1132" t="s">
        <v>46</v>
      </c>
      <c r="L1132" t="s">
        <v>26</v>
      </c>
      <c r="M1132" t="s">
        <v>27</v>
      </c>
      <c r="N1132">
        <v>1.5</v>
      </c>
      <c r="O1132" s="3">
        <v>6763.12</v>
      </c>
      <c r="P1132">
        <v>1</v>
      </c>
      <c r="Q1132">
        <v>3.9</v>
      </c>
      <c r="R1132">
        <v>0.8</v>
      </c>
      <c r="S1132" t="str">
        <f t="shared" si="17"/>
        <v>January</v>
      </c>
    </row>
    <row r="1133" spans="1:19" x14ac:dyDescent="0.2">
      <c r="A1133" t="s">
        <v>2315</v>
      </c>
      <c r="B1133" t="s">
        <v>2316</v>
      </c>
      <c r="C1133" t="s">
        <v>58</v>
      </c>
      <c r="D1133" t="s">
        <v>49</v>
      </c>
      <c r="E1133" s="1">
        <v>45972</v>
      </c>
      <c r="F1133" s="1">
        <v>45975</v>
      </c>
      <c r="G1133" t="s">
        <v>71</v>
      </c>
      <c r="H1133" t="s">
        <v>50</v>
      </c>
      <c r="I1133" t="s">
        <v>31</v>
      </c>
      <c r="J1133">
        <v>15</v>
      </c>
      <c r="K1133" t="s">
        <v>46</v>
      </c>
      <c r="L1133" t="s">
        <v>32</v>
      </c>
      <c r="M1133" t="s">
        <v>82</v>
      </c>
      <c r="N1133">
        <v>2.4</v>
      </c>
      <c r="O1133" s="3">
        <v>6763.12</v>
      </c>
      <c r="P1133">
        <v>0</v>
      </c>
      <c r="Q1133">
        <v>4.5</v>
      </c>
      <c r="R1133">
        <v>0.73</v>
      </c>
      <c r="S1133" t="str">
        <f t="shared" si="17"/>
        <v>November</v>
      </c>
    </row>
    <row r="1134" spans="1:19" x14ac:dyDescent="0.2">
      <c r="A1134" t="s">
        <v>2317</v>
      </c>
      <c r="B1134" t="s">
        <v>2318</v>
      </c>
      <c r="C1134" t="s">
        <v>30</v>
      </c>
      <c r="D1134" t="s">
        <v>35</v>
      </c>
      <c r="E1134" s="1">
        <v>45755</v>
      </c>
      <c r="F1134" s="1">
        <v>45762</v>
      </c>
      <c r="G1134" t="s">
        <v>36</v>
      </c>
      <c r="H1134" t="s">
        <v>50</v>
      </c>
      <c r="I1134" t="s">
        <v>100</v>
      </c>
      <c r="J1134">
        <v>85</v>
      </c>
      <c r="K1134" t="s">
        <v>65</v>
      </c>
      <c r="L1134" t="s">
        <v>32</v>
      </c>
      <c r="M1134" t="s">
        <v>27</v>
      </c>
      <c r="N1134">
        <v>6.9</v>
      </c>
      <c r="O1134" s="3">
        <v>6763.12</v>
      </c>
      <c r="P1134">
        <v>0</v>
      </c>
      <c r="Q1134">
        <v>4.4000000000000004</v>
      </c>
      <c r="R1134">
        <v>0.86</v>
      </c>
      <c r="S1134" t="str">
        <f t="shared" si="17"/>
        <v>April</v>
      </c>
    </row>
    <row r="1135" spans="1:19" x14ac:dyDescent="0.2">
      <c r="A1135" t="s">
        <v>2319</v>
      </c>
      <c r="B1135" t="s">
        <v>2320</v>
      </c>
      <c r="C1135" t="s">
        <v>20</v>
      </c>
      <c r="D1135" t="s">
        <v>49</v>
      </c>
      <c r="E1135" s="1">
        <v>45958</v>
      </c>
      <c r="F1135" s="1">
        <v>45959</v>
      </c>
      <c r="G1135" t="s">
        <v>50</v>
      </c>
      <c r="H1135" t="s">
        <v>50</v>
      </c>
      <c r="I1135" t="s">
        <v>31</v>
      </c>
      <c r="J1135">
        <v>45</v>
      </c>
      <c r="K1135" t="s">
        <v>25</v>
      </c>
      <c r="L1135" t="s">
        <v>26</v>
      </c>
      <c r="M1135" t="s">
        <v>27</v>
      </c>
      <c r="N1135">
        <v>0.5</v>
      </c>
      <c r="O1135" s="3">
        <v>6763.12</v>
      </c>
      <c r="P1135">
        <v>1</v>
      </c>
      <c r="Q1135">
        <v>2.9</v>
      </c>
      <c r="R1135">
        <v>0.78</v>
      </c>
      <c r="S1135" t="str">
        <f t="shared" si="17"/>
        <v>October</v>
      </c>
    </row>
    <row r="1136" spans="1:19" x14ac:dyDescent="0.2">
      <c r="A1136" t="s">
        <v>2321</v>
      </c>
      <c r="B1136" t="s">
        <v>2322</v>
      </c>
      <c r="C1136" t="s">
        <v>122</v>
      </c>
      <c r="D1136" t="s">
        <v>35</v>
      </c>
      <c r="E1136" s="1">
        <v>45859</v>
      </c>
      <c r="F1136" s="1">
        <v>45862</v>
      </c>
      <c r="G1136" t="s">
        <v>71</v>
      </c>
      <c r="H1136" t="s">
        <v>23</v>
      </c>
      <c r="I1136" t="s">
        <v>100</v>
      </c>
      <c r="J1136">
        <v>37</v>
      </c>
      <c r="K1136" t="s">
        <v>25</v>
      </c>
      <c r="L1136" t="s">
        <v>26</v>
      </c>
      <c r="M1136" t="s">
        <v>82</v>
      </c>
      <c r="N1136">
        <v>2.7</v>
      </c>
      <c r="O1136" s="3">
        <v>6763.12</v>
      </c>
      <c r="P1136">
        <v>0</v>
      </c>
      <c r="Q1136">
        <v>4.2</v>
      </c>
      <c r="R1136">
        <v>0.79</v>
      </c>
      <c r="S1136" t="str">
        <f t="shared" si="17"/>
        <v>July</v>
      </c>
    </row>
    <row r="1137" spans="1:19" x14ac:dyDescent="0.2">
      <c r="A1137" t="s">
        <v>2323</v>
      </c>
      <c r="B1137" t="s">
        <v>2324</v>
      </c>
      <c r="C1137" t="s">
        <v>58</v>
      </c>
      <c r="D1137" t="s">
        <v>49</v>
      </c>
      <c r="E1137" s="1">
        <v>45854</v>
      </c>
      <c r="F1137" s="1">
        <v>45857</v>
      </c>
      <c r="G1137" t="s">
        <v>43</v>
      </c>
      <c r="H1137" t="s">
        <v>23</v>
      </c>
      <c r="I1137" t="s">
        <v>64</v>
      </c>
      <c r="J1137">
        <v>29</v>
      </c>
      <c r="K1137" t="s">
        <v>78</v>
      </c>
      <c r="L1137" t="s">
        <v>32</v>
      </c>
      <c r="M1137" t="s">
        <v>82</v>
      </c>
      <c r="N1137">
        <v>3</v>
      </c>
      <c r="O1137" s="3">
        <v>6763.12</v>
      </c>
      <c r="P1137">
        <v>0</v>
      </c>
      <c r="Q1137">
        <v>4.5</v>
      </c>
      <c r="R1137">
        <v>0.76</v>
      </c>
      <c r="S1137" t="str">
        <f t="shared" si="17"/>
        <v>July</v>
      </c>
    </row>
    <row r="1138" spans="1:19" x14ac:dyDescent="0.2">
      <c r="A1138" t="s">
        <v>2325</v>
      </c>
      <c r="B1138" t="s">
        <v>2326</v>
      </c>
      <c r="C1138" t="s">
        <v>30</v>
      </c>
      <c r="D1138" t="s">
        <v>42</v>
      </c>
      <c r="E1138" s="1">
        <v>45823</v>
      </c>
      <c r="F1138" s="1">
        <v>45829</v>
      </c>
      <c r="G1138" t="s">
        <v>36</v>
      </c>
      <c r="H1138" t="s">
        <v>50</v>
      </c>
      <c r="I1138" t="s">
        <v>31</v>
      </c>
      <c r="J1138">
        <v>65</v>
      </c>
      <c r="K1138" t="s">
        <v>169</v>
      </c>
      <c r="L1138" t="s">
        <v>26</v>
      </c>
      <c r="M1138" t="s">
        <v>39</v>
      </c>
      <c r="N1138">
        <v>5.2</v>
      </c>
      <c r="O1138" s="3">
        <v>6763.12</v>
      </c>
      <c r="P1138">
        <v>0</v>
      </c>
      <c r="Q1138">
        <v>3.9</v>
      </c>
      <c r="R1138">
        <v>0.81</v>
      </c>
      <c r="S1138" t="str">
        <f t="shared" si="17"/>
        <v>June</v>
      </c>
    </row>
    <row r="1139" spans="1:19" x14ac:dyDescent="0.2">
      <c r="A1139" t="s">
        <v>2327</v>
      </c>
      <c r="B1139" t="s">
        <v>2328</v>
      </c>
      <c r="C1139" t="s">
        <v>122</v>
      </c>
      <c r="D1139" t="s">
        <v>35</v>
      </c>
      <c r="E1139" s="1">
        <v>45957</v>
      </c>
      <c r="F1139" s="1">
        <v>45968</v>
      </c>
      <c r="G1139" t="s">
        <v>71</v>
      </c>
      <c r="H1139" t="s">
        <v>23</v>
      </c>
      <c r="I1139" t="s">
        <v>24</v>
      </c>
      <c r="J1139">
        <v>83</v>
      </c>
      <c r="K1139" t="s">
        <v>65</v>
      </c>
      <c r="L1139" t="s">
        <v>26</v>
      </c>
      <c r="M1139" t="s">
        <v>27</v>
      </c>
      <c r="N1139">
        <v>10.199999999999999</v>
      </c>
      <c r="O1139" s="3">
        <v>6763.12</v>
      </c>
      <c r="P1139">
        <v>0</v>
      </c>
      <c r="Q1139">
        <v>3.6</v>
      </c>
      <c r="R1139">
        <v>0.74</v>
      </c>
      <c r="S1139" t="str">
        <f t="shared" si="17"/>
        <v>October</v>
      </c>
    </row>
    <row r="1140" spans="1:19" x14ac:dyDescent="0.2">
      <c r="A1140" t="s">
        <v>2329</v>
      </c>
      <c r="B1140" t="s">
        <v>2330</v>
      </c>
      <c r="C1140" t="s">
        <v>58</v>
      </c>
      <c r="D1140" t="s">
        <v>21</v>
      </c>
      <c r="E1140" s="1">
        <v>45673</v>
      </c>
      <c r="F1140" s="1">
        <v>45674</v>
      </c>
      <c r="G1140" t="s">
        <v>22</v>
      </c>
      <c r="H1140" t="s">
        <v>50</v>
      </c>
      <c r="I1140" t="s">
        <v>55</v>
      </c>
      <c r="J1140">
        <v>69</v>
      </c>
      <c r="K1140" t="s">
        <v>169</v>
      </c>
      <c r="L1140" t="s">
        <v>32</v>
      </c>
      <c r="M1140" t="s">
        <v>27</v>
      </c>
      <c r="N1140">
        <v>1</v>
      </c>
      <c r="O1140" s="3">
        <v>6763.12</v>
      </c>
      <c r="P1140">
        <v>0</v>
      </c>
      <c r="Q1140">
        <v>3</v>
      </c>
      <c r="R1140">
        <v>0.73</v>
      </c>
      <c r="S1140" t="str">
        <f t="shared" si="17"/>
        <v>January</v>
      </c>
    </row>
    <row r="1141" spans="1:19" x14ac:dyDescent="0.2">
      <c r="A1141" t="s">
        <v>2331</v>
      </c>
      <c r="B1141" t="s">
        <v>2332</v>
      </c>
      <c r="C1141" t="s">
        <v>30</v>
      </c>
      <c r="D1141" t="s">
        <v>49</v>
      </c>
      <c r="E1141" s="1">
        <v>45691</v>
      </c>
      <c r="F1141" s="1">
        <v>45694</v>
      </c>
      <c r="G1141" t="s">
        <v>50</v>
      </c>
      <c r="H1141" t="s">
        <v>50</v>
      </c>
      <c r="I1141" t="s">
        <v>51</v>
      </c>
      <c r="J1141">
        <v>48</v>
      </c>
      <c r="K1141" t="s">
        <v>25</v>
      </c>
      <c r="L1141" t="s">
        <v>32</v>
      </c>
      <c r="M1141" t="s">
        <v>39</v>
      </c>
      <c r="N1141">
        <v>2.4</v>
      </c>
      <c r="O1141" s="3">
        <v>6763.12</v>
      </c>
      <c r="P1141">
        <v>0</v>
      </c>
      <c r="Q1141">
        <v>4.0999999999999996</v>
      </c>
      <c r="R1141">
        <v>0.89</v>
      </c>
      <c r="S1141" t="str">
        <f t="shared" si="17"/>
        <v>February</v>
      </c>
    </row>
    <row r="1142" spans="1:19" x14ac:dyDescent="0.2">
      <c r="A1142" t="s">
        <v>2333</v>
      </c>
      <c r="B1142" t="s">
        <v>2334</v>
      </c>
      <c r="C1142" t="s">
        <v>20</v>
      </c>
      <c r="D1142" t="s">
        <v>35</v>
      </c>
      <c r="E1142" s="1">
        <v>45812</v>
      </c>
      <c r="F1142" s="1">
        <v>45819</v>
      </c>
      <c r="G1142" t="s">
        <v>99</v>
      </c>
      <c r="H1142" t="s">
        <v>44</v>
      </c>
      <c r="I1142" t="s">
        <v>55</v>
      </c>
      <c r="J1142">
        <v>43</v>
      </c>
      <c r="K1142" t="s">
        <v>25</v>
      </c>
      <c r="L1142" t="s">
        <v>32</v>
      </c>
      <c r="M1142" t="s">
        <v>27</v>
      </c>
      <c r="N1142">
        <v>6.1</v>
      </c>
      <c r="O1142" s="3">
        <v>6763.12</v>
      </c>
      <c r="P1142">
        <v>0</v>
      </c>
      <c r="Q1142">
        <v>4</v>
      </c>
      <c r="R1142">
        <v>0.84</v>
      </c>
      <c r="S1142" t="str">
        <f t="shared" si="17"/>
        <v>June</v>
      </c>
    </row>
    <row r="1143" spans="1:19" x14ac:dyDescent="0.2">
      <c r="A1143" t="s">
        <v>2335</v>
      </c>
      <c r="B1143" t="s">
        <v>2336</v>
      </c>
      <c r="C1143" t="s">
        <v>58</v>
      </c>
      <c r="D1143" t="s">
        <v>49</v>
      </c>
      <c r="E1143" s="1">
        <v>45801</v>
      </c>
      <c r="F1143" s="1">
        <v>45802</v>
      </c>
      <c r="G1143" t="s">
        <v>50</v>
      </c>
      <c r="H1143" t="s">
        <v>50</v>
      </c>
      <c r="I1143" t="s">
        <v>64</v>
      </c>
      <c r="J1143">
        <v>78</v>
      </c>
      <c r="K1143" t="s">
        <v>65</v>
      </c>
      <c r="L1143" t="s">
        <v>26</v>
      </c>
      <c r="M1143" t="s">
        <v>27</v>
      </c>
      <c r="N1143">
        <v>0.5</v>
      </c>
      <c r="O1143" s="3">
        <v>6763.12</v>
      </c>
      <c r="P1143">
        <v>0</v>
      </c>
      <c r="Q1143">
        <v>3.1</v>
      </c>
      <c r="R1143">
        <v>0.79</v>
      </c>
      <c r="S1143" t="str">
        <f t="shared" si="17"/>
        <v>May</v>
      </c>
    </row>
    <row r="1144" spans="1:19" x14ac:dyDescent="0.2">
      <c r="A1144" t="s">
        <v>2337</v>
      </c>
      <c r="B1144" t="s">
        <v>2338</v>
      </c>
      <c r="C1144" t="s">
        <v>58</v>
      </c>
      <c r="D1144" t="s">
        <v>49</v>
      </c>
      <c r="E1144" s="1">
        <v>45857</v>
      </c>
      <c r="F1144" s="1">
        <v>45859</v>
      </c>
      <c r="G1144" t="s">
        <v>43</v>
      </c>
      <c r="H1144" t="s">
        <v>44</v>
      </c>
      <c r="I1144" t="s">
        <v>31</v>
      </c>
      <c r="J1144">
        <v>77</v>
      </c>
      <c r="K1144" t="s">
        <v>65</v>
      </c>
      <c r="L1144" t="s">
        <v>32</v>
      </c>
      <c r="M1144" t="s">
        <v>82</v>
      </c>
      <c r="N1144">
        <v>1.3</v>
      </c>
      <c r="O1144" s="3">
        <v>6763.12</v>
      </c>
      <c r="P1144">
        <v>1</v>
      </c>
      <c r="Q1144">
        <v>3.7</v>
      </c>
      <c r="R1144">
        <v>0.72</v>
      </c>
      <c r="S1144" t="str">
        <f t="shared" si="17"/>
        <v>July</v>
      </c>
    </row>
    <row r="1145" spans="1:19" x14ac:dyDescent="0.2">
      <c r="A1145" t="s">
        <v>2339</v>
      </c>
      <c r="B1145" t="s">
        <v>2340</v>
      </c>
      <c r="C1145" t="s">
        <v>30</v>
      </c>
      <c r="D1145" t="s">
        <v>21</v>
      </c>
      <c r="E1145" s="1">
        <v>45927</v>
      </c>
      <c r="F1145" s="1">
        <v>45931</v>
      </c>
      <c r="G1145" t="s">
        <v>68</v>
      </c>
      <c r="H1145" t="s">
        <v>50</v>
      </c>
      <c r="I1145" t="s">
        <v>51</v>
      </c>
      <c r="J1145">
        <v>35</v>
      </c>
      <c r="K1145" t="s">
        <v>25</v>
      </c>
      <c r="L1145" t="s">
        <v>32</v>
      </c>
      <c r="M1145" t="s">
        <v>27</v>
      </c>
      <c r="N1145">
        <v>3.5</v>
      </c>
      <c r="O1145" s="3">
        <v>6763.12</v>
      </c>
      <c r="P1145">
        <v>0</v>
      </c>
      <c r="Q1145">
        <v>4</v>
      </c>
      <c r="R1145">
        <v>0.76</v>
      </c>
      <c r="S1145" t="str">
        <f t="shared" si="17"/>
        <v>September</v>
      </c>
    </row>
    <row r="1146" spans="1:19" x14ac:dyDescent="0.2">
      <c r="A1146" t="s">
        <v>2341</v>
      </c>
      <c r="B1146" t="s">
        <v>2342</v>
      </c>
      <c r="C1146" t="s">
        <v>62</v>
      </c>
      <c r="D1146" t="s">
        <v>42</v>
      </c>
      <c r="E1146" s="1">
        <v>45872</v>
      </c>
      <c r="F1146" s="1">
        <v>45875</v>
      </c>
      <c r="G1146" t="s">
        <v>43</v>
      </c>
      <c r="H1146" t="s">
        <v>50</v>
      </c>
      <c r="I1146" t="s">
        <v>37</v>
      </c>
      <c r="J1146">
        <v>87</v>
      </c>
      <c r="K1146" t="s">
        <v>65</v>
      </c>
      <c r="L1146" t="s">
        <v>32</v>
      </c>
      <c r="M1146" t="s">
        <v>27</v>
      </c>
      <c r="N1146">
        <v>2.8</v>
      </c>
      <c r="O1146" s="3">
        <v>6763.12</v>
      </c>
      <c r="P1146">
        <v>0</v>
      </c>
      <c r="Q1146">
        <v>3.6</v>
      </c>
      <c r="R1146">
        <v>0.88</v>
      </c>
      <c r="S1146" t="str">
        <f t="shared" si="17"/>
        <v>August</v>
      </c>
    </row>
    <row r="1147" spans="1:19" x14ac:dyDescent="0.2">
      <c r="A1147" t="s">
        <v>2343</v>
      </c>
      <c r="B1147" t="s">
        <v>2344</v>
      </c>
      <c r="C1147" t="s">
        <v>58</v>
      </c>
      <c r="D1147" t="s">
        <v>21</v>
      </c>
      <c r="E1147" s="1">
        <v>45751</v>
      </c>
      <c r="F1147" s="1">
        <v>45753</v>
      </c>
      <c r="G1147" t="s">
        <v>50</v>
      </c>
      <c r="H1147" t="s">
        <v>50</v>
      </c>
      <c r="I1147" t="s">
        <v>100</v>
      </c>
      <c r="J1147">
        <v>75</v>
      </c>
      <c r="K1147" t="s">
        <v>65</v>
      </c>
      <c r="L1147" t="s">
        <v>26</v>
      </c>
      <c r="M1147" t="s">
        <v>27</v>
      </c>
      <c r="N1147">
        <v>1.4</v>
      </c>
      <c r="O1147" s="3">
        <v>6763.12</v>
      </c>
      <c r="P1147">
        <v>1</v>
      </c>
      <c r="Q1147">
        <v>3.7</v>
      </c>
      <c r="R1147">
        <v>0.79</v>
      </c>
      <c r="S1147" t="str">
        <f t="shared" si="17"/>
        <v>April</v>
      </c>
    </row>
    <row r="1148" spans="1:19" x14ac:dyDescent="0.2">
      <c r="A1148" t="s">
        <v>2345</v>
      </c>
      <c r="B1148" t="s">
        <v>2346</v>
      </c>
      <c r="C1148" t="s">
        <v>122</v>
      </c>
      <c r="D1148" t="s">
        <v>49</v>
      </c>
      <c r="E1148" s="1">
        <v>45777</v>
      </c>
      <c r="F1148" s="1">
        <v>45780</v>
      </c>
      <c r="G1148" t="s">
        <v>36</v>
      </c>
      <c r="H1148" t="s">
        <v>50</v>
      </c>
      <c r="I1148" t="s">
        <v>37</v>
      </c>
      <c r="J1148">
        <v>77</v>
      </c>
      <c r="K1148" t="s">
        <v>65</v>
      </c>
      <c r="L1148" t="s">
        <v>32</v>
      </c>
      <c r="M1148" t="s">
        <v>39</v>
      </c>
      <c r="N1148">
        <v>2.6</v>
      </c>
      <c r="O1148" s="3">
        <v>6763.12</v>
      </c>
      <c r="P1148">
        <v>1</v>
      </c>
      <c r="Q1148">
        <v>2.9</v>
      </c>
      <c r="R1148">
        <v>0.79</v>
      </c>
      <c r="S1148" t="str">
        <f t="shared" si="17"/>
        <v>April</v>
      </c>
    </row>
    <row r="1149" spans="1:19" x14ac:dyDescent="0.2">
      <c r="A1149" t="s">
        <v>2347</v>
      </c>
      <c r="B1149" t="s">
        <v>2348</v>
      </c>
      <c r="C1149" t="s">
        <v>58</v>
      </c>
      <c r="D1149" t="s">
        <v>35</v>
      </c>
      <c r="E1149" s="1">
        <v>45932</v>
      </c>
      <c r="F1149" s="1">
        <v>45936</v>
      </c>
      <c r="G1149" t="s">
        <v>36</v>
      </c>
      <c r="H1149" t="s">
        <v>44</v>
      </c>
      <c r="I1149" t="s">
        <v>55</v>
      </c>
      <c r="J1149">
        <v>5</v>
      </c>
      <c r="K1149" t="s">
        <v>103</v>
      </c>
      <c r="L1149" t="s">
        <v>32</v>
      </c>
      <c r="M1149" t="s">
        <v>39</v>
      </c>
      <c r="N1149">
        <v>3.4</v>
      </c>
      <c r="O1149" s="3">
        <v>6763.12</v>
      </c>
      <c r="P1149">
        <v>0</v>
      </c>
      <c r="Q1149">
        <v>4.7</v>
      </c>
      <c r="R1149">
        <v>0.74</v>
      </c>
      <c r="S1149" t="str">
        <f t="shared" si="17"/>
        <v>October</v>
      </c>
    </row>
    <row r="1150" spans="1:19" x14ac:dyDescent="0.2">
      <c r="A1150" t="s">
        <v>2349</v>
      </c>
      <c r="B1150" t="s">
        <v>2350</v>
      </c>
      <c r="C1150" t="s">
        <v>58</v>
      </c>
      <c r="D1150" t="s">
        <v>35</v>
      </c>
      <c r="E1150" s="1">
        <v>45731</v>
      </c>
      <c r="F1150" s="1">
        <v>45732</v>
      </c>
      <c r="G1150" t="s">
        <v>50</v>
      </c>
      <c r="H1150" t="s">
        <v>50</v>
      </c>
      <c r="I1150" t="s">
        <v>100</v>
      </c>
      <c r="J1150">
        <v>11</v>
      </c>
      <c r="K1150" t="s">
        <v>103</v>
      </c>
      <c r="L1150" t="s">
        <v>32</v>
      </c>
      <c r="M1150" t="s">
        <v>82</v>
      </c>
      <c r="N1150">
        <v>0.9</v>
      </c>
      <c r="O1150" s="3">
        <v>6763.12</v>
      </c>
      <c r="P1150">
        <v>0</v>
      </c>
      <c r="Q1150">
        <v>3.7</v>
      </c>
      <c r="R1150">
        <v>0.69</v>
      </c>
      <c r="S1150" t="str">
        <f t="shared" si="17"/>
        <v>March</v>
      </c>
    </row>
    <row r="1151" spans="1:19" x14ac:dyDescent="0.2">
      <c r="A1151" t="s">
        <v>2351</v>
      </c>
      <c r="B1151" t="s">
        <v>2352</v>
      </c>
      <c r="C1151" t="s">
        <v>58</v>
      </c>
      <c r="D1151" t="s">
        <v>35</v>
      </c>
      <c r="E1151" s="1">
        <v>45842</v>
      </c>
      <c r="F1151" s="1">
        <v>45844</v>
      </c>
      <c r="G1151" t="s">
        <v>50</v>
      </c>
      <c r="H1151" t="s">
        <v>44</v>
      </c>
      <c r="I1151" t="s">
        <v>55</v>
      </c>
      <c r="J1151">
        <v>27</v>
      </c>
      <c r="K1151" t="s">
        <v>78</v>
      </c>
      <c r="L1151" t="s">
        <v>26</v>
      </c>
      <c r="M1151" t="s">
        <v>27</v>
      </c>
      <c r="N1151">
        <v>1.3</v>
      </c>
      <c r="O1151" s="3">
        <v>6763.12</v>
      </c>
      <c r="P1151">
        <v>1</v>
      </c>
      <c r="Q1151">
        <v>3</v>
      </c>
      <c r="R1151">
        <v>0.78</v>
      </c>
      <c r="S1151" t="str">
        <f t="shared" si="17"/>
        <v>July</v>
      </c>
    </row>
    <row r="1152" spans="1:19" x14ac:dyDescent="0.2">
      <c r="A1152" t="s">
        <v>2353</v>
      </c>
      <c r="B1152" t="s">
        <v>2354</v>
      </c>
      <c r="C1152" t="s">
        <v>20</v>
      </c>
      <c r="D1152" t="s">
        <v>42</v>
      </c>
      <c r="E1152" s="1">
        <v>45854</v>
      </c>
      <c r="F1152" s="1">
        <v>45855</v>
      </c>
      <c r="G1152" t="s">
        <v>50</v>
      </c>
      <c r="H1152" t="s">
        <v>44</v>
      </c>
      <c r="I1152" t="s">
        <v>100</v>
      </c>
      <c r="J1152">
        <v>69</v>
      </c>
      <c r="K1152" t="s">
        <v>169</v>
      </c>
      <c r="L1152" t="s">
        <v>32</v>
      </c>
      <c r="M1152" t="s">
        <v>27</v>
      </c>
      <c r="N1152">
        <v>0.5</v>
      </c>
      <c r="O1152" s="3">
        <v>6763.12</v>
      </c>
      <c r="P1152">
        <v>0</v>
      </c>
      <c r="Q1152">
        <v>2.2000000000000002</v>
      </c>
      <c r="R1152">
        <v>0.85</v>
      </c>
      <c r="S1152" t="str">
        <f t="shared" si="17"/>
        <v>July</v>
      </c>
    </row>
    <row r="1153" spans="1:19" x14ac:dyDescent="0.2">
      <c r="A1153" t="s">
        <v>2355</v>
      </c>
      <c r="B1153" t="s">
        <v>2356</v>
      </c>
      <c r="C1153" t="s">
        <v>58</v>
      </c>
      <c r="D1153" t="s">
        <v>42</v>
      </c>
      <c r="E1153" s="1">
        <v>45931</v>
      </c>
      <c r="F1153" s="1">
        <v>45935</v>
      </c>
      <c r="G1153" t="s">
        <v>36</v>
      </c>
      <c r="H1153" t="s">
        <v>23</v>
      </c>
      <c r="I1153" t="s">
        <v>45</v>
      </c>
      <c r="J1153">
        <v>7</v>
      </c>
      <c r="K1153" t="s">
        <v>103</v>
      </c>
      <c r="L1153" t="s">
        <v>26</v>
      </c>
      <c r="M1153" t="s">
        <v>39</v>
      </c>
      <c r="N1153">
        <v>3.4</v>
      </c>
      <c r="O1153" s="3">
        <v>6763.12</v>
      </c>
      <c r="P1153">
        <v>0</v>
      </c>
      <c r="Q1153">
        <v>4.5</v>
      </c>
      <c r="R1153">
        <v>0.72</v>
      </c>
      <c r="S1153" t="str">
        <f t="shared" si="17"/>
        <v>October</v>
      </c>
    </row>
    <row r="1154" spans="1:19" x14ac:dyDescent="0.2">
      <c r="A1154" t="s">
        <v>2357</v>
      </c>
      <c r="B1154" t="s">
        <v>2358</v>
      </c>
      <c r="C1154" t="s">
        <v>62</v>
      </c>
      <c r="D1154" t="s">
        <v>42</v>
      </c>
      <c r="E1154" s="1">
        <v>45918</v>
      </c>
      <c r="F1154" s="1">
        <v>45927</v>
      </c>
      <c r="G1154" t="s">
        <v>99</v>
      </c>
      <c r="H1154" t="s">
        <v>50</v>
      </c>
      <c r="I1154" t="s">
        <v>45</v>
      </c>
      <c r="J1154">
        <v>7</v>
      </c>
      <c r="K1154" t="s">
        <v>103</v>
      </c>
      <c r="L1154" t="s">
        <v>32</v>
      </c>
      <c r="M1154" t="s">
        <v>27</v>
      </c>
      <c r="N1154">
        <v>8.1</v>
      </c>
      <c r="O1154" s="3">
        <v>6763.12</v>
      </c>
      <c r="P1154">
        <v>0</v>
      </c>
      <c r="Q1154">
        <v>4</v>
      </c>
      <c r="R1154">
        <v>0.81</v>
      </c>
      <c r="S1154" t="str">
        <f t="shared" si="17"/>
        <v>September</v>
      </c>
    </row>
    <row r="1155" spans="1:19" x14ac:dyDescent="0.2">
      <c r="A1155" t="s">
        <v>2359</v>
      </c>
      <c r="B1155" t="s">
        <v>2360</v>
      </c>
      <c r="C1155" t="s">
        <v>20</v>
      </c>
      <c r="D1155" t="s">
        <v>35</v>
      </c>
      <c r="E1155" s="1">
        <v>45827</v>
      </c>
      <c r="F1155" s="1">
        <v>45832</v>
      </c>
      <c r="G1155" t="s">
        <v>22</v>
      </c>
      <c r="H1155" t="s">
        <v>50</v>
      </c>
      <c r="I1155" t="s">
        <v>37</v>
      </c>
      <c r="J1155">
        <v>2</v>
      </c>
      <c r="K1155" t="s">
        <v>103</v>
      </c>
      <c r="L1155" t="s">
        <v>32</v>
      </c>
      <c r="M1155" t="s">
        <v>39</v>
      </c>
      <c r="N1155">
        <v>4.9000000000000004</v>
      </c>
      <c r="O1155" s="3">
        <v>6763.12</v>
      </c>
      <c r="P1155">
        <v>0</v>
      </c>
      <c r="Q1155">
        <v>4</v>
      </c>
      <c r="R1155">
        <v>0.85</v>
      </c>
      <c r="S1155" t="str">
        <f t="shared" ref="S1155:S1201" si="18">TEXT(E1155, "mmmm")</f>
        <v>June</v>
      </c>
    </row>
    <row r="1156" spans="1:19" x14ac:dyDescent="0.2">
      <c r="A1156" t="s">
        <v>2361</v>
      </c>
      <c r="B1156" t="s">
        <v>2362</v>
      </c>
      <c r="C1156" t="s">
        <v>62</v>
      </c>
      <c r="D1156" t="s">
        <v>49</v>
      </c>
      <c r="E1156" s="1">
        <v>45770</v>
      </c>
      <c r="F1156" s="1">
        <v>45776</v>
      </c>
      <c r="G1156" t="s">
        <v>71</v>
      </c>
      <c r="H1156" t="s">
        <v>50</v>
      </c>
      <c r="I1156" t="s">
        <v>24</v>
      </c>
      <c r="J1156">
        <v>17</v>
      </c>
      <c r="K1156" t="s">
        <v>46</v>
      </c>
      <c r="L1156" t="s">
        <v>32</v>
      </c>
      <c r="M1156" t="s">
        <v>52</v>
      </c>
      <c r="N1156">
        <v>5.3</v>
      </c>
      <c r="O1156" s="3">
        <v>6763.12</v>
      </c>
      <c r="P1156">
        <v>0</v>
      </c>
      <c r="Q1156">
        <v>4.4000000000000004</v>
      </c>
      <c r="R1156">
        <v>0.81</v>
      </c>
      <c r="S1156" t="str">
        <f t="shared" si="18"/>
        <v>April</v>
      </c>
    </row>
    <row r="1157" spans="1:19" x14ac:dyDescent="0.2">
      <c r="A1157" t="s">
        <v>2363</v>
      </c>
      <c r="B1157" t="s">
        <v>2364</v>
      </c>
      <c r="C1157" t="s">
        <v>58</v>
      </c>
      <c r="D1157" t="s">
        <v>42</v>
      </c>
      <c r="E1157" s="1">
        <v>45792</v>
      </c>
      <c r="F1157" s="1">
        <v>45794</v>
      </c>
      <c r="G1157" t="s">
        <v>43</v>
      </c>
      <c r="H1157" t="s">
        <v>23</v>
      </c>
      <c r="I1157" t="s">
        <v>55</v>
      </c>
      <c r="J1157">
        <v>83</v>
      </c>
      <c r="K1157" t="s">
        <v>65</v>
      </c>
      <c r="L1157" t="s">
        <v>32</v>
      </c>
      <c r="M1157" t="s">
        <v>39</v>
      </c>
      <c r="N1157">
        <v>1.2</v>
      </c>
      <c r="O1157" s="3">
        <v>6763.12</v>
      </c>
      <c r="P1157">
        <v>0</v>
      </c>
      <c r="Q1157">
        <v>4.4000000000000004</v>
      </c>
      <c r="R1157">
        <v>0.82</v>
      </c>
      <c r="S1157" t="str">
        <f t="shared" si="18"/>
        <v>May</v>
      </c>
    </row>
    <row r="1158" spans="1:19" x14ac:dyDescent="0.2">
      <c r="A1158" t="s">
        <v>2365</v>
      </c>
      <c r="B1158" t="s">
        <v>2366</v>
      </c>
      <c r="C1158" t="s">
        <v>62</v>
      </c>
      <c r="D1158" t="s">
        <v>49</v>
      </c>
      <c r="E1158" s="1">
        <v>45808</v>
      </c>
      <c r="F1158" s="1">
        <v>45821</v>
      </c>
      <c r="G1158" t="s">
        <v>63</v>
      </c>
      <c r="H1158" t="s">
        <v>50</v>
      </c>
      <c r="I1158" t="s">
        <v>64</v>
      </c>
      <c r="J1158">
        <v>65</v>
      </c>
      <c r="K1158" t="s">
        <v>169</v>
      </c>
      <c r="L1158" t="s">
        <v>32</v>
      </c>
      <c r="M1158" t="s">
        <v>27</v>
      </c>
      <c r="N1158">
        <v>12.2</v>
      </c>
      <c r="O1158" s="3">
        <v>6763.12</v>
      </c>
      <c r="P1158">
        <v>0</v>
      </c>
      <c r="Q1158">
        <v>3.8</v>
      </c>
      <c r="R1158">
        <v>0.84</v>
      </c>
      <c r="S1158" t="str">
        <f t="shared" si="18"/>
        <v>May</v>
      </c>
    </row>
    <row r="1159" spans="1:19" x14ac:dyDescent="0.2">
      <c r="A1159" t="s">
        <v>2367</v>
      </c>
      <c r="B1159" t="s">
        <v>2368</v>
      </c>
      <c r="C1159" t="s">
        <v>62</v>
      </c>
      <c r="D1159" t="s">
        <v>35</v>
      </c>
      <c r="E1159" s="1">
        <v>45738</v>
      </c>
      <c r="F1159" s="1">
        <v>45743</v>
      </c>
      <c r="G1159" t="s">
        <v>63</v>
      </c>
      <c r="H1159" t="s">
        <v>44</v>
      </c>
      <c r="I1159" t="s">
        <v>37</v>
      </c>
      <c r="J1159">
        <v>65</v>
      </c>
      <c r="K1159" t="s">
        <v>169</v>
      </c>
      <c r="L1159" t="s">
        <v>26</v>
      </c>
      <c r="M1159" t="s">
        <v>52</v>
      </c>
      <c r="N1159">
        <v>4.5999999999999996</v>
      </c>
      <c r="O1159" s="3">
        <v>6763.12</v>
      </c>
      <c r="P1159">
        <v>0</v>
      </c>
      <c r="Q1159">
        <v>3.7</v>
      </c>
      <c r="R1159">
        <v>0.82</v>
      </c>
      <c r="S1159" t="str">
        <f t="shared" si="18"/>
        <v>March</v>
      </c>
    </row>
    <row r="1160" spans="1:19" x14ac:dyDescent="0.2">
      <c r="A1160" t="s">
        <v>2369</v>
      </c>
      <c r="B1160" t="s">
        <v>2370</v>
      </c>
      <c r="C1160" t="s">
        <v>30</v>
      </c>
      <c r="D1160" t="s">
        <v>42</v>
      </c>
      <c r="E1160" s="1">
        <v>45886</v>
      </c>
      <c r="F1160" s="1">
        <v>45893</v>
      </c>
      <c r="G1160" t="s">
        <v>116</v>
      </c>
      <c r="H1160" t="s">
        <v>23</v>
      </c>
      <c r="I1160" t="s">
        <v>55</v>
      </c>
      <c r="J1160">
        <v>26</v>
      </c>
      <c r="K1160" t="s">
        <v>78</v>
      </c>
      <c r="L1160" t="s">
        <v>32</v>
      </c>
      <c r="M1160" t="s">
        <v>27</v>
      </c>
      <c r="N1160">
        <v>6.2</v>
      </c>
      <c r="O1160" s="3">
        <v>6763.12</v>
      </c>
      <c r="P1160">
        <v>1</v>
      </c>
      <c r="Q1160">
        <v>3.6</v>
      </c>
      <c r="R1160">
        <v>0.82</v>
      </c>
      <c r="S1160" t="str">
        <f t="shared" si="18"/>
        <v>August</v>
      </c>
    </row>
    <row r="1161" spans="1:19" x14ac:dyDescent="0.2">
      <c r="A1161" t="s">
        <v>2371</v>
      </c>
      <c r="B1161" t="s">
        <v>2372</v>
      </c>
      <c r="C1161" t="s">
        <v>30</v>
      </c>
      <c r="D1161" t="s">
        <v>35</v>
      </c>
      <c r="E1161" s="1">
        <v>45734</v>
      </c>
      <c r="F1161" s="1">
        <v>45736</v>
      </c>
      <c r="G1161" t="s">
        <v>50</v>
      </c>
      <c r="H1161" t="s">
        <v>50</v>
      </c>
      <c r="I1161" t="s">
        <v>100</v>
      </c>
      <c r="J1161">
        <v>56</v>
      </c>
      <c r="K1161" t="s">
        <v>38</v>
      </c>
      <c r="L1161" t="s">
        <v>26</v>
      </c>
      <c r="M1161" t="s">
        <v>52</v>
      </c>
      <c r="N1161">
        <v>1.4</v>
      </c>
      <c r="O1161" s="3">
        <v>6763.12</v>
      </c>
      <c r="P1161">
        <v>0</v>
      </c>
      <c r="Q1161">
        <v>4</v>
      </c>
      <c r="R1161">
        <v>0.8</v>
      </c>
      <c r="S1161" t="str">
        <f t="shared" si="18"/>
        <v>March</v>
      </c>
    </row>
    <row r="1162" spans="1:19" x14ac:dyDescent="0.2">
      <c r="A1162" t="s">
        <v>2373</v>
      </c>
      <c r="B1162" t="s">
        <v>2374</v>
      </c>
      <c r="C1162" t="s">
        <v>20</v>
      </c>
      <c r="D1162" t="s">
        <v>35</v>
      </c>
      <c r="E1162" s="1">
        <v>45894</v>
      </c>
      <c r="F1162" s="1">
        <v>45895</v>
      </c>
      <c r="G1162" t="s">
        <v>36</v>
      </c>
      <c r="H1162" t="s">
        <v>23</v>
      </c>
      <c r="I1162" t="s">
        <v>37</v>
      </c>
      <c r="J1162">
        <v>70</v>
      </c>
      <c r="K1162" t="s">
        <v>169</v>
      </c>
      <c r="L1162" t="s">
        <v>32</v>
      </c>
      <c r="M1162" t="s">
        <v>39</v>
      </c>
      <c r="N1162">
        <v>0.2</v>
      </c>
      <c r="O1162" s="3">
        <v>6763.12</v>
      </c>
      <c r="P1162">
        <v>0</v>
      </c>
      <c r="Q1162">
        <v>4.7</v>
      </c>
      <c r="R1162">
        <v>0.85</v>
      </c>
      <c r="S1162" t="str">
        <f t="shared" si="18"/>
        <v>August</v>
      </c>
    </row>
    <row r="1163" spans="1:19" x14ac:dyDescent="0.2">
      <c r="A1163" t="s">
        <v>2375</v>
      </c>
      <c r="B1163" t="s">
        <v>2376</v>
      </c>
      <c r="C1163" t="s">
        <v>20</v>
      </c>
      <c r="D1163" t="s">
        <v>42</v>
      </c>
      <c r="E1163" s="1">
        <v>45932</v>
      </c>
      <c r="F1163" s="1">
        <v>45936</v>
      </c>
      <c r="G1163" t="s">
        <v>50</v>
      </c>
      <c r="H1163" t="s">
        <v>50</v>
      </c>
      <c r="I1163" t="s">
        <v>31</v>
      </c>
      <c r="J1163">
        <v>48</v>
      </c>
      <c r="K1163" t="s">
        <v>25</v>
      </c>
      <c r="L1163" t="s">
        <v>26</v>
      </c>
      <c r="M1163" t="s">
        <v>39</v>
      </c>
      <c r="N1163">
        <v>3.4</v>
      </c>
      <c r="O1163" s="3">
        <v>6763.12</v>
      </c>
      <c r="P1163">
        <v>0</v>
      </c>
      <c r="Q1163">
        <v>3.6</v>
      </c>
      <c r="R1163">
        <v>0.84</v>
      </c>
      <c r="S1163" t="str">
        <f t="shared" si="18"/>
        <v>October</v>
      </c>
    </row>
    <row r="1164" spans="1:19" x14ac:dyDescent="0.2">
      <c r="A1164" t="s">
        <v>2377</v>
      </c>
      <c r="B1164" t="s">
        <v>2378</v>
      </c>
      <c r="C1164" t="s">
        <v>20</v>
      </c>
      <c r="D1164" t="s">
        <v>21</v>
      </c>
      <c r="E1164" s="1">
        <v>46009</v>
      </c>
      <c r="F1164" s="1">
        <v>46016</v>
      </c>
      <c r="G1164" t="s">
        <v>63</v>
      </c>
      <c r="H1164" t="s">
        <v>44</v>
      </c>
      <c r="I1164" t="s">
        <v>45</v>
      </c>
      <c r="J1164">
        <v>77</v>
      </c>
      <c r="K1164" t="s">
        <v>65</v>
      </c>
      <c r="L1164" t="s">
        <v>32</v>
      </c>
      <c r="M1164" t="s">
        <v>52</v>
      </c>
      <c r="N1164">
        <v>6.3</v>
      </c>
      <c r="O1164" s="3">
        <v>6763.12</v>
      </c>
      <c r="P1164">
        <v>0</v>
      </c>
      <c r="Q1164">
        <v>4.8</v>
      </c>
      <c r="R1164">
        <v>0.84</v>
      </c>
      <c r="S1164" t="str">
        <f t="shared" si="18"/>
        <v>December</v>
      </c>
    </row>
    <row r="1165" spans="1:19" x14ac:dyDescent="0.2">
      <c r="A1165" t="s">
        <v>2379</v>
      </c>
      <c r="B1165" t="s">
        <v>2380</v>
      </c>
      <c r="C1165" t="s">
        <v>62</v>
      </c>
      <c r="D1165" t="s">
        <v>21</v>
      </c>
      <c r="E1165" s="1">
        <v>45701</v>
      </c>
      <c r="F1165" s="1">
        <v>45705</v>
      </c>
      <c r="G1165" t="s">
        <v>36</v>
      </c>
      <c r="H1165" t="s">
        <v>50</v>
      </c>
      <c r="I1165" t="s">
        <v>100</v>
      </c>
      <c r="J1165">
        <v>51</v>
      </c>
      <c r="K1165" t="s">
        <v>38</v>
      </c>
      <c r="L1165" t="s">
        <v>32</v>
      </c>
      <c r="M1165" t="s">
        <v>39</v>
      </c>
      <c r="N1165">
        <v>3.5</v>
      </c>
      <c r="O1165" s="3">
        <v>6763.12</v>
      </c>
      <c r="P1165">
        <v>0</v>
      </c>
      <c r="Q1165">
        <v>4.0999999999999996</v>
      </c>
      <c r="R1165">
        <v>0.85</v>
      </c>
      <c r="S1165" t="str">
        <f t="shared" si="18"/>
        <v>February</v>
      </c>
    </row>
    <row r="1166" spans="1:19" x14ac:dyDescent="0.2">
      <c r="A1166" t="s">
        <v>2381</v>
      </c>
      <c r="B1166" t="s">
        <v>2382</v>
      </c>
      <c r="C1166" t="s">
        <v>62</v>
      </c>
      <c r="D1166" t="s">
        <v>49</v>
      </c>
      <c r="E1166" s="1">
        <v>45935</v>
      </c>
      <c r="F1166" s="1">
        <v>45936</v>
      </c>
      <c r="G1166" t="s">
        <v>43</v>
      </c>
      <c r="H1166" t="s">
        <v>44</v>
      </c>
      <c r="I1166" t="s">
        <v>55</v>
      </c>
      <c r="J1166">
        <v>29</v>
      </c>
      <c r="K1166" t="s">
        <v>78</v>
      </c>
      <c r="L1166" t="s">
        <v>32</v>
      </c>
      <c r="M1166" t="s">
        <v>39</v>
      </c>
      <c r="N1166">
        <v>0.5</v>
      </c>
      <c r="O1166" s="3">
        <v>6763.12</v>
      </c>
      <c r="P1166">
        <v>0</v>
      </c>
      <c r="Q1166">
        <v>4.0999999999999996</v>
      </c>
      <c r="R1166">
        <v>0.82</v>
      </c>
      <c r="S1166" t="str">
        <f t="shared" si="18"/>
        <v>October</v>
      </c>
    </row>
    <row r="1167" spans="1:19" x14ac:dyDescent="0.2">
      <c r="A1167" t="s">
        <v>2383</v>
      </c>
      <c r="B1167" t="s">
        <v>2384</v>
      </c>
      <c r="C1167" t="s">
        <v>122</v>
      </c>
      <c r="D1167" t="s">
        <v>42</v>
      </c>
      <c r="E1167" s="1">
        <v>45689</v>
      </c>
      <c r="F1167" s="1">
        <v>45695</v>
      </c>
      <c r="G1167" t="s">
        <v>43</v>
      </c>
      <c r="H1167" t="s">
        <v>23</v>
      </c>
      <c r="I1167" t="s">
        <v>31</v>
      </c>
      <c r="J1167">
        <v>58</v>
      </c>
      <c r="K1167" t="s">
        <v>38</v>
      </c>
      <c r="L1167" t="s">
        <v>26</v>
      </c>
      <c r="M1167" t="s">
        <v>27</v>
      </c>
      <c r="N1167">
        <v>5.0999999999999996</v>
      </c>
      <c r="O1167" s="3">
        <v>6763.12</v>
      </c>
      <c r="P1167">
        <v>0</v>
      </c>
      <c r="Q1167">
        <v>5</v>
      </c>
      <c r="R1167">
        <v>0.78</v>
      </c>
      <c r="S1167" t="str">
        <f t="shared" si="18"/>
        <v>February</v>
      </c>
    </row>
    <row r="1168" spans="1:19" x14ac:dyDescent="0.2">
      <c r="A1168" t="s">
        <v>2385</v>
      </c>
      <c r="B1168" t="s">
        <v>2386</v>
      </c>
      <c r="C1168" t="s">
        <v>58</v>
      </c>
      <c r="D1168" t="s">
        <v>35</v>
      </c>
      <c r="E1168" s="1">
        <v>45781</v>
      </c>
      <c r="F1168" s="1">
        <v>45785</v>
      </c>
      <c r="G1168" t="s">
        <v>68</v>
      </c>
      <c r="H1168" t="s">
        <v>44</v>
      </c>
      <c r="I1168" t="s">
        <v>117</v>
      </c>
      <c r="J1168">
        <v>85</v>
      </c>
      <c r="K1168" t="s">
        <v>65</v>
      </c>
      <c r="L1168" t="s">
        <v>26</v>
      </c>
      <c r="M1168" t="s">
        <v>39</v>
      </c>
      <c r="N1168">
        <v>3.4</v>
      </c>
      <c r="O1168" s="3">
        <v>6763.12</v>
      </c>
      <c r="P1168">
        <v>0</v>
      </c>
      <c r="Q1168">
        <v>4.9000000000000004</v>
      </c>
      <c r="R1168">
        <v>0.73</v>
      </c>
      <c r="S1168" t="str">
        <f t="shared" si="18"/>
        <v>May</v>
      </c>
    </row>
    <row r="1169" spans="1:19" x14ac:dyDescent="0.2">
      <c r="A1169" t="s">
        <v>2387</v>
      </c>
      <c r="B1169" t="s">
        <v>2388</v>
      </c>
      <c r="C1169" t="s">
        <v>30</v>
      </c>
      <c r="D1169" t="s">
        <v>49</v>
      </c>
      <c r="E1169" s="1">
        <v>45722</v>
      </c>
      <c r="F1169" s="1">
        <v>45740</v>
      </c>
      <c r="G1169" t="s">
        <v>71</v>
      </c>
      <c r="H1169" t="s">
        <v>50</v>
      </c>
      <c r="I1169" t="s">
        <v>100</v>
      </c>
      <c r="J1169">
        <v>75</v>
      </c>
      <c r="K1169" t="s">
        <v>65</v>
      </c>
      <c r="L1169" t="s">
        <v>26</v>
      </c>
      <c r="M1169" t="s">
        <v>39</v>
      </c>
      <c r="N1169">
        <v>17.5</v>
      </c>
      <c r="O1169" s="3">
        <v>6763.12</v>
      </c>
      <c r="P1169">
        <v>0</v>
      </c>
      <c r="Q1169">
        <v>4.7</v>
      </c>
      <c r="R1169">
        <v>0.88</v>
      </c>
      <c r="S1169" t="str">
        <f t="shared" si="18"/>
        <v>March</v>
      </c>
    </row>
    <row r="1170" spans="1:19" x14ac:dyDescent="0.2">
      <c r="A1170" t="s">
        <v>2389</v>
      </c>
      <c r="B1170" t="s">
        <v>2390</v>
      </c>
      <c r="C1170" t="s">
        <v>20</v>
      </c>
      <c r="D1170" t="s">
        <v>21</v>
      </c>
      <c r="E1170" s="1">
        <v>45717</v>
      </c>
      <c r="F1170" s="1">
        <v>45729</v>
      </c>
      <c r="G1170" t="s">
        <v>71</v>
      </c>
      <c r="H1170" t="s">
        <v>23</v>
      </c>
      <c r="I1170" t="s">
        <v>64</v>
      </c>
      <c r="J1170">
        <v>45</v>
      </c>
      <c r="K1170" t="s">
        <v>25</v>
      </c>
      <c r="L1170" t="s">
        <v>26</v>
      </c>
      <c r="M1170" t="s">
        <v>27</v>
      </c>
      <c r="N1170">
        <v>11.7</v>
      </c>
      <c r="O1170" s="3">
        <v>6763.12</v>
      </c>
      <c r="P1170">
        <v>0</v>
      </c>
      <c r="Q1170">
        <v>3.2</v>
      </c>
      <c r="R1170">
        <v>0.84</v>
      </c>
      <c r="S1170" t="str">
        <f t="shared" si="18"/>
        <v>March</v>
      </c>
    </row>
    <row r="1171" spans="1:19" x14ac:dyDescent="0.2">
      <c r="A1171" t="s">
        <v>2391</v>
      </c>
      <c r="B1171" t="s">
        <v>2392</v>
      </c>
      <c r="C1171" t="s">
        <v>30</v>
      </c>
      <c r="D1171" t="s">
        <v>35</v>
      </c>
      <c r="E1171" s="1">
        <v>45722</v>
      </c>
      <c r="F1171" s="1">
        <v>45729</v>
      </c>
      <c r="G1171" t="s">
        <v>22</v>
      </c>
      <c r="H1171" t="s">
        <v>50</v>
      </c>
      <c r="I1171" t="s">
        <v>117</v>
      </c>
      <c r="J1171">
        <v>54</v>
      </c>
      <c r="K1171" t="s">
        <v>38</v>
      </c>
      <c r="L1171" t="s">
        <v>32</v>
      </c>
      <c r="M1171" t="s">
        <v>39</v>
      </c>
      <c r="N1171">
        <v>6.2</v>
      </c>
      <c r="O1171" s="3">
        <v>6763.12</v>
      </c>
      <c r="P1171">
        <v>0</v>
      </c>
      <c r="Q1171">
        <v>5</v>
      </c>
      <c r="R1171">
        <v>0.82</v>
      </c>
      <c r="S1171" t="str">
        <f t="shared" si="18"/>
        <v>March</v>
      </c>
    </row>
    <row r="1172" spans="1:19" x14ac:dyDescent="0.2">
      <c r="A1172" t="s">
        <v>2393</v>
      </c>
      <c r="B1172" t="s">
        <v>2394</v>
      </c>
      <c r="C1172" t="s">
        <v>20</v>
      </c>
      <c r="D1172" t="s">
        <v>21</v>
      </c>
      <c r="E1172" s="1">
        <v>45674</v>
      </c>
      <c r="F1172" s="1">
        <v>45678</v>
      </c>
      <c r="G1172" t="s">
        <v>63</v>
      </c>
      <c r="H1172" t="s">
        <v>23</v>
      </c>
      <c r="I1172" t="s">
        <v>24</v>
      </c>
      <c r="J1172">
        <v>88</v>
      </c>
      <c r="K1172" t="s">
        <v>65</v>
      </c>
      <c r="L1172" t="s">
        <v>32</v>
      </c>
      <c r="M1172" t="s">
        <v>39</v>
      </c>
      <c r="N1172">
        <v>3.9</v>
      </c>
      <c r="O1172" s="3">
        <v>6763.12</v>
      </c>
      <c r="P1172">
        <v>0</v>
      </c>
      <c r="Q1172">
        <v>3.9</v>
      </c>
      <c r="R1172">
        <v>0.76</v>
      </c>
      <c r="S1172" t="str">
        <f t="shared" si="18"/>
        <v>January</v>
      </c>
    </row>
    <row r="1173" spans="1:19" x14ac:dyDescent="0.2">
      <c r="A1173" t="s">
        <v>2395</v>
      </c>
      <c r="B1173" t="s">
        <v>2396</v>
      </c>
      <c r="C1173" t="s">
        <v>20</v>
      </c>
      <c r="D1173" t="s">
        <v>49</v>
      </c>
      <c r="E1173" s="1">
        <v>45958</v>
      </c>
      <c r="F1173" s="1">
        <v>45961</v>
      </c>
      <c r="G1173" t="s">
        <v>68</v>
      </c>
      <c r="H1173" t="s">
        <v>50</v>
      </c>
      <c r="I1173" t="s">
        <v>37</v>
      </c>
      <c r="J1173">
        <v>68</v>
      </c>
      <c r="K1173" t="s">
        <v>169</v>
      </c>
      <c r="L1173" t="s">
        <v>32</v>
      </c>
      <c r="M1173" t="s">
        <v>27</v>
      </c>
      <c r="N1173">
        <v>3</v>
      </c>
      <c r="O1173" s="3">
        <v>6763.12</v>
      </c>
      <c r="P1173">
        <v>0</v>
      </c>
      <c r="Q1173">
        <v>3.8</v>
      </c>
      <c r="R1173">
        <v>0.86</v>
      </c>
      <c r="S1173" t="str">
        <f t="shared" si="18"/>
        <v>October</v>
      </c>
    </row>
    <row r="1174" spans="1:19" x14ac:dyDescent="0.2">
      <c r="A1174" t="s">
        <v>2397</v>
      </c>
      <c r="B1174" t="s">
        <v>2398</v>
      </c>
      <c r="C1174" t="s">
        <v>58</v>
      </c>
      <c r="D1174" t="s">
        <v>35</v>
      </c>
      <c r="E1174" s="1">
        <v>45680</v>
      </c>
      <c r="F1174" s="1">
        <v>45684</v>
      </c>
      <c r="G1174" t="s">
        <v>68</v>
      </c>
      <c r="H1174" t="s">
        <v>50</v>
      </c>
      <c r="I1174" t="s">
        <v>64</v>
      </c>
      <c r="J1174">
        <v>45</v>
      </c>
      <c r="K1174" t="s">
        <v>25</v>
      </c>
      <c r="L1174" t="s">
        <v>26</v>
      </c>
      <c r="M1174" t="s">
        <v>27</v>
      </c>
      <c r="N1174">
        <v>3.6</v>
      </c>
      <c r="O1174" s="3">
        <v>6763.12</v>
      </c>
      <c r="P1174">
        <v>0</v>
      </c>
      <c r="Q1174">
        <v>2.6</v>
      </c>
      <c r="R1174">
        <v>0.76</v>
      </c>
      <c r="S1174" t="str">
        <f t="shared" si="18"/>
        <v>January</v>
      </c>
    </row>
    <row r="1175" spans="1:19" x14ac:dyDescent="0.2">
      <c r="A1175" t="s">
        <v>2399</v>
      </c>
      <c r="B1175" t="s">
        <v>2400</v>
      </c>
      <c r="C1175" t="s">
        <v>58</v>
      </c>
      <c r="D1175" t="s">
        <v>21</v>
      </c>
      <c r="E1175" s="1">
        <v>45803</v>
      </c>
      <c r="F1175" s="1">
        <v>45805</v>
      </c>
      <c r="G1175" t="s">
        <v>99</v>
      </c>
      <c r="H1175" t="s">
        <v>50</v>
      </c>
      <c r="I1175" t="s">
        <v>81</v>
      </c>
      <c r="J1175">
        <v>25</v>
      </c>
      <c r="K1175" t="s">
        <v>78</v>
      </c>
      <c r="L1175" t="s">
        <v>32</v>
      </c>
      <c r="M1175" t="s">
        <v>39</v>
      </c>
      <c r="N1175">
        <v>1.9</v>
      </c>
      <c r="O1175" s="3">
        <v>6763.12</v>
      </c>
      <c r="P1175">
        <v>0</v>
      </c>
      <c r="Q1175">
        <v>4.0999999999999996</v>
      </c>
      <c r="R1175">
        <v>0.74</v>
      </c>
      <c r="S1175" t="str">
        <f t="shared" si="18"/>
        <v>May</v>
      </c>
    </row>
    <row r="1176" spans="1:19" x14ac:dyDescent="0.2">
      <c r="A1176" t="s">
        <v>2401</v>
      </c>
      <c r="B1176" t="s">
        <v>2402</v>
      </c>
      <c r="C1176" t="s">
        <v>122</v>
      </c>
      <c r="D1176" t="s">
        <v>49</v>
      </c>
      <c r="E1176" s="1">
        <v>45913</v>
      </c>
      <c r="F1176" s="1">
        <v>45918</v>
      </c>
      <c r="G1176" t="s">
        <v>71</v>
      </c>
      <c r="H1176" t="s">
        <v>50</v>
      </c>
      <c r="I1176" t="s">
        <v>81</v>
      </c>
      <c r="J1176">
        <v>82</v>
      </c>
      <c r="K1176" t="s">
        <v>65</v>
      </c>
      <c r="L1176" t="s">
        <v>32</v>
      </c>
      <c r="M1176" t="s">
        <v>27</v>
      </c>
      <c r="N1176">
        <v>4.5999999999999996</v>
      </c>
      <c r="O1176" s="3">
        <v>6763.12</v>
      </c>
      <c r="P1176">
        <v>0</v>
      </c>
      <c r="Q1176">
        <v>3.2</v>
      </c>
      <c r="R1176">
        <v>0.84</v>
      </c>
      <c r="S1176" t="str">
        <f t="shared" si="18"/>
        <v>September</v>
      </c>
    </row>
    <row r="1177" spans="1:19" x14ac:dyDescent="0.2">
      <c r="A1177" t="s">
        <v>2403</v>
      </c>
      <c r="B1177" t="s">
        <v>2404</v>
      </c>
      <c r="C1177" t="s">
        <v>30</v>
      </c>
      <c r="D1177" t="s">
        <v>49</v>
      </c>
      <c r="E1177" s="1">
        <v>46019</v>
      </c>
      <c r="F1177" s="1">
        <v>46020</v>
      </c>
      <c r="G1177" t="s">
        <v>50</v>
      </c>
      <c r="H1177" t="s">
        <v>50</v>
      </c>
      <c r="I1177" t="s">
        <v>31</v>
      </c>
      <c r="J1177">
        <v>88</v>
      </c>
      <c r="K1177" t="s">
        <v>65</v>
      </c>
      <c r="L1177" t="s">
        <v>26</v>
      </c>
      <c r="M1177" t="s">
        <v>27</v>
      </c>
      <c r="N1177">
        <v>0.9</v>
      </c>
      <c r="O1177" s="3">
        <v>6763.12</v>
      </c>
      <c r="P1177">
        <v>0</v>
      </c>
      <c r="Q1177">
        <v>3.9</v>
      </c>
      <c r="R1177">
        <v>0.8</v>
      </c>
      <c r="S1177" t="str">
        <f t="shared" si="18"/>
        <v>December</v>
      </c>
    </row>
    <row r="1178" spans="1:19" x14ac:dyDescent="0.2">
      <c r="A1178" t="s">
        <v>2405</v>
      </c>
      <c r="B1178" t="s">
        <v>2406</v>
      </c>
      <c r="C1178" t="s">
        <v>30</v>
      </c>
      <c r="D1178" t="s">
        <v>49</v>
      </c>
      <c r="E1178" s="1">
        <v>45969</v>
      </c>
      <c r="F1178" s="1">
        <v>45977</v>
      </c>
      <c r="G1178" t="s">
        <v>36</v>
      </c>
      <c r="H1178" t="s">
        <v>23</v>
      </c>
      <c r="I1178" t="s">
        <v>117</v>
      </c>
      <c r="J1178">
        <v>6</v>
      </c>
      <c r="K1178" t="s">
        <v>103</v>
      </c>
      <c r="L1178" t="s">
        <v>32</v>
      </c>
      <c r="M1178" t="s">
        <v>39</v>
      </c>
      <c r="N1178">
        <v>7.1</v>
      </c>
      <c r="O1178" s="3">
        <v>6763.12</v>
      </c>
      <c r="P1178">
        <v>0</v>
      </c>
      <c r="Q1178">
        <v>3</v>
      </c>
      <c r="R1178">
        <v>0.81</v>
      </c>
      <c r="S1178" t="str">
        <f t="shared" si="18"/>
        <v>November</v>
      </c>
    </row>
    <row r="1179" spans="1:19" x14ac:dyDescent="0.2">
      <c r="A1179" t="s">
        <v>2407</v>
      </c>
      <c r="B1179" t="s">
        <v>2408</v>
      </c>
      <c r="C1179" t="s">
        <v>62</v>
      </c>
      <c r="D1179" t="s">
        <v>42</v>
      </c>
      <c r="E1179" s="1">
        <v>45708</v>
      </c>
      <c r="F1179" s="1">
        <v>45724</v>
      </c>
      <c r="G1179" t="s">
        <v>59</v>
      </c>
      <c r="H1179" t="s">
        <v>50</v>
      </c>
      <c r="I1179" t="s">
        <v>100</v>
      </c>
      <c r="J1179">
        <v>2</v>
      </c>
      <c r="K1179" t="s">
        <v>103</v>
      </c>
      <c r="L1179" t="s">
        <v>26</v>
      </c>
      <c r="M1179" t="s">
        <v>27</v>
      </c>
      <c r="N1179">
        <v>15.2</v>
      </c>
      <c r="O1179" s="3">
        <v>6763.12</v>
      </c>
      <c r="P1179">
        <v>0</v>
      </c>
      <c r="Q1179">
        <v>4.7</v>
      </c>
      <c r="R1179">
        <v>0.83</v>
      </c>
      <c r="S1179" t="str">
        <f t="shared" si="18"/>
        <v>February</v>
      </c>
    </row>
    <row r="1180" spans="1:19" x14ac:dyDescent="0.2">
      <c r="A1180" t="s">
        <v>2409</v>
      </c>
      <c r="B1180" t="s">
        <v>2410</v>
      </c>
      <c r="C1180" t="s">
        <v>62</v>
      </c>
      <c r="D1180" t="s">
        <v>21</v>
      </c>
      <c r="E1180" s="1">
        <v>46018</v>
      </c>
      <c r="F1180" s="1">
        <v>46020</v>
      </c>
      <c r="G1180" t="s">
        <v>50</v>
      </c>
      <c r="H1180" t="s">
        <v>23</v>
      </c>
      <c r="I1180" t="s">
        <v>31</v>
      </c>
      <c r="J1180">
        <v>10</v>
      </c>
      <c r="K1180" t="s">
        <v>103</v>
      </c>
      <c r="L1180" t="s">
        <v>32</v>
      </c>
      <c r="M1180" t="s">
        <v>27</v>
      </c>
      <c r="N1180">
        <v>1.5</v>
      </c>
      <c r="O1180" s="3">
        <v>6763.12</v>
      </c>
      <c r="P1180">
        <v>0</v>
      </c>
      <c r="Q1180">
        <v>4</v>
      </c>
      <c r="R1180">
        <v>0.79</v>
      </c>
      <c r="S1180" t="str">
        <f t="shared" si="18"/>
        <v>December</v>
      </c>
    </row>
    <row r="1181" spans="1:19" x14ac:dyDescent="0.2">
      <c r="A1181" t="s">
        <v>2411</v>
      </c>
      <c r="B1181" t="s">
        <v>2412</v>
      </c>
      <c r="C1181" t="s">
        <v>122</v>
      </c>
      <c r="D1181" t="s">
        <v>21</v>
      </c>
      <c r="E1181" s="1">
        <v>45896</v>
      </c>
      <c r="F1181" s="1">
        <v>45898</v>
      </c>
      <c r="G1181" t="s">
        <v>43</v>
      </c>
      <c r="H1181" t="s">
        <v>50</v>
      </c>
      <c r="I1181" t="s">
        <v>55</v>
      </c>
      <c r="J1181">
        <v>35</v>
      </c>
      <c r="K1181" t="s">
        <v>25</v>
      </c>
      <c r="L1181" t="s">
        <v>26</v>
      </c>
      <c r="M1181" t="s">
        <v>39</v>
      </c>
      <c r="N1181">
        <v>1.5</v>
      </c>
      <c r="O1181" s="3">
        <v>6763.12</v>
      </c>
      <c r="P1181">
        <v>0</v>
      </c>
      <c r="Q1181">
        <v>5</v>
      </c>
      <c r="R1181">
        <v>0.79</v>
      </c>
      <c r="S1181" t="str">
        <f t="shared" si="18"/>
        <v>August</v>
      </c>
    </row>
    <row r="1182" spans="1:19" x14ac:dyDescent="0.2">
      <c r="A1182" t="s">
        <v>2413</v>
      </c>
      <c r="B1182" t="s">
        <v>2414</v>
      </c>
      <c r="C1182" t="s">
        <v>122</v>
      </c>
      <c r="D1182" t="s">
        <v>21</v>
      </c>
      <c r="E1182" s="1">
        <v>45723</v>
      </c>
      <c r="F1182" s="1">
        <v>45734</v>
      </c>
      <c r="G1182" t="s">
        <v>36</v>
      </c>
      <c r="H1182" t="s">
        <v>23</v>
      </c>
      <c r="I1182" t="s">
        <v>45</v>
      </c>
      <c r="J1182">
        <v>14</v>
      </c>
      <c r="K1182" t="s">
        <v>46</v>
      </c>
      <c r="L1182" t="s">
        <v>26</v>
      </c>
      <c r="M1182" t="s">
        <v>27</v>
      </c>
      <c r="N1182">
        <v>10.6</v>
      </c>
      <c r="O1182" s="3">
        <v>6763.12</v>
      </c>
      <c r="P1182">
        <v>0</v>
      </c>
      <c r="Q1182">
        <v>3.1</v>
      </c>
      <c r="R1182">
        <v>0.75</v>
      </c>
      <c r="S1182" t="str">
        <f t="shared" si="18"/>
        <v>March</v>
      </c>
    </row>
    <row r="1183" spans="1:19" x14ac:dyDescent="0.2">
      <c r="A1183" t="s">
        <v>2415</v>
      </c>
      <c r="B1183" t="s">
        <v>2416</v>
      </c>
      <c r="C1183" t="s">
        <v>20</v>
      </c>
      <c r="D1183" t="s">
        <v>49</v>
      </c>
      <c r="E1183" s="1">
        <v>45821</v>
      </c>
      <c r="F1183" s="1">
        <v>45827</v>
      </c>
      <c r="G1183" t="s">
        <v>99</v>
      </c>
      <c r="H1183" t="s">
        <v>23</v>
      </c>
      <c r="I1183" t="s">
        <v>64</v>
      </c>
      <c r="J1183">
        <v>80</v>
      </c>
      <c r="K1183" t="s">
        <v>65</v>
      </c>
      <c r="L1183" t="s">
        <v>26</v>
      </c>
      <c r="M1183" t="s">
        <v>52</v>
      </c>
      <c r="N1183">
        <v>5.6</v>
      </c>
      <c r="O1183" s="3">
        <v>6763.12</v>
      </c>
      <c r="P1183">
        <v>0</v>
      </c>
      <c r="Q1183">
        <v>4.8</v>
      </c>
      <c r="R1183">
        <v>0.78</v>
      </c>
      <c r="S1183" t="str">
        <f t="shared" si="18"/>
        <v>June</v>
      </c>
    </row>
    <row r="1184" spans="1:19" x14ac:dyDescent="0.2">
      <c r="A1184" t="s">
        <v>2417</v>
      </c>
      <c r="B1184" t="s">
        <v>2418</v>
      </c>
      <c r="C1184" t="s">
        <v>58</v>
      </c>
      <c r="D1184" t="s">
        <v>35</v>
      </c>
      <c r="E1184" s="1">
        <v>45993</v>
      </c>
      <c r="F1184" s="1">
        <v>45995</v>
      </c>
      <c r="G1184" t="s">
        <v>50</v>
      </c>
      <c r="H1184" t="s">
        <v>50</v>
      </c>
      <c r="I1184" t="s">
        <v>51</v>
      </c>
      <c r="J1184">
        <v>83</v>
      </c>
      <c r="K1184" t="s">
        <v>65</v>
      </c>
      <c r="L1184" t="s">
        <v>32</v>
      </c>
      <c r="M1184" t="s">
        <v>82</v>
      </c>
      <c r="N1184">
        <v>1.3</v>
      </c>
      <c r="O1184" s="3">
        <v>6763.12</v>
      </c>
      <c r="P1184">
        <v>0</v>
      </c>
      <c r="Q1184">
        <v>2.6</v>
      </c>
      <c r="R1184">
        <v>0.72</v>
      </c>
      <c r="S1184" t="str">
        <f t="shared" si="18"/>
        <v>December</v>
      </c>
    </row>
    <row r="1185" spans="1:19" x14ac:dyDescent="0.2">
      <c r="A1185" t="s">
        <v>2419</v>
      </c>
      <c r="B1185" t="s">
        <v>2420</v>
      </c>
      <c r="C1185" t="s">
        <v>122</v>
      </c>
      <c r="D1185" t="s">
        <v>21</v>
      </c>
      <c r="E1185" s="1">
        <v>45801</v>
      </c>
      <c r="F1185" s="1">
        <v>45803</v>
      </c>
      <c r="G1185" t="s">
        <v>50</v>
      </c>
      <c r="H1185" t="s">
        <v>23</v>
      </c>
      <c r="I1185" t="s">
        <v>100</v>
      </c>
      <c r="J1185">
        <v>16</v>
      </c>
      <c r="K1185" t="s">
        <v>46</v>
      </c>
      <c r="L1185" t="s">
        <v>32</v>
      </c>
      <c r="M1185" t="s">
        <v>39</v>
      </c>
      <c r="N1185">
        <v>1.4</v>
      </c>
      <c r="O1185" s="3">
        <v>6763.12</v>
      </c>
      <c r="P1185">
        <v>0</v>
      </c>
      <c r="Q1185">
        <v>3.8</v>
      </c>
      <c r="R1185">
        <v>0.76</v>
      </c>
      <c r="S1185" t="str">
        <f t="shared" si="18"/>
        <v>May</v>
      </c>
    </row>
    <row r="1186" spans="1:19" x14ac:dyDescent="0.2">
      <c r="A1186" t="s">
        <v>2421</v>
      </c>
      <c r="B1186" t="s">
        <v>2422</v>
      </c>
      <c r="C1186" t="s">
        <v>30</v>
      </c>
      <c r="D1186" t="s">
        <v>35</v>
      </c>
      <c r="E1186" s="1">
        <v>45725</v>
      </c>
      <c r="F1186" s="1">
        <v>45726</v>
      </c>
      <c r="G1186" t="s">
        <v>50</v>
      </c>
      <c r="H1186" t="s">
        <v>44</v>
      </c>
      <c r="I1186" t="s">
        <v>55</v>
      </c>
      <c r="J1186">
        <v>75</v>
      </c>
      <c r="K1186" t="s">
        <v>65</v>
      </c>
      <c r="L1186" t="s">
        <v>32</v>
      </c>
      <c r="M1186" t="s">
        <v>52</v>
      </c>
      <c r="N1186">
        <v>0.3</v>
      </c>
      <c r="O1186" s="3">
        <v>6763.12</v>
      </c>
      <c r="P1186">
        <v>1</v>
      </c>
      <c r="Q1186">
        <v>3.3</v>
      </c>
      <c r="R1186">
        <v>0.79</v>
      </c>
      <c r="S1186" t="str">
        <f t="shared" si="18"/>
        <v>March</v>
      </c>
    </row>
    <row r="1187" spans="1:19" x14ac:dyDescent="0.2">
      <c r="A1187" t="s">
        <v>2423</v>
      </c>
      <c r="B1187" t="s">
        <v>2424</v>
      </c>
      <c r="C1187" t="s">
        <v>122</v>
      </c>
      <c r="D1187" t="s">
        <v>21</v>
      </c>
      <c r="E1187" s="1">
        <v>45977</v>
      </c>
      <c r="F1187" s="1">
        <v>45980</v>
      </c>
      <c r="G1187" t="s">
        <v>43</v>
      </c>
      <c r="H1187" t="s">
        <v>23</v>
      </c>
      <c r="I1187" t="s">
        <v>100</v>
      </c>
      <c r="J1187">
        <v>12</v>
      </c>
      <c r="K1187" t="s">
        <v>103</v>
      </c>
      <c r="L1187" t="s">
        <v>32</v>
      </c>
      <c r="M1187" t="s">
        <v>82</v>
      </c>
      <c r="N1187">
        <v>2.2999999999999998</v>
      </c>
      <c r="O1187" s="3">
        <v>6763.12</v>
      </c>
      <c r="P1187">
        <v>0</v>
      </c>
      <c r="Q1187">
        <v>3.6</v>
      </c>
      <c r="R1187">
        <v>0.79</v>
      </c>
      <c r="S1187" t="str">
        <f t="shared" si="18"/>
        <v>November</v>
      </c>
    </row>
    <row r="1188" spans="1:19" x14ac:dyDescent="0.2">
      <c r="A1188" t="s">
        <v>2425</v>
      </c>
      <c r="B1188" t="s">
        <v>2426</v>
      </c>
      <c r="C1188" t="s">
        <v>122</v>
      </c>
      <c r="D1188" t="s">
        <v>42</v>
      </c>
      <c r="E1188" s="1">
        <v>46005</v>
      </c>
      <c r="F1188" s="1">
        <v>46011</v>
      </c>
      <c r="G1188" t="s">
        <v>116</v>
      </c>
      <c r="H1188" t="s">
        <v>50</v>
      </c>
      <c r="I1188" t="s">
        <v>37</v>
      </c>
      <c r="J1188">
        <v>71</v>
      </c>
      <c r="K1188" t="s">
        <v>169</v>
      </c>
      <c r="L1188" t="s">
        <v>26</v>
      </c>
      <c r="M1188" t="s">
        <v>27</v>
      </c>
      <c r="N1188">
        <v>5.4</v>
      </c>
      <c r="O1188" s="3">
        <v>6763.12</v>
      </c>
      <c r="P1188">
        <v>0</v>
      </c>
      <c r="Q1188">
        <v>3.6</v>
      </c>
      <c r="R1188">
        <v>0.77</v>
      </c>
      <c r="S1188" t="str">
        <f t="shared" si="18"/>
        <v>December</v>
      </c>
    </row>
    <row r="1189" spans="1:19" x14ac:dyDescent="0.2">
      <c r="A1189" t="s">
        <v>2427</v>
      </c>
      <c r="B1189" t="s">
        <v>2428</v>
      </c>
      <c r="C1189" t="s">
        <v>122</v>
      </c>
      <c r="D1189" t="s">
        <v>49</v>
      </c>
      <c r="E1189" s="1">
        <v>46014</v>
      </c>
      <c r="F1189" s="1">
        <v>46015</v>
      </c>
      <c r="G1189" t="s">
        <v>50</v>
      </c>
      <c r="H1189" t="s">
        <v>50</v>
      </c>
      <c r="I1189" t="s">
        <v>24</v>
      </c>
      <c r="J1189">
        <v>33</v>
      </c>
      <c r="K1189" t="s">
        <v>78</v>
      </c>
      <c r="L1189" t="s">
        <v>32</v>
      </c>
      <c r="M1189" t="s">
        <v>82</v>
      </c>
      <c r="N1189">
        <v>0.3</v>
      </c>
      <c r="O1189" s="3">
        <v>6763.12</v>
      </c>
      <c r="P1189">
        <v>0</v>
      </c>
      <c r="Q1189">
        <v>3.2</v>
      </c>
      <c r="R1189">
        <v>0.78</v>
      </c>
      <c r="S1189" t="str">
        <f t="shared" si="18"/>
        <v>December</v>
      </c>
    </row>
    <row r="1190" spans="1:19" x14ac:dyDescent="0.2">
      <c r="A1190" t="s">
        <v>2429</v>
      </c>
      <c r="B1190" t="s">
        <v>2430</v>
      </c>
      <c r="C1190" t="s">
        <v>30</v>
      </c>
      <c r="D1190" t="s">
        <v>21</v>
      </c>
      <c r="E1190" s="1">
        <v>46006</v>
      </c>
      <c r="F1190" s="1">
        <v>46007</v>
      </c>
      <c r="G1190" t="s">
        <v>43</v>
      </c>
      <c r="H1190" t="s">
        <v>23</v>
      </c>
      <c r="I1190" t="s">
        <v>81</v>
      </c>
      <c r="J1190">
        <v>3</v>
      </c>
      <c r="K1190" t="s">
        <v>103</v>
      </c>
      <c r="L1190" t="s">
        <v>32</v>
      </c>
      <c r="M1190" t="s">
        <v>27</v>
      </c>
      <c r="N1190">
        <v>0.7</v>
      </c>
      <c r="O1190" s="3">
        <v>6763.12</v>
      </c>
      <c r="P1190">
        <v>0</v>
      </c>
      <c r="Q1190">
        <v>3.1</v>
      </c>
      <c r="R1190">
        <v>0.91</v>
      </c>
      <c r="S1190" t="str">
        <f t="shared" si="18"/>
        <v>December</v>
      </c>
    </row>
    <row r="1191" spans="1:19" x14ac:dyDescent="0.2">
      <c r="A1191" t="s">
        <v>2431</v>
      </c>
      <c r="B1191" t="s">
        <v>2432</v>
      </c>
      <c r="C1191" t="s">
        <v>58</v>
      </c>
      <c r="D1191" t="s">
        <v>49</v>
      </c>
      <c r="E1191" s="1">
        <v>45976</v>
      </c>
      <c r="F1191" s="1">
        <v>45978</v>
      </c>
      <c r="G1191" t="s">
        <v>50</v>
      </c>
      <c r="H1191" t="s">
        <v>50</v>
      </c>
      <c r="I1191" t="s">
        <v>45</v>
      </c>
      <c r="J1191">
        <v>38</v>
      </c>
      <c r="K1191" t="s">
        <v>25</v>
      </c>
      <c r="L1191" t="s">
        <v>32</v>
      </c>
      <c r="M1191" t="s">
        <v>39</v>
      </c>
      <c r="N1191">
        <v>2</v>
      </c>
      <c r="O1191" s="3">
        <v>6763.12</v>
      </c>
      <c r="P1191">
        <v>0</v>
      </c>
      <c r="Q1191">
        <v>3.4</v>
      </c>
      <c r="R1191">
        <v>0.74</v>
      </c>
      <c r="S1191" t="str">
        <f t="shared" si="18"/>
        <v>November</v>
      </c>
    </row>
    <row r="1192" spans="1:19" x14ac:dyDescent="0.2">
      <c r="A1192" t="s">
        <v>2433</v>
      </c>
      <c r="B1192" t="s">
        <v>2434</v>
      </c>
      <c r="C1192" t="s">
        <v>20</v>
      </c>
      <c r="D1192" t="s">
        <v>49</v>
      </c>
      <c r="E1192" s="1">
        <v>45823</v>
      </c>
      <c r="F1192" s="1">
        <v>45831</v>
      </c>
      <c r="G1192" t="s">
        <v>59</v>
      </c>
      <c r="H1192" t="s">
        <v>23</v>
      </c>
      <c r="I1192" t="s">
        <v>37</v>
      </c>
      <c r="J1192">
        <v>74</v>
      </c>
      <c r="K1192" t="s">
        <v>169</v>
      </c>
      <c r="L1192" t="s">
        <v>26</v>
      </c>
      <c r="M1192" t="s">
        <v>39</v>
      </c>
      <c r="N1192">
        <v>7.6</v>
      </c>
      <c r="O1192" s="3">
        <v>6763.12</v>
      </c>
      <c r="P1192">
        <v>0</v>
      </c>
      <c r="Q1192">
        <v>3.7</v>
      </c>
      <c r="R1192">
        <v>0.82</v>
      </c>
      <c r="S1192" t="str">
        <f t="shared" si="18"/>
        <v>June</v>
      </c>
    </row>
    <row r="1193" spans="1:19" x14ac:dyDescent="0.2">
      <c r="A1193" t="s">
        <v>2435</v>
      </c>
      <c r="B1193" t="s">
        <v>2436</v>
      </c>
      <c r="C1193" t="s">
        <v>122</v>
      </c>
      <c r="D1193" t="s">
        <v>21</v>
      </c>
      <c r="E1193" s="1">
        <v>45728</v>
      </c>
      <c r="F1193" s="1">
        <v>45729</v>
      </c>
      <c r="G1193" t="s">
        <v>43</v>
      </c>
      <c r="H1193" t="s">
        <v>50</v>
      </c>
      <c r="I1193" t="s">
        <v>55</v>
      </c>
      <c r="J1193">
        <v>84</v>
      </c>
      <c r="K1193" t="s">
        <v>65</v>
      </c>
      <c r="L1193" t="s">
        <v>32</v>
      </c>
      <c r="M1193" t="s">
        <v>27</v>
      </c>
      <c r="N1193">
        <v>0.8</v>
      </c>
      <c r="O1193" s="3">
        <v>6763.12</v>
      </c>
      <c r="P1193">
        <v>0</v>
      </c>
      <c r="Q1193">
        <v>4.5999999999999996</v>
      </c>
      <c r="R1193">
        <v>0.81</v>
      </c>
      <c r="S1193" t="str">
        <f t="shared" si="18"/>
        <v>March</v>
      </c>
    </row>
    <row r="1194" spans="1:19" x14ac:dyDescent="0.2">
      <c r="A1194" t="s">
        <v>2437</v>
      </c>
      <c r="B1194" t="s">
        <v>2438</v>
      </c>
      <c r="C1194" t="s">
        <v>20</v>
      </c>
      <c r="D1194" t="s">
        <v>21</v>
      </c>
      <c r="E1194" s="1">
        <v>45883</v>
      </c>
      <c r="F1194" s="1">
        <v>45885</v>
      </c>
      <c r="G1194" t="s">
        <v>68</v>
      </c>
      <c r="H1194" t="s">
        <v>23</v>
      </c>
      <c r="I1194" t="s">
        <v>81</v>
      </c>
      <c r="J1194">
        <v>11</v>
      </c>
      <c r="K1194" t="s">
        <v>103</v>
      </c>
      <c r="L1194" t="s">
        <v>32</v>
      </c>
      <c r="M1194" t="s">
        <v>27</v>
      </c>
      <c r="N1194">
        <v>2</v>
      </c>
      <c r="O1194" s="3">
        <v>6763.12</v>
      </c>
      <c r="P1194">
        <v>0</v>
      </c>
      <c r="Q1194">
        <v>4.0999999999999996</v>
      </c>
      <c r="R1194">
        <v>0.8</v>
      </c>
      <c r="S1194" t="str">
        <f t="shared" si="18"/>
        <v>August</v>
      </c>
    </row>
    <row r="1195" spans="1:19" x14ac:dyDescent="0.2">
      <c r="A1195" t="s">
        <v>2439</v>
      </c>
      <c r="B1195" t="s">
        <v>2440</v>
      </c>
      <c r="C1195" t="s">
        <v>20</v>
      </c>
      <c r="D1195" t="s">
        <v>49</v>
      </c>
      <c r="E1195" s="1">
        <v>45738</v>
      </c>
      <c r="F1195" s="1">
        <v>45740</v>
      </c>
      <c r="G1195" t="s">
        <v>50</v>
      </c>
      <c r="H1195" t="s">
        <v>50</v>
      </c>
      <c r="I1195" t="s">
        <v>81</v>
      </c>
      <c r="J1195">
        <v>76</v>
      </c>
      <c r="K1195" t="s">
        <v>65</v>
      </c>
      <c r="L1195" t="s">
        <v>32</v>
      </c>
      <c r="M1195" t="s">
        <v>52</v>
      </c>
      <c r="N1195">
        <v>1.3</v>
      </c>
      <c r="O1195" s="3">
        <v>6763.12</v>
      </c>
      <c r="P1195">
        <v>0</v>
      </c>
      <c r="Q1195">
        <v>4.4000000000000004</v>
      </c>
      <c r="R1195">
        <v>0.81</v>
      </c>
      <c r="S1195" t="str">
        <f t="shared" si="18"/>
        <v>March</v>
      </c>
    </row>
    <row r="1196" spans="1:19" x14ac:dyDescent="0.2">
      <c r="A1196" t="s">
        <v>2441</v>
      </c>
      <c r="B1196" t="s">
        <v>2442</v>
      </c>
      <c r="C1196" t="s">
        <v>62</v>
      </c>
      <c r="D1196" t="s">
        <v>35</v>
      </c>
      <c r="E1196" s="1">
        <v>45830</v>
      </c>
      <c r="F1196" s="1">
        <v>45837</v>
      </c>
      <c r="G1196" t="s">
        <v>59</v>
      </c>
      <c r="H1196" t="s">
        <v>50</v>
      </c>
      <c r="I1196" t="s">
        <v>64</v>
      </c>
      <c r="J1196">
        <v>26</v>
      </c>
      <c r="K1196" t="s">
        <v>78</v>
      </c>
      <c r="L1196" t="s">
        <v>32</v>
      </c>
      <c r="M1196" t="s">
        <v>27</v>
      </c>
      <c r="N1196">
        <v>6.8</v>
      </c>
      <c r="O1196" s="3">
        <v>6763.12</v>
      </c>
      <c r="P1196">
        <v>0</v>
      </c>
      <c r="Q1196">
        <v>2.9</v>
      </c>
      <c r="R1196">
        <v>0.84</v>
      </c>
      <c r="S1196" t="str">
        <f t="shared" si="18"/>
        <v>June</v>
      </c>
    </row>
    <row r="1197" spans="1:19" x14ac:dyDescent="0.2">
      <c r="A1197" t="s">
        <v>2443</v>
      </c>
      <c r="B1197" t="s">
        <v>2444</v>
      </c>
      <c r="C1197" t="s">
        <v>62</v>
      </c>
      <c r="D1197" t="s">
        <v>49</v>
      </c>
      <c r="E1197" s="1">
        <v>45897</v>
      </c>
      <c r="F1197" s="1">
        <v>45900</v>
      </c>
      <c r="G1197" t="s">
        <v>116</v>
      </c>
      <c r="H1197" t="s">
        <v>44</v>
      </c>
      <c r="I1197" t="s">
        <v>24</v>
      </c>
      <c r="J1197">
        <v>42</v>
      </c>
      <c r="K1197" t="s">
        <v>25</v>
      </c>
      <c r="L1197" t="s">
        <v>26</v>
      </c>
      <c r="M1197" t="s">
        <v>27</v>
      </c>
      <c r="N1197">
        <v>2.9</v>
      </c>
      <c r="O1197" s="3">
        <v>6763.12</v>
      </c>
      <c r="P1197">
        <v>0</v>
      </c>
      <c r="Q1197">
        <v>3.6</v>
      </c>
      <c r="R1197">
        <v>0.85</v>
      </c>
      <c r="S1197" t="str">
        <f t="shared" si="18"/>
        <v>August</v>
      </c>
    </row>
    <row r="1198" spans="1:19" x14ac:dyDescent="0.2">
      <c r="A1198" t="s">
        <v>2445</v>
      </c>
      <c r="B1198" t="s">
        <v>2446</v>
      </c>
      <c r="C1198" t="s">
        <v>30</v>
      </c>
      <c r="D1198" t="s">
        <v>49</v>
      </c>
      <c r="E1198" s="1">
        <v>46003</v>
      </c>
      <c r="F1198" s="1">
        <v>46006</v>
      </c>
      <c r="G1198" t="s">
        <v>99</v>
      </c>
      <c r="H1198" t="s">
        <v>44</v>
      </c>
      <c r="I1198" t="s">
        <v>64</v>
      </c>
      <c r="J1198">
        <v>9</v>
      </c>
      <c r="K1198" t="s">
        <v>103</v>
      </c>
      <c r="L1198" t="s">
        <v>32</v>
      </c>
      <c r="M1198" t="s">
        <v>27</v>
      </c>
      <c r="N1198">
        <v>2.4</v>
      </c>
      <c r="O1198" s="3">
        <v>6763.12</v>
      </c>
      <c r="P1198">
        <v>0</v>
      </c>
      <c r="Q1198">
        <v>4.3</v>
      </c>
      <c r="R1198">
        <v>0.8</v>
      </c>
      <c r="S1198" t="str">
        <f t="shared" si="18"/>
        <v>December</v>
      </c>
    </row>
    <row r="1199" spans="1:19" x14ac:dyDescent="0.2">
      <c r="A1199" t="s">
        <v>2447</v>
      </c>
      <c r="B1199" t="s">
        <v>2448</v>
      </c>
      <c r="C1199" t="s">
        <v>62</v>
      </c>
      <c r="D1199" t="s">
        <v>49</v>
      </c>
      <c r="E1199" s="1">
        <v>45763</v>
      </c>
      <c r="F1199" s="1">
        <v>45767</v>
      </c>
      <c r="G1199" t="s">
        <v>99</v>
      </c>
      <c r="H1199" t="s">
        <v>44</v>
      </c>
      <c r="I1199" t="s">
        <v>51</v>
      </c>
      <c r="J1199">
        <v>88</v>
      </c>
      <c r="K1199" t="s">
        <v>65</v>
      </c>
      <c r="L1199" t="s">
        <v>26</v>
      </c>
      <c r="M1199" t="s">
        <v>39</v>
      </c>
      <c r="N1199">
        <v>3.8</v>
      </c>
      <c r="O1199" s="3">
        <v>6763.12</v>
      </c>
      <c r="P1199">
        <v>0</v>
      </c>
      <c r="Q1199">
        <v>4.0999999999999996</v>
      </c>
      <c r="R1199">
        <v>0.82</v>
      </c>
      <c r="S1199" t="str">
        <f t="shared" si="18"/>
        <v>April</v>
      </c>
    </row>
    <row r="1200" spans="1:19" x14ac:dyDescent="0.2">
      <c r="A1200" t="s">
        <v>2449</v>
      </c>
      <c r="B1200" t="s">
        <v>2450</v>
      </c>
      <c r="C1200" t="s">
        <v>58</v>
      </c>
      <c r="D1200" t="s">
        <v>42</v>
      </c>
      <c r="E1200" s="1">
        <v>45749</v>
      </c>
      <c r="F1200" s="1">
        <v>45751</v>
      </c>
      <c r="G1200" t="s">
        <v>50</v>
      </c>
      <c r="H1200" t="s">
        <v>44</v>
      </c>
      <c r="I1200" t="s">
        <v>51</v>
      </c>
      <c r="J1200">
        <v>71</v>
      </c>
      <c r="K1200" t="s">
        <v>169</v>
      </c>
      <c r="L1200" t="s">
        <v>26</v>
      </c>
      <c r="M1200" t="s">
        <v>82</v>
      </c>
      <c r="N1200">
        <v>1.6</v>
      </c>
      <c r="O1200" s="3">
        <v>6763.12</v>
      </c>
      <c r="P1200">
        <v>1</v>
      </c>
      <c r="Q1200">
        <v>3.2</v>
      </c>
      <c r="R1200">
        <v>0.75</v>
      </c>
      <c r="S1200" t="str">
        <f t="shared" si="18"/>
        <v>April</v>
      </c>
    </row>
    <row r="1201" spans="1:19" x14ac:dyDescent="0.2">
      <c r="A1201" t="s">
        <v>2451</v>
      </c>
      <c r="B1201" t="s">
        <v>2452</v>
      </c>
      <c r="C1201" t="s">
        <v>58</v>
      </c>
      <c r="D1201" t="s">
        <v>42</v>
      </c>
      <c r="E1201" s="1">
        <v>45926</v>
      </c>
      <c r="F1201" s="1">
        <v>45930</v>
      </c>
      <c r="G1201" t="s">
        <v>22</v>
      </c>
      <c r="H1201" t="s">
        <v>50</v>
      </c>
      <c r="I1201" t="s">
        <v>51</v>
      </c>
      <c r="J1201">
        <v>58</v>
      </c>
      <c r="K1201" t="s">
        <v>38</v>
      </c>
      <c r="L1201" t="s">
        <v>26</v>
      </c>
      <c r="M1201" t="s">
        <v>82</v>
      </c>
      <c r="N1201">
        <v>3.2</v>
      </c>
      <c r="O1201" s="3">
        <v>6763.12</v>
      </c>
      <c r="P1201">
        <v>0</v>
      </c>
      <c r="Q1201">
        <v>4.5</v>
      </c>
      <c r="R1201">
        <v>0.67</v>
      </c>
      <c r="S1201" t="str">
        <f t="shared" si="18"/>
        <v>September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5FF33-CE2A-2547-92FE-E6EDDD689099}">
  <dimension ref="A3:F17"/>
  <sheetViews>
    <sheetView workbookViewId="0">
      <selection activeCell="D3" sqref="D3"/>
    </sheetView>
  </sheetViews>
  <sheetFormatPr baseColWidth="10" defaultRowHeight="16" x14ac:dyDescent="0.2"/>
  <cols>
    <col min="1" max="1" width="18.5" bestFit="1" customWidth="1"/>
    <col min="2" max="2" width="14.83203125" bestFit="1" customWidth="1"/>
    <col min="3" max="3" width="16" bestFit="1" customWidth="1"/>
    <col min="4" max="4" width="22.6640625" bestFit="1" customWidth="1"/>
    <col min="5" max="5" width="20" bestFit="1" customWidth="1"/>
    <col min="6" max="6" width="17.33203125" bestFit="1" customWidth="1"/>
  </cols>
  <sheetData>
    <row r="3" spans="1:6" x14ac:dyDescent="0.2">
      <c r="A3" t="s">
        <v>2453</v>
      </c>
      <c r="B3" t="s">
        <v>2454</v>
      </c>
      <c r="C3" t="s">
        <v>2455</v>
      </c>
      <c r="D3" t="s">
        <v>2480</v>
      </c>
      <c r="E3" t="s">
        <v>2456</v>
      </c>
      <c r="F3" t="s">
        <v>2457</v>
      </c>
    </row>
    <row r="4" spans="1:6" x14ac:dyDescent="0.2">
      <c r="A4" s="3">
        <v>11774962.050000003</v>
      </c>
      <c r="B4" s="2">
        <v>1200</v>
      </c>
      <c r="C4" s="5">
        <v>3.4574166666666635</v>
      </c>
      <c r="D4" s="4">
        <v>0.12916666666666668</v>
      </c>
      <c r="E4" s="5">
        <v>3.8565000000000031</v>
      </c>
      <c r="F4" s="4">
        <v>0.80160833333333292</v>
      </c>
    </row>
    <row r="6" spans="1:6" x14ac:dyDescent="0.2">
      <c r="A6" s="6" t="s">
        <v>2458</v>
      </c>
      <c r="B6" t="s">
        <v>2460</v>
      </c>
    </row>
    <row r="7" spans="1:6" x14ac:dyDescent="0.2">
      <c r="A7" s="7" t="s">
        <v>99</v>
      </c>
      <c r="B7" s="3">
        <v>1220282.9200000013</v>
      </c>
    </row>
    <row r="8" spans="1:6" x14ac:dyDescent="0.2">
      <c r="A8" s="7" t="s">
        <v>50</v>
      </c>
      <c r="B8" s="3">
        <v>421490.39999999997</v>
      </c>
    </row>
    <row r="9" spans="1:6" x14ac:dyDescent="0.2">
      <c r="A9" s="7" t="s">
        <v>43</v>
      </c>
      <c r="B9" s="3">
        <v>979131.42000000016</v>
      </c>
    </row>
    <row r="10" spans="1:6" x14ac:dyDescent="0.2">
      <c r="A10" s="7" t="s">
        <v>59</v>
      </c>
      <c r="B10" s="3">
        <v>2499945.7999999989</v>
      </c>
    </row>
    <row r="11" spans="1:6" x14ac:dyDescent="0.2">
      <c r="A11" s="7" t="s">
        <v>63</v>
      </c>
      <c r="B11" s="3">
        <v>1272787.4099999999</v>
      </c>
    </row>
    <row r="12" spans="1:6" x14ac:dyDescent="0.2">
      <c r="A12" s="7" t="s">
        <v>116</v>
      </c>
      <c r="B12" s="3">
        <v>667497.57999999949</v>
      </c>
    </row>
    <row r="13" spans="1:6" x14ac:dyDescent="0.2">
      <c r="A13" s="7" t="s">
        <v>71</v>
      </c>
      <c r="B13" s="3">
        <v>1639247.0299999996</v>
      </c>
    </row>
    <row r="14" spans="1:6" x14ac:dyDescent="0.2">
      <c r="A14" s="7" t="s">
        <v>68</v>
      </c>
      <c r="B14" s="3">
        <v>957242.27999999991</v>
      </c>
    </row>
    <row r="15" spans="1:6" x14ac:dyDescent="0.2">
      <c r="A15" s="7" t="s">
        <v>22</v>
      </c>
      <c r="B15" s="3">
        <v>403696.75000000006</v>
      </c>
    </row>
    <row r="16" spans="1:6" x14ac:dyDescent="0.2">
      <c r="A16" s="7" t="s">
        <v>36</v>
      </c>
      <c r="B16" s="3">
        <v>1713640.4599999995</v>
      </c>
    </row>
    <row r="17" spans="1:2" x14ac:dyDescent="0.2">
      <c r="A17" s="7" t="s">
        <v>2459</v>
      </c>
      <c r="B17" s="3">
        <v>11774962.049999997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C2E0-4692-9D42-B9C0-CC1F1B8BBA20}">
  <dimension ref="A1:F16"/>
  <sheetViews>
    <sheetView workbookViewId="0">
      <selection activeCell="A4" sqref="A4"/>
    </sheetView>
  </sheetViews>
  <sheetFormatPr baseColWidth="10" defaultRowHeight="16" x14ac:dyDescent="0.2"/>
  <cols>
    <col min="1" max="1" width="43.33203125" bestFit="1" customWidth="1"/>
    <col min="2" max="2" width="16" bestFit="1" customWidth="1"/>
    <col min="3" max="5" width="10.1640625" bestFit="1" customWidth="1"/>
    <col min="6" max="6" width="10.5" bestFit="1" customWidth="1"/>
  </cols>
  <sheetData>
    <row r="1" spans="1:6" x14ac:dyDescent="0.2">
      <c r="A1" s="6" t="s">
        <v>2</v>
      </c>
      <c r="B1" t="s">
        <v>2462</v>
      </c>
    </row>
    <row r="2" spans="1:6" x14ac:dyDescent="0.2">
      <c r="A2" s="6" t="s">
        <v>3</v>
      </c>
      <c r="B2" t="s">
        <v>2462</v>
      </c>
    </row>
    <row r="4" spans="1:6" x14ac:dyDescent="0.2">
      <c r="A4" s="6" t="s">
        <v>2482</v>
      </c>
      <c r="B4" s="6" t="s">
        <v>2461</v>
      </c>
    </row>
    <row r="5" spans="1:6" x14ac:dyDescent="0.2">
      <c r="A5" s="6" t="s">
        <v>2458</v>
      </c>
      <c r="B5" t="s">
        <v>27</v>
      </c>
      <c r="C5" t="s">
        <v>82</v>
      </c>
      <c r="D5" t="s">
        <v>39</v>
      </c>
      <c r="E5" t="s">
        <v>52</v>
      </c>
      <c r="F5" t="s">
        <v>2459</v>
      </c>
    </row>
    <row r="6" spans="1:6" x14ac:dyDescent="0.2">
      <c r="A6" s="7" t="s">
        <v>24</v>
      </c>
      <c r="B6" s="3">
        <v>12672.309090909093</v>
      </c>
      <c r="C6" s="3">
        <v>8640.3586666666688</v>
      </c>
      <c r="D6" s="3">
        <v>9300.0814285714296</v>
      </c>
      <c r="E6" s="3">
        <v>10472.68142857143</v>
      </c>
      <c r="F6" s="3">
        <v>10860.617340425531</v>
      </c>
    </row>
    <row r="7" spans="1:6" x14ac:dyDescent="0.2">
      <c r="A7" s="7" t="s">
        <v>31</v>
      </c>
      <c r="B7" s="3">
        <v>10679.483698630136</v>
      </c>
      <c r="C7" s="3">
        <v>9966.3394444444439</v>
      </c>
      <c r="D7" s="3">
        <v>8884.4259999999995</v>
      </c>
      <c r="E7" s="3">
        <v>6898.9330769230764</v>
      </c>
      <c r="F7" s="3">
        <v>9698.9835593220323</v>
      </c>
    </row>
    <row r="8" spans="1:6" x14ac:dyDescent="0.2">
      <c r="A8" s="7" t="s">
        <v>55</v>
      </c>
      <c r="B8" s="3">
        <v>10373.264821428571</v>
      </c>
      <c r="C8" s="3">
        <v>11068.622105263159</v>
      </c>
      <c r="D8" s="3">
        <v>7445.6714634146338</v>
      </c>
      <c r="E8" s="3">
        <v>4141.402</v>
      </c>
      <c r="F8" s="3">
        <v>9030.8984126984142</v>
      </c>
    </row>
    <row r="9" spans="1:6" x14ac:dyDescent="0.2">
      <c r="A9" s="7" t="s">
        <v>64</v>
      </c>
      <c r="B9" s="3">
        <v>13166.793043478261</v>
      </c>
      <c r="C9" s="3">
        <v>9112.8588235294119</v>
      </c>
      <c r="D9" s="3">
        <v>14048.000909090906</v>
      </c>
      <c r="E9" s="3">
        <v>4651.1745454545462</v>
      </c>
      <c r="F9" s="3">
        <v>12139.802076923072</v>
      </c>
    </row>
    <row r="10" spans="1:6" x14ac:dyDescent="0.2">
      <c r="A10" s="7" t="s">
        <v>100</v>
      </c>
      <c r="B10" s="3">
        <v>12685.705757575763</v>
      </c>
      <c r="C10" s="3">
        <v>8400.4457142857154</v>
      </c>
      <c r="D10" s="3">
        <v>12424.101372549021</v>
      </c>
      <c r="E10" s="3">
        <v>5690.2790909090909</v>
      </c>
      <c r="F10" s="3">
        <v>11337.764743589749</v>
      </c>
    </row>
    <row r="11" spans="1:6" x14ac:dyDescent="0.2">
      <c r="A11" s="7" t="s">
        <v>117</v>
      </c>
      <c r="B11" s="3">
        <v>8858.1021874999988</v>
      </c>
      <c r="C11" s="3">
        <v>6124.1642857142861</v>
      </c>
      <c r="D11" s="3">
        <v>7967.0967857142869</v>
      </c>
      <c r="E11" s="3">
        <v>6510.7583333333341</v>
      </c>
      <c r="F11" s="3">
        <v>7891.7603749999998</v>
      </c>
    </row>
    <row r="12" spans="1:6" x14ac:dyDescent="0.2">
      <c r="A12" s="7" t="s">
        <v>45</v>
      </c>
      <c r="B12" s="3">
        <v>11967.485945945948</v>
      </c>
      <c r="C12" s="3">
        <v>6494.9188235294114</v>
      </c>
      <c r="D12" s="3">
        <v>9918.83</v>
      </c>
      <c r="E12" s="3">
        <v>5152.9475000000002</v>
      </c>
      <c r="F12" s="3">
        <v>9900.9062195121969</v>
      </c>
    </row>
    <row r="13" spans="1:6" x14ac:dyDescent="0.2">
      <c r="A13" s="7" t="s">
        <v>81</v>
      </c>
      <c r="B13" s="3">
        <v>9439.6092307692306</v>
      </c>
      <c r="C13" s="3">
        <v>7802.0963636363631</v>
      </c>
      <c r="D13" s="3">
        <v>9255.5984999999982</v>
      </c>
      <c r="E13" s="3">
        <v>13265.312727272725</v>
      </c>
      <c r="F13" s="3">
        <v>9297.5826470588236</v>
      </c>
    </row>
    <row r="14" spans="1:6" x14ac:dyDescent="0.2">
      <c r="A14" s="7" t="s">
        <v>51</v>
      </c>
      <c r="B14" s="3">
        <v>6079.0041935483869</v>
      </c>
      <c r="C14" s="3">
        <v>7320.2362499999981</v>
      </c>
      <c r="D14" s="3">
        <v>10061.889047619046</v>
      </c>
      <c r="E14" s="3">
        <v>8285.0249999999996</v>
      </c>
      <c r="F14" s="3">
        <v>7623.7148780487814</v>
      </c>
    </row>
    <row r="15" spans="1:6" x14ac:dyDescent="0.2">
      <c r="A15" s="7" t="s">
        <v>37</v>
      </c>
      <c r="B15" s="3">
        <v>9991.9392537313415</v>
      </c>
      <c r="C15" s="3">
        <v>8074.76090909091</v>
      </c>
      <c r="D15" s="3">
        <v>7726.1929999999993</v>
      </c>
      <c r="E15" s="3">
        <v>7950.2212499999996</v>
      </c>
      <c r="F15" s="3">
        <v>8903.3150364963476</v>
      </c>
    </row>
    <row r="16" spans="1:6" x14ac:dyDescent="0.2">
      <c r="A16" s="7" t="s">
        <v>2459</v>
      </c>
      <c r="B16" s="3">
        <v>10889.709734345342</v>
      </c>
      <c r="C16" s="3">
        <v>8425.6889333333347</v>
      </c>
      <c r="D16" s="3">
        <v>9704.2476454293537</v>
      </c>
      <c r="E16" s="3">
        <v>7322.6621839080472</v>
      </c>
      <c r="F16" s="3">
        <v>9812.4683750000004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275E-6771-2540-AEED-20D055744C9A}">
  <dimension ref="A1:E30"/>
  <sheetViews>
    <sheetView zoomScaleNormal="100" workbookViewId="0">
      <selection activeCell="A4" sqref="A4"/>
    </sheetView>
  </sheetViews>
  <sheetFormatPr baseColWidth="10" defaultRowHeight="16" x14ac:dyDescent="0.2"/>
  <cols>
    <col min="1" max="1" width="48" bestFit="1" customWidth="1"/>
    <col min="2" max="2" width="16" bestFit="1" customWidth="1"/>
    <col min="3" max="3" width="10.33203125" bestFit="1" customWidth="1"/>
    <col min="4" max="4" width="6.6640625" bestFit="1" customWidth="1"/>
    <col min="5" max="5" width="10.5" bestFit="1" customWidth="1"/>
  </cols>
  <sheetData>
    <row r="1" spans="1:5" x14ac:dyDescent="0.2">
      <c r="A1" s="6" t="s">
        <v>2</v>
      </c>
      <c r="B1" t="s">
        <v>2462</v>
      </c>
    </row>
    <row r="2" spans="1:5" x14ac:dyDescent="0.2">
      <c r="A2" s="6" t="s">
        <v>3</v>
      </c>
      <c r="B2" t="s">
        <v>2462</v>
      </c>
    </row>
    <row r="4" spans="1:5" x14ac:dyDescent="0.2">
      <c r="A4" s="6" t="s">
        <v>2483</v>
      </c>
      <c r="B4" s="6" t="s">
        <v>2461</v>
      </c>
    </row>
    <row r="5" spans="1:5" x14ac:dyDescent="0.2">
      <c r="A5" s="6" t="s">
        <v>2458</v>
      </c>
      <c r="B5" t="s">
        <v>23</v>
      </c>
      <c r="C5" t="s">
        <v>50</v>
      </c>
      <c r="D5" t="s">
        <v>44</v>
      </c>
      <c r="E5" t="s">
        <v>2459</v>
      </c>
    </row>
    <row r="6" spans="1:5" x14ac:dyDescent="0.2">
      <c r="A6" s="7" t="s">
        <v>99</v>
      </c>
      <c r="B6" s="5">
        <v>3.0238095238095233</v>
      </c>
      <c r="C6" s="5">
        <v>3.8633802816901386</v>
      </c>
      <c r="D6" s="5">
        <v>3.8529411764705883</v>
      </c>
      <c r="E6" s="5">
        <v>3.5907692307692307</v>
      </c>
    </row>
    <row r="7" spans="1:5" x14ac:dyDescent="0.2">
      <c r="A7" s="7" t="s">
        <v>50</v>
      </c>
      <c r="B7" s="5">
        <v>1.1051724137931036</v>
      </c>
      <c r="C7" s="5">
        <v>1.3638095238095247</v>
      </c>
      <c r="D7" s="5">
        <v>1.0148148148148148</v>
      </c>
      <c r="E7" s="5">
        <v>1.2352631578947373</v>
      </c>
    </row>
    <row r="8" spans="1:5" x14ac:dyDescent="0.2">
      <c r="A8" s="7" t="s">
        <v>43</v>
      </c>
      <c r="B8" s="5">
        <v>3.2220000000000004</v>
      </c>
      <c r="C8" s="5">
        <v>3.1712328767123292</v>
      </c>
      <c r="D8" s="5">
        <v>2.5900000000000003</v>
      </c>
      <c r="E8" s="5">
        <v>3.1076923076923086</v>
      </c>
    </row>
    <row r="9" spans="1:5" x14ac:dyDescent="0.2">
      <c r="A9" s="7" t="s">
        <v>59</v>
      </c>
      <c r="B9" s="5">
        <v>8.4523809523809508</v>
      </c>
      <c r="C9" s="5">
        <v>7.9555555555555539</v>
      </c>
      <c r="D9" s="5">
        <v>5.660000000000001</v>
      </c>
      <c r="E9" s="5">
        <v>7.7907894736842067</v>
      </c>
    </row>
    <row r="10" spans="1:5" x14ac:dyDescent="0.2">
      <c r="A10" s="7" t="s">
        <v>63</v>
      </c>
      <c r="B10" s="5">
        <v>3.8423076923076924</v>
      </c>
      <c r="C10" s="5">
        <v>4.7523809523809515</v>
      </c>
      <c r="D10" s="5">
        <v>3.9117647058823537</v>
      </c>
      <c r="E10" s="5">
        <v>4.3943396226415103</v>
      </c>
    </row>
    <row r="11" spans="1:5" x14ac:dyDescent="0.2">
      <c r="A11" s="7" t="s">
        <v>116</v>
      </c>
      <c r="B11" s="5">
        <v>2.4105263157894736</v>
      </c>
      <c r="C11" s="5">
        <v>2.7396551724137925</v>
      </c>
      <c r="D11" s="5">
        <v>2.6399999999999997</v>
      </c>
      <c r="E11" s="5">
        <v>2.6135135135135137</v>
      </c>
    </row>
    <row r="12" spans="1:5" x14ac:dyDescent="0.2">
      <c r="A12" s="7" t="s">
        <v>71</v>
      </c>
      <c r="B12" s="5">
        <v>5.2361111111111098</v>
      </c>
      <c r="C12" s="5">
        <v>5.0955555555555554</v>
      </c>
      <c r="D12" s="5">
        <v>6.0285714285714276</v>
      </c>
      <c r="E12" s="5">
        <v>5.3372549019607831</v>
      </c>
    </row>
    <row r="13" spans="1:5" x14ac:dyDescent="0.2">
      <c r="A13" s="7" t="s">
        <v>68</v>
      </c>
      <c r="B13" s="5">
        <v>3.4459459459459461</v>
      </c>
      <c r="C13" s="5">
        <v>3.3608695652173917</v>
      </c>
      <c r="D13" s="5">
        <v>2.6</v>
      </c>
      <c r="E13" s="5">
        <v>3.292561983471074</v>
      </c>
    </row>
    <row r="14" spans="1:5" x14ac:dyDescent="0.2">
      <c r="A14" s="7" t="s">
        <v>22</v>
      </c>
      <c r="B14" s="5">
        <v>2.2060606060606061</v>
      </c>
      <c r="C14" s="5">
        <v>2.5081081081081091</v>
      </c>
      <c r="D14" s="5">
        <v>1.8357142857142856</v>
      </c>
      <c r="E14" s="5">
        <v>2.2773809523809523</v>
      </c>
    </row>
    <row r="15" spans="1:5" x14ac:dyDescent="0.2">
      <c r="A15" s="7" t="s">
        <v>36</v>
      </c>
      <c r="B15" s="5">
        <v>3.6589743589743593</v>
      </c>
      <c r="C15" s="5">
        <v>3.8027397260273967</v>
      </c>
      <c r="D15" s="5">
        <v>4.024</v>
      </c>
      <c r="E15" s="5">
        <v>3.8021897810218968</v>
      </c>
    </row>
    <row r="16" spans="1:5" x14ac:dyDescent="0.2">
      <c r="A16" s="7" t="s">
        <v>2459</v>
      </c>
      <c r="B16" s="5">
        <v>3.2965789473684199</v>
      </c>
      <c r="C16" s="5">
        <v>3.594522691705786</v>
      </c>
      <c r="D16" s="5">
        <v>3.3110497237569052</v>
      </c>
      <c r="E16" s="5">
        <v>3.457416666666667</v>
      </c>
    </row>
    <row r="30" spans="4:4" x14ac:dyDescent="0.2">
      <c r="D30" t="s">
        <v>2481</v>
      </c>
    </row>
  </sheetData>
  <conditionalFormatting sqref="F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E5 A6:A1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4:E5 A6:A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71BDA-4944-DA4B-8FB0-C4B4086B925B}">
  <dimension ref="A1:B15"/>
  <sheetViews>
    <sheetView workbookViewId="0">
      <selection activeCell="G8" sqref="G8"/>
    </sheetView>
  </sheetViews>
  <sheetFormatPr baseColWidth="10" defaultRowHeight="16" x14ac:dyDescent="0.2"/>
  <cols>
    <col min="1" max="1" width="13.6640625" bestFit="1" customWidth="1"/>
    <col min="2" max="2" width="39.33203125" bestFit="1" customWidth="1"/>
  </cols>
  <sheetData>
    <row r="1" spans="1:2" x14ac:dyDescent="0.2">
      <c r="A1" s="6" t="s">
        <v>2</v>
      </c>
      <c r="B1" t="s">
        <v>2462</v>
      </c>
    </row>
    <row r="2" spans="1:2" x14ac:dyDescent="0.2">
      <c r="A2" s="6" t="s">
        <v>7</v>
      </c>
      <c r="B2" t="s">
        <v>2462</v>
      </c>
    </row>
    <row r="4" spans="1:2" x14ac:dyDescent="0.2">
      <c r="A4" s="6" t="s">
        <v>2458</v>
      </c>
      <c r="B4" t="s">
        <v>2463</v>
      </c>
    </row>
    <row r="5" spans="1:2" x14ac:dyDescent="0.2">
      <c r="A5" s="7" t="s">
        <v>24</v>
      </c>
      <c r="B5" s="4">
        <v>0.19148936170212766</v>
      </c>
    </row>
    <row r="6" spans="1:2" x14ac:dyDescent="0.2">
      <c r="A6" s="7" t="s">
        <v>31</v>
      </c>
      <c r="B6" s="4">
        <v>0.15819209039548024</v>
      </c>
    </row>
    <row r="7" spans="1:2" x14ac:dyDescent="0.2">
      <c r="A7" s="7" t="s">
        <v>55</v>
      </c>
      <c r="B7" s="4">
        <v>0.11904761904761904</v>
      </c>
    </row>
    <row r="8" spans="1:2" x14ac:dyDescent="0.2">
      <c r="A8" s="7" t="s">
        <v>64</v>
      </c>
      <c r="B8" s="4">
        <v>0.13076923076923078</v>
      </c>
    </row>
    <row r="9" spans="1:2" x14ac:dyDescent="0.2">
      <c r="A9" s="7" t="s">
        <v>100</v>
      </c>
      <c r="B9" s="4">
        <v>0.11538461538461539</v>
      </c>
    </row>
    <row r="10" spans="1:2" x14ac:dyDescent="0.2">
      <c r="A10" s="7" t="s">
        <v>117</v>
      </c>
      <c r="B10" s="4">
        <v>8.7499999999999994E-2</v>
      </c>
    </row>
    <row r="11" spans="1:2" x14ac:dyDescent="0.2">
      <c r="A11" s="7" t="s">
        <v>45</v>
      </c>
      <c r="B11" s="4">
        <v>0.17073170731707318</v>
      </c>
    </row>
    <row r="12" spans="1:2" x14ac:dyDescent="0.2">
      <c r="A12" s="7" t="s">
        <v>81</v>
      </c>
      <c r="B12" s="4">
        <v>8.0882352941176475E-2</v>
      </c>
    </row>
    <row r="13" spans="1:2" x14ac:dyDescent="0.2">
      <c r="A13" s="7" t="s">
        <v>51</v>
      </c>
      <c r="B13" s="4">
        <v>0.15853658536585366</v>
      </c>
    </row>
    <row r="14" spans="1:2" x14ac:dyDescent="0.2">
      <c r="A14" s="7" t="s">
        <v>37</v>
      </c>
      <c r="B14" s="4">
        <v>0.10218978102189781</v>
      </c>
    </row>
    <row r="15" spans="1:2" x14ac:dyDescent="0.2">
      <c r="A15" s="7" t="s">
        <v>2459</v>
      </c>
      <c r="B15" s="4">
        <v>0.12916666666666668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35D6C-36FB-6A43-8261-EDBF837BA948}">
  <dimension ref="A1:G16"/>
  <sheetViews>
    <sheetView workbookViewId="0">
      <selection activeCell="A4" sqref="A4"/>
    </sheetView>
  </sheetViews>
  <sheetFormatPr baseColWidth="10" defaultRowHeight="16" x14ac:dyDescent="0.2"/>
  <cols>
    <col min="1" max="1" width="46.83203125" bestFit="1" customWidth="1"/>
    <col min="2" max="2" width="16" bestFit="1" customWidth="1"/>
    <col min="3" max="3" width="13.5" bestFit="1" customWidth="1"/>
    <col min="4" max="4" width="16.5" bestFit="1" customWidth="1"/>
    <col min="5" max="5" width="22" bestFit="1" customWidth="1"/>
    <col min="6" max="6" width="19.33203125" bestFit="1" customWidth="1"/>
    <col min="7" max="7" width="10.5" bestFit="1" customWidth="1"/>
  </cols>
  <sheetData>
    <row r="1" spans="1:7" x14ac:dyDescent="0.2">
      <c r="A1" s="6" t="s">
        <v>12</v>
      </c>
      <c r="B1" t="s">
        <v>2462</v>
      </c>
    </row>
    <row r="2" spans="1:7" x14ac:dyDescent="0.2">
      <c r="A2" s="6" t="s">
        <v>3</v>
      </c>
      <c r="B2" t="s">
        <v>2462</v>
      </c>
    </row>
    <row r="4" spans="1:7" x14ac:dyDescent="0.2">
      <c r="A4" s="6" t="s">
        <v>2484</v>
      </c>
      <c r="B4" s="6" t="s">
        <v>2461</v>
      </c>
    </row>
    <row r="5" spans="1:7" x14ac:dyDescent="0.2">
      <c r="A5" s="6" t="s">
        <v>2458</v>
      </c>
      <c r="B5" t="s">
        <v>58</v>
      </c>
      <c r="C5" t="s">
        <v>62</v>
      </c>
      <c r="D5" t="s">
        <v>122</v>
      </c>
      <c r="E5" t="s">
        <v>30</v>
      </c>
      <c r="F5" t="s">
        <v>20</v>
      </c>
      <c r="G5" t="s">
        <v>2459</v>
      </c>
    </row>
    <row r="6" spans="1:7" x14ac:dyDescent="0.2">
      <c r="A6" s="7" t="s">
        <v>99</v>
      </c>
      <c r="B6" s="5">
        <v>3.9647058823529409</v>
      </c>
      <c r="C6" s="5">
        <v>4</v>
      </c>
      <c r="D6" s="5">
        <v>3.96</v>
      </c>
      <c r="E6" s="5">
        <v>3.8479999999999994</v>
      </c>
      <c r="F6" s="5">
        <v>3.85</v>
      </c>
      <c r="G6" s="5">
        <v>3.9238461538461524</v>
      </c>
    </row>
    <row r="7" spans="1:7" x14ac:dyDescent="0.2">
      <c r="A7" s="7" t="s">
        <v>50</v>
      </c>
      <c r="B7" s="5">
        <v>3.6694444444444434</v>
      </c>
      <c r="C7" s="5">
        <v>3.6977777777777785</v>
      </c>
      <c r="D7" s="5">
        <v>3.6696969696969695</v>
      </c>
      <c r="E7" s="5">
        <v>3.7131578947368435</v>
      </c>
      <c r="F7" s="5">
        <v>3.6842105263157889</v>
      </c>
      <c r="G7" s="5">
        <v>3.6878947368421024</v>
      </c>
    </row>
    <row r="8" spans="1:7" x14ac:dyDescent="0.2">
      <c r="A8" s="7" t="s">
        <v>43</v>
      </c>
      <c r="B8" s="5">
        <v>4.0066666666666659</v>
      </c>
      <c r="C8" s="5">
        <v>3.8749999999999991</v>
      </c>
      <c r="D8" s="5">
        <v>4.133333333333332</v>
      </c>
      <c r="E8" s="5">
        <v>3.9</v>
      </c>
      <c r="F8" s="5">
        <v>3.7919999999999989</v>
      </c>
      <c r="G8" s="5">
        <v>3.9370629370629371</v>
      </c>
    </row>
    <row r="9" spans="1:7" x14ac:dyDescent="0.2">
      <c r="A9" s="7" t="s">
        <v>59</v>
      </c>
      <c r="B9" s="5">
        <v>3.4842105263157896</v>
      </c>
      <c r="C9" s="5">
        <v>3.9111111111111114</v>
      </c>
      <c r="D9" s="5">
        <v>3.6428571428571428</v>
      </c>
      <c r="E9" s="5">
        <v>3.7285714285714282</v>
      </c>
      <c r="F9" s="5">
        <v>3.7272727272727271</v>
      </c>
      <c r="G9" s="5">
        <v>3.6947368421052627</v>
      </c>
    </row>
    <row r="10" spans="1:7" x14ac:dyDescent="0.2">
      <c r="A10" s="7" t="s">
        <v>63</v>
      </c>
      <c r="B10" s="5">
        <v>3.8478260869565211</v>
      </c>
      <c r="C10" s="5">
        <v>3.7749999999999995</v>
      </c>
      <c r="D10" s="5">
        <v>4.003571428571429</v>
      </c>
      <c r="E10" s="5">
        <v>3.8349999999999995</v>
      </c>
      <c r="F10" s="5">
        <v>4.0105263157894742</v>
      </c>
      <c r="G10" s="5">
        <v>3.9047169811320765</v>
      </c>
    </row>
    <row r="11" spans="1:7" x14ac:dyDescent="0.2">
      <c r="A11" s="7" t="s">
        <v>116</v>
      </c>
      <c r="B11" s="5">
        <v>3.8571428571428572</v>
      </c>
      <c r="C11" s="5">
        <v>3.8478260869565224</v>
      </c>
      <c r="D11" s="5">
        <v>3.9159999999999995</v>
      </c>
      <c r="E11" s="5">
        <v>3.8639999999999999</v>
      </c>
      <c r="F11" s="5">
        <v>3.9833333333333338</v>
      </c>
      <c r="G11" s="5">
        <v>3.8972972972972975</v>
      </c>
    </row>
    <row r="12" spans="1:7" x14ac:dyDescent="0.2">
      <c r="A12" s="7" t="s">
        <v>71</v>
      </c>
      <c r="B12" s="5">
        <v>3.7999999999999994</v>
      </c>
      <c r="C12" s="5">
        <v>4.1421052631578945</v>
      </c>
      <c r="D12" s="5">
        <v>4.0476190476190474</v>
      </c>
      <c r="E12" s="5">
        <v>3.6928571428571431</v>
      </c>
      <c r="F12" s="5">
        <v>3.7190476190476187</v>
      </c>
      <c r="G12" s="5">
        <v>3.8686274509803908</v>
      </c>
    </row>
    <row r="13" spans="1:7" x14ac:dyDescent="0.2">
      <c r="A13" s="7" t="s">
        <v>68</v>
      </c>
      <c r="B13" s="5">
        <v>3.9920000000000004</v>
      </c>
      <c r="C13" s="5">
        <v>3.9047619047619042</v>
      </c>
      <c r="D13" s="5">
        <v>3.6966666666666668</v>
      </c>
      <c r="E13" s="5">
        <v>3.9478260869565229</v>
      </c>
      <c r="F13" s="5">
        <v>3.6363636363636358</v>
      </c>
      <c r="G13" s="5">
        <v>3.8305785123966949</v>
      </c>
    </row>
    <row r="14" spans="1:7" x14ac:dyDescent="0.2">
      <c r="A14" s="7" t="s">
        <v>22</v>
      </c>
      <c r="B14" s="5">
        <v>3.6133333333333324</v>
      </c>
      <c r="C14" s="5">
        <v>3.9066666666666667</v>
      </c>
      <c r="D14" s="5">
        <v>4.0200000000000005</v>
      </c>
      <c r="E14" s="5">
        <v>4.1719999999999997</v>
      </c>
      <c r="F14" s="5">
        <v>3.75</v>
      </c>
      <c r="G14" s="5">
        <v>3.9273809523809509</v>
      </c>
    </row>
    <row r="15" spans="1:7" x14ac:dyDescent="0.2">
      <c r="A15" s="7" t="s">
        <v>36</v>
      </c>
      <c r="B15" s="5">
        <v>3.9862068965517241</v>
      </c>
      <c r="C15" s="5">
        <v>3.7769230769230764</v>
      </c>
      <c r="D15" s="5">
        <v>3.9476190476190478</v>
      </c>
      <c r="E15" s="5">
        <v>4.0322580645161299</v>
      </c>
      <c r="F15" s="5">
        <v>3.9000000000000004</v>
      </c>
      <c r="G15" s="5">
        <v>3.9321167883211667</v>
      </c>
    </row>
    <row r="16" spans="1:7" x14ac:dyDescent="0.2">
      <c r="A16" s="7" t="s">
        <v>2459</v>
      </c>
      <c r="B16" s="5">
        <v>3.8343891402714911</v>
      </c>
      <c r="C16" s="5">
        <v>3.8677419354838718</v>
      </c>
      <c r="D16" s="5">
        <v>3.8957627118644074</v>
      </c>
      <c r="E16" s="5">
        <v>3.873946360153258</v>
      </c>
      <c r="F16" s="5">
        <v>3.8064102564102575</v>
      </c>
      <c r="G16" s="5">
        <v>3.8564999999999996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A488B-CE24-2041-9953-EB09EBE996E4}">
  <dimension ref="A1:B59"/>
  <sheetViews>
    <sheetView workbookViewId="0">
      <selection activeCell="B4" sqref="B4"/>
    </sheetView>
  </sheetViews>
  <sheetFormatPr baseColWidth="10" defaultRowHeight="16" x14ac:dyDescent="0.2"/>
  <cols>
    <col min="1" max="1" width="24" bestFit="1" customWidth="1"/>
    <col min="2" max="2" width="39.33203125" bestFit="1" customWidth="1"/>
  </cols>
  <sheetData>
    <row r="1" spans="1:2" x14ac:dyDescent="0.2">
      <c r="A1" s="6" t="s">
        <v>3</v>
      </c>
      <c r="B1" t="s">
        <v>2462</v>
      </c>
    </row>
    <row r="3" spans="1:2" x14ac:dyDescent="0.2">
      <c r="A3" s="6" t="s">
        <v>2458</v>
      </c>
      <c r="B3" t="s">
        <v>2485</v>
      </c>
    </row>
    <row r="4" spans="1:2" x14ac:dyDescent="0.2">
      <c r="A4" s="7" t="s">
        <v>58</v>
      </c>
      <c r="B4" s="9">
        <v>0.75321266968325773</v>
      </c>
    </row>
    <row r="5" spans="1:2" x14ac:dyDescent="0.2">
      <c r="A5" s="8" t="s">
        <v>99</v>
      </c>
      <c r="B5" s="9">
        <v>0.7635294117647059</v>
      </c>
    </row>
    <row r="6" spans="1:2" x14ac:dyDescent="0.2">
      <c r="A6" s="8" t="s">
        <v>50</v>
      </c>
      <c r="B6" s="9">
        <v>0.75777777777777755</v>
      </c>
    </row>
    <row r="7" spans="1:2" x14ac:dyDescent="0.2">
      <c r="A7" s="8" t="s">
        <v>43</v>
      </c>
      <c r="B7" s="9">
        <v>0.752</v>
      </c>
    </row>
    <row r="8" spans="1:2" x14ac:dyDescent="0.2">
      <c r="A8" s="8" t="s">
        <v>59</v>
      </c>
      <c r="B8" s="9">
        <v>0.75157894736842101</v>
      </c>
    </row>
    <row r="9" spans="1:2" x14ac:dyDescent="0.2">
      <c r="A9" s="8" t="s">
        <v>63</v>
      </c>
      <c r="B9" s="9">
        <v>0.75086956521739123</v>
      </c>
    </row>
    <row r="10" spans="1:2" x14ac:dyDescent="0.2">
      <c r="A10" s="8" t="s">
        <v>116</v>
      </c>
      <c r="B10" s="9">
        <v>0.74571428571428577</v>
      </c>
    </row>
    <row r="11" spans="1:2" x14ac:dyDescent="0.2">
      <c r="A11" s="8" t="s">
        <v>71</v>
      </c>
      <c r="B11" s="9">
        <v>0.75230769230769223</v>
      </c>
    </row>
    <row r="12" spans="1:2" x14ac:dyDescent="0.2">
      <c r="A12" s="8" t="s">
        <v>68</v>
      </c>
      <c r="B12" s="9">
        <v>0.75960000000000005</v>
      </c>
    </row>
    <row r="13" spans="1:2" x14ac:dyDescent="0.2">
      <c r="A13" s="8" t="s">
        <v>22</v>
      </c>
      <c r="B13" s="9">
        <v>0.7406666666666667</v>
      </c>
    </row>
    <row r="14" spans="1:2" x14ac:dyDescent="0.2">
      <c r="A14" s="8" t="s">
        <v>36</v>
      </c>
      <c r="B14" s="9">
        <v>0.75068965517241348</v>
      </c>
    </row>
    <row r="15" spans="1:2" x14ac:dyDescent="0.2">
      <c r="A15" s="7" t="s">
        <v>62</v>
      </c>
      <c r="B15" s="9">
        <v>0.84419354838709748</v>
      </c>
    </row>
    <row r="16" spans="1:2" x14ac:dyDescent="0.2">
      <c r="A16" s="8" t="s">
        <v>99</v>
      </c>
      <c r="B16" s="9">
        <v>0.84333333333333316</v>
      </c>
    </row>
    <row r="17" spans="1:2" x14ac:dyDescent="0.2">
      <c r="A17" s="8" t="s">
        <v>50</v>
      </c>
      <c r="B17" s="9">
        <v>0.84533333333333327</v>
      </c>
    </row>
    <row r="18" spans="1:2" x14ac:dyDescent="0.2">
      <c r="A18" s="8" t="s">
        <v>43</v>
      </c>
      <c r="B18" s="9">
        <v>0.85093749999999979</v>
      </c>
    </row>
    <row r="19" spans="1:2" x14ac:dyDescent="0.2">
      <c r="A19" s="8" t="s">
        <v>59</v>
      </c>
      <c r="B19" s="9">
        <v>0.84555555555555562</v>
      </c>
    </row>
    <row r="20" spans="1:2" x14ac:dyDescent="0.2">
      <c r="A20" s="8" t="s">
        <v>63</v>
      </c>
      <c r="B20" s="9">
        <v>0.84249999999999992</v>
      </c>
    </row>
    <row r="21" spans="1:2" x14ac:dyDescent="0.2">
      <c r="A21" s="8" t="s">
        <v>116</v>
      </c>
      <c r="B21" s="9">
        <v>0.84608695652173915</v>
      </c>
    </row>
    <row r="22" spans="1:2" x14ac:dyDescent="0.2">
      <c r="A22" s="8" t="s">
        <v>71</v>
      </c>
      <c r="B22" s="9">
        <v>0.84315789473684211</v>
      </c>
    </row>
    <row r="23" spans="1:2" x14ac:dyDescent="0.2">
      <c r="A23" s="8" t="s">
        <v>68</v>
      </c>
      <c r="B23" s="9">
        <v>0.83857142857142852</v>
      </c>
    </row>
    <row r="24" spans="1:2" x14ac:dyDescent="0.2">
      <c r="A24" s="8" t="s">
        <v>22</v>
      </c>
      <c r="B24" s="9">
        <v>0.83799999999999986</v>
      </c>
    </row>
    <row r="25" spans="1:2" x14ac:dyDescent="0.2">
      <c r="A25" s="8" t="s">
        <v>36</v>
      </c>
      <c r="B25" s="9">
        <v>0.84230769230769242</v>
      </c>
    </row>
    <row r="26" spans="1:2" x14ac:dyDescent="0.2">
      <c r="A26" s="7" t="s">
        <v>122</v>
      </c>
      <c r="B26" s="9">
        <v>0.78093220338983083</v>
      </c>
    </row>
    <row r="27" spans="1:2" x14ac:dyDescent="0.2">
      <c r="A27" s="8" t="s">
        <v>99</v>
      </c>
      <c r="B27" s="9">
        <v>0.80120000000000013</v>
      </c>
    </row>
    <row r="28" spans="1:2" x14ac:dyDescent="0.2">
      <c r="A28" s="8" t="s">
        <v>50</v>
      </c>
      <c r="B28" s="9">
        <v>0.77090909090909121</v>
      </c>
    </row>
    <row r="29" spans="1:2" x14ac:dyDescent="0.2">
      <c r="A29" s="8" t="s">
        <v>43</v>
      </c>
      <c r="B29" s="9">
        <v>0.77874999999999972</v>
      </c>
    </row>
    <row r="30" spans="1:2" x14ac:dyDescent="0.2">
      <c r="A30" s="8" t="s">
        <v>59</v>
      </c>
      <c r="B30" s="9">
        <v>0.76642857142857146</v>
      </c>
    </row>
    <row r="31" spans="1:2" x14ac:dyDescent="0.2">
      <c r="A31" s="8" t="s">
        <v>63</v>
      </c>
      <c r="B31" s="9">
        <v>0.77642857142857136</v>
      </c>
    </row>
    <row r="32" spans="1:2" x14ac:dyDescent="0.2">
      <c r="A32" s="8" t="s">
        <v>116</v>
      </c>
      <c r="B32" s="9">
        <v>0.77399999999999991</v>
      </c>
    </row>
    <row r="33" spans="1:2" x14ac:dyDescent="0.2">
      <c r="A33" s="8" t="s">
        <v>71</v>
      </c>
      <c r="B33" s="9">
        <v>0.79476190476190478</v>
      </c>
    </row>
    <row r="34" spans="1:2" x14ac:dyDescent="0.2">
      <c r="A34" s="8" t="s">
        <v>68</v>
      </c>
      <c r="B34" s="9">
        <v>0.78100000000000025</v>
      </c>
    </row>
    <row r="35" spans="1:2" x14ac:dyDescent="0.2">
      <c r="A35" s="8" t="s">
        <v>22</v>
      </c>
      <c r="B35" s="9">
        <v>0.79400000000000004</v>
      </c>
    </row>
    <row r="36" spans="1:2" x14ac:dyDescent="0.2">
      <c r="A36" s="8" t="s">
        <v>36</v>
      </c>
      <c r="B36" s="9">
        <v>0.7757142857142858</v>
      </c>
    </row>
    <row r="37" spans="1:2" x14ac:dyDescent="0.2">
      <c r="A37" s="7" t="s">
        <v>30</v>
      </c>
      <c r="B37" s="9">
        <v>0.81950191570881259</v>
      </c>
    </row>
    <row r="38" spans="1:2" x14ac:dyDescent="0.2">
      <c r="A38" s="8" t="s">
        <v>99</v>
      </c>
      <c r="B38" s="9">
        <v>0.81959999999999988</v>
      </c>
    </row>
    <row r="39" spans="1:2" x14ac:dyDescent="0.2">
      <c r="A39" s="8" t="s">
        <v>50</v>
      </c>
      <c r="B39" s="9">
        <v>0.82736842105263175</v>
      </c>
    </row>
    <row r="40" spans="1:2" x14ac:dyDescent="0.2">
      <c r="A40" s="8" t="s">
        <v>43</v>
      </c>
      <c r="B40" s="9">
        <v>0.82625000000000004</v>
      </c>
    </row>
    <row r="41" spans="1:2" x14ac:dyDescent="0.2">
      <c r="A41" s="8" t="s">
        <v>59</v>
      </c>
      <c r="B41" s="9">
        <v>0.81500000000000006</v>
      </c>
    </row>
    <row r="42" spans="1:2" x14ac:dyDescent="0.2">
      <c r="A42" s="8" t="s">
        <v>63</v>
      </c>
      <c r="B42" s="9">
        <v>0.80349999999999999</v>
      </c>
    </row>
    <row r="43" spans="1:2" x14ac:dyDescent="0.2">
      <c r="A43" s="8" t="s">
        <v>116</v>
      </c>
      <c r="B43" s="9">
        <v>0.82879999999999998</v>
      </c>
    </row>
    <row r="44" spans="1:2" x14ac:dyDescent="0.2">
      <c r="A44" s="8" t="s">
        <v>71</v>
      </c>
      <c r="B44" s="9">
        <v>0.81392857142857156</v>
      </c>
    </row>
    <row r="45" spans="1:2" x14ac:dyDescent="0.2">
      <c r="A45" s="8" t="s">
        <v>68</v>
      </c>
      <c r="B45" s="9">
        <v>0.82000000000000017</v>
      </c>
    </row>
    <row r="46" spans="1:2" x14ac:dyDescent="0.2">
      <c r="A46" s="8" t="s">
        <v>22</v>
      </c>
      <c r="B46" s="9">
        <v>0.82160000000000011</v>
      </c>
    </row>
    <row r="47" spans="1:2" x14ac:dyDescent="0.2">
      <c r="A47" s="8" t="s">
        <v>36</v>
      </c>
      <c r="B47" s="9">
        <v>0.81064516129032271</v>
      </c>
    </row>
    <row r="48" spans="1:2" x14ac:dyDescent="0.2">
      <c r="A48" s="7" t="s">
        <v>20</v>
      </c>
      <c r="B48" s="9">
        <v>0.80307692307692424</v>
      </c>
    </row>
    <row r="49" spans="1:2" x14ac:dyDescent="0.2">
      <c r="A49" s="8" t="s">
        <v>99</v>
      </c>
      <c r="B49" s="9">
        <v>0.80166666666666697</v>
      </c>
    </row>
    <row r="50" spans="1:2" x14ac:dyDescent="0.2">
      <c r="A50" s="8" t="s">
        <v>50</v>
      </c>
      <c r="B50" s="9">
        <v>0.81394736842105242</v>
      </c>
    </row>
    <row r="51" spans="1:2" x14ac:dyDescent="0.2">
      <c r="A51" s="8" t="s">
        <v>43</v>
      </c>
      <c r="B51" s="9">
        <v>0.79319999999999991</v>
      </c>
    </row>
    <row r="52" spans="1:2" x14ac:dyDescent="0.2">
      <c r="A52" s="8" t="s">
        <v>59</v>
      </c>
      <c r="B52" s="9">
        <v>0.80818181818181822</v>
      </c>
    </row>
    <row r="53" spans="1:2" x14ac:dyDescent="0.2">
      <c r="A53" s="8" t="s">
        <v>63</v>
      </c>
      <c r="B53" s="9">
        <v>0.79736842105263173</v>
      </c>
    </row>
    <row r="54" spans="1:2" x14ac:dyDescent="0.2">
      <c r="A54" s="8" t="s">
        <v>116</v>
      </c>
      <c r="B54" s="9">
        <v>0.80541666666666678</v>
      </c>
    </row>
    <row r="55" spans="1:2" x14ac:dyDescent="0.2">
      <c r="A55" s="8" t="s">
        <v>71</v>
      </c>
      <c r="B55" s="9">
        <v>0.80428571428571416</v>
      </c>
    </row>
    <row r="56" spans="1:2" x14ac:dyDescent="0.2">
      <c r="A56" s="8" t="s">
        <v>68</v>
      </c>
      <c r="B56" s="9">
        <v>0.80318181818181822</v>
      </c>
    </row>
    <row r="57" spans="1:2" x14ac:dyDescent="0.2">
      <c r="A57" s="8" t="s">
        <v>22</v>
      </c>
      <c r="B57" s="9">
        <v>0.79714285714285726</v>
      </c>
    </row>
    <row r="58" spans="1:2" x14ac:dyDescent="0.2">
      <c r="A58" s="8" t="s">
        <v>36</v>
      </c>
      <c r="B58" s="9">
        <v>0.80066666666666675</v>
      </c>
    </row>
    <row r="59" spans="1:2" x14ac:dyDescent="0.2">
      <c r="A59" s="7" t="s">
        <v>2459</v>
      </c>
      <c r="B59" s="9">
        <v>0.80160833333333092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A8F3-5708-B143-A902-EF366C6F5264}">
  <dimension ref="A3:D16"/>
  <sheetViews>
    <sheetView tabSelected="1" workbookViewId="0">
      <selection activeCell="B3" sqref="B3"/>
    </sheetView>
  </sheetViews>
  <sheetFormatPr baseColWidth="10" defaultRowHeight="16" x14ac:dyDescent="0.2"/>
  <cols>
    <col min="1" max="1" width="13" bestFit="1" customWidth="1"/>
    <col min="2" max="2" width="11.6640625" bestFit="1" customWidth="1"/>
    <col min="3" max="3" width="14" bestFit="1" customWidth="1"/>
    <col min="4" max="4" width="20.1640625" bestFit="1" customWidth="1"/>
  </cols>
  <sheetData>
    <row r="3" spans="1:4" x14ac:dyDescent="0.2">
      <c r="A3" s="6" t="s">
        <v>2458</v>
      </c>
      <c r="B3" t="s">
        <v>2479</v>
      </c>
      <c r="C3" t="s">
        <v>2477</v>
      </c>
      <c r="D3" t="s">
        <v>2478</v>
      </c>
    </row>
    <row r="4" spans="1:4" x14ac:dyDescent="0.2">
      <c r="A4" s="7" t="s">
        <v>2465</v>
      </c>
      <c r="B4" s="2">
        <v>96</v>
      </c>
      <c r="C4" s="3">
        <v>902813.22000000044</v>
      </c>
      <c r="D4" s="9">
        <v>8.3333333333333329E-2</v>
      </c>
    </row>
    <row r="5" spans="1:4" x14ac:dyDescent="0.2">
      <c r="A5" s="7" t="s">
        <v>2466</v>
      </c>
      <c r="B5" s="2">
        <v>99</v>
      </c>
      <c r="C5" s="3">
        <v>873814</v>
      </c>
      <c r="D5" s="9">
        <v>0.16161616161616163</v>
      </c>
    </row>
    <row r="6" spans="1:4" x14ac:dyDescent="0.2">
      <c r="A6" s="7" t="s">
        <v>2467</v>
      </c>
      <c r="B6" s="2">
        <v>102</v>
      </c>
      <c r="C6" s="3">
        <v>1019690.68</v>
      </c>
      <c r="D6" s="9">
        <v>0.11764705882352941</v>
      </c>
    </row>
    <row r="7" spans="1:4" x14ac:dyDescent="0.2">
      <c r="A7" s="7" t="s">
        <v>2468</v>
      </c>
      <c r="B7" s="2">
        <v>114</v>
      </c>
      <c r="C7" s="3">
        <v>1230137.2200000002</v>
      </c>
      <c r="D7" s="9">
        <v>0.16666666666666666</v>
      </c>
    </row>
    <row r="8" spans="1:4" x14ac:dyDescent="0.2">
      <c r="A8" s="7" t="s">
        <v>2469</v>
      </c>
      <c r="B8" s="2">
        <v>103</v>
      </c>
      <c r="C8" s="3">
        <v>953444.51999999955</v>
      </c>
      <c r="D8" s="9">
        <v>0.1650485436893204</v>
      </c>
    </row>
    <row r="9" spans="1:4" x14ac:dyDescent="0.2">
      <c r="A9" s="7" t="s">
        <v>2470</v>
      </c>
      <c r="B9" s="2">
        <v>99</v>
      </c>
      <c r="C9" s="3">
        <v>1046729.2299999996</v>
      </c>
      <c r="D9" s="9">
        <v>0.10101010101010101</v>
      </c>
    </row>
    <row r="10" spans="1:4" x14ac:dyDescent="0.2">
      <c r="A10" s="7" t="s">
        <v>2471</v>
      </c>
      <c r="B10" s="2">
        <v>93</v>
      </c>
      <c r="C10" s="3">
        <v>834933.06</v>
      </c>
      <c r="D10" s="9">
        <v>0.11827956989247312</v>
      </c>
    </row>
    <row r="11" spans="1:4" x14ac:dyDescent="0.2">
      <c r="A11" s="7" t="s">
        <v>2472</v>
      </c>
      <c r="B11" s="2">
        <v>98</v>
      </c>
      <c r="C11" s="3">
        <v>1036420.07</v>
      </c>
      <c r="D11" s="9">
        <v>0.14285714285714285</v>
      </c>
    </row>
    <row r="12" spans="1:4" x14ac:dyDescent="0.2">
      <c r="A12" s="7" t="s">
        <v>2473</v>
      </c>
      <c r="B12" s="2">
        <v>94</v>
      </c>
      <c r="C12" s="3">
        <v>781392.87000000034</v>
      </c>
      <c r="D12" s="9">
        <v>0.1276595744680851</v>
      </c>
    </row>
    <row r="13" spans="1:4" x14ac:dyDescent="0.2">
      <c r="A13" s="7" t="s">
        <v>2474</v>
      </c>
      <c r="B13" s="2">
        <v>94</v>
      </c>
      <c r="C13" s="3">
        <v>896736.42000000027</v>
      </c>
      <c r="D13" s="9">
        <v>0.1276595744680851</v>
      </c>
    </row>
    <row r="14" spans="1:4" x14ac:dyDescent="0.2">
      <c r="A14" s="7" t="s">
        <v>2475</v>
      </c>
      <c r="B14" s="2">
        <v>101</v>
      </c>
      <c r="C14" s="3">
        <v>1097646.71</v>
      </c>
      <c r="D14" s="9">
        <v>0.11881188118811881</v>
      </c>
    </row>
    <row r="15" spans="1:4" x14ac:dyDescent="0.2">
      <c r="A15" s="7" t="s">
        <v>2476</v>
      </c>
      <c r="B15" s="2">
        <v>107</v>
      </c>
      <c r="C15" s="3">
        <v>1101204.05</v>
      </c>
      <c r="D15" s="9">
        <v>0.11214953271028037</v>
      </c>
    </row>
    <row r="16" spans="1:4" x14ac:dyDescent="0.2">
      <c r="A16" s="7" t="s">
        <v>2459</v>
      </c>
      <c r="B16" s="2">
        <v>1200</v>
      </c>
      <c r="C16" s="3">
        <v>11774962.05000001</v>
      </c>
      <c r="D16" s="9">
        <v>0.12916666666666668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Data_Raw</vt:lpstr>
      <vt:lpstr>Executive_KPIs</vt:lpstr>
      <vt:lpstr>Pivot_Costs</vt:lpstr>
      <vt:lpstr>Pivot_Efficiency_LOS</vt:lpstr>
      <vt:lpstr>Pivot_Readmissions</vt:lpstr>
      <vt:lpstr>Pivot_Satisfaction</vt:lpstr>
      <vt:lpstr>Pivot_Capacity</vt:lpstr>
      <vt:lpstr>Admit_Month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persaud</dc:creator>
  <cp:lastModifiedBy>tiffany persaud</cp:lastModifiedBy>
  <dcterms:created xsi:type="dcterms:W3CDTF">2026-02-24T19:24:09Z</dcterms:created>
  <dcterms:modified xsi:type="dcterms:W3CDTF">2026-02-24T21:26:47Z</dcterms:modified>
</cp:coreProperties>
</file>